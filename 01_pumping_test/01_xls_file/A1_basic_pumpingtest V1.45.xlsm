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0B155F93-E00B-4150-A7FA-5E90E6D61A2F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<sst xmlns="http://schemas.openxmlformats.org/spreadsheetml/2006/main" count="1098" uniqueCount="257">
  <si>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</si>
  <si>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</si>
  <si>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</si>
  <si>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</si>
  <si>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</si>
  <si>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</si>
  <si>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</si>
  <si>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</si>
  <si>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</si>
  <si>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</si>
  <si>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</si>
  <si>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</si>
  <si>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</si>
  <si>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</si>
  <si>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</si>
  <si>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</si>
  <si>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</si>
  <si>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</si>
  <si>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</si>
  <si>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</si>
  <si>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</si>
  <si>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</si>
  <si>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</si>
  <si>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</si>
  <si>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</si>
  <si>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</si>
  <si>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</si>
  <si>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</si>
  <si>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</si>
  <si>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</si>
  <si>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</si>
  <si>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</si>
  <si>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</si>
  <si>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</si>
  <si>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</si>
  <si>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</si>
  <si>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</si>
  <si>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</si>
  <si>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</si>
  <si>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</si>
  <si>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</si>
  <si>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</si>
  <si>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</si>
  <si>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</si>
  <si>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</si>
  <si>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</si>
  <si>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</si>
  <si>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</si>
  <si>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</si>
  <si>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</si>
  <si>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</si>
  <si>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</si>
  <si>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</si>
  <si>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</si>
  <si>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</si>
  <si>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</si>
  <si>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</si>
  <si>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</si>
  <si>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</si>
  <si>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</si>
  <si>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</si>
  <si>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</si>
  <si>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</si>
  <si>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</si>
  <si>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</si>
  <si>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</si>
  <si>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</si>
  <si>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</si>
  <si>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</si>
  <si>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</si>
  <si>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</si>
  <si>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</si>
  <si>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</si>
  <si>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</si>
  <si>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</si>
  <si>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</si>
  <si>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</si>
  <si>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</si>
  <si>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</si>
  <si>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</si>
  <si>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</si>
  <si>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</si>
  <si>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</si>
  <si>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</si>
  <si>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</si>
  <si>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</si>
  <si>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</si>
  <si>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</si>
  <si>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</si>
  <si>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</si>
  <si>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</si>
  <si>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</si>
  <si>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</si>
  <si>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</si>
  <si>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</si>
  <si>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</si>
  <si>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</si>
  <si>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</si>
  <si>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</si>
  <si>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</si>
  <si>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</si>
  <si>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</si>
  <si>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</si>
  <si>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</si>
  <si>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</si>
  <si>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</si>
  <si>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</si>
  <si>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</si>
  <si>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</si>
  <si>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</si>
  <si>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</si>
  <si>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</si>
  <si>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</si>
  <si>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</si>
  <si>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</si>
  <si>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</si>
  <si>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</si>
  <si>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</si>
  <si>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</si>
  <si>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</si>
  <si>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</si>
  <si>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</si>
  <si>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</si>
  <si>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</si>
  <si>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</si>
  <si>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</si>
  <si>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</si>
  <si>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</si>
  <si>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</si>
  <si>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</si>
  <si>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</si>
  <si>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</si>
  <si>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</si>
  <si>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</si>
  <si>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</si>
  <si>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</si>
  <si>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</si>
  <si>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</si>
  <si>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</si>
  <si>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</si>
  <si>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</si>
  <si>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</si>
  <si>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</si>
  <si>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</si>
  <si>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</si>
  <si>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</si>
  <si>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</si>
  <si>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</si>
  <si>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</si>
  <si>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</si>
  <si>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</si>
  <si>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</si>
  <si>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</si>
  <si>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</si>
  <si>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</si>
  <si>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</si>
  <si>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</si>
  <si>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</si>
  <si>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</si>
  <si>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</si>
  <si>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</si>
  <si>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</si>
  <si>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</si>
  <si>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</si>
  <si>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</si>
  <si>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</si>
  <si>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</si>
  <si>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</si>
  <si>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</si>
  <si>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</si>
  <si>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</si>
  <si>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</si>
  <si>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</si>
  <si>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</si>
  <si>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</si>
  <si>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</si>
  <si>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</si>
  <si>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</si>
  <si>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</si>
  <si>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</si>
  <si>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</si>
  <si>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</si>
  <si>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</si>
  <si>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</si>
  <si>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</si>
  <si>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</si>
  <si>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</si>
  <si>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</si>
  <si>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</si>
  <si>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</si>
  <si>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</si>
  <si>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</si>
  <si>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</si>
  <si>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</si>
  <si>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</si>
  <si>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</si>
  <si>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</si>
  <si>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</si>
  <si>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</si>
  <si>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</si>
  <si>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</si>
  <si>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</si>
  <si>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</si>
  <si>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</si>
  <si>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</si>
  <si>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</si>
  <si>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</si>
  <si>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</si>
  <si>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</si>
  <si>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</si>
  <si>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</si>
  <si>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</si>
  <si>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</si>
  <si>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</si>
  <si>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</si>
  <si>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</si>
  <si>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</si>
  <si>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</si>
  <si>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</si>
  <si>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</si>
  <si>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</si>
  <si>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</si>
  <si>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</si>
  <si>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</si>
  <si>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</si>
  <si>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</si>
  <si>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</si>
  <si>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</si>
  <si>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</si>
  <si>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</si>
  <si>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</si>
  <si>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</si>
  <si>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</si>
  <si>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</si>
  <si>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</si>
  <si>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</si>
  <si>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</si>
  <si>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</si>
  <si>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</si>
  <si>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</si>
  <si>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</si>
  <si>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</si>
  <si>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</si>
  <si>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</si>
  <si>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</si>
  <si>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</si>
  <si>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</si>
  <si>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</si>
  <si>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</si>
  <si>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</si>
  <si>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</si>
  <si>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</si>
  <si>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노성면 장구리 436-3번지 농업용관정 개발을 위한 지하수 영향조사</t>
    <phoneticPr fontId="5" type="noConversion"/>
  </si>
  <si>
    <t>노성지구</t>
    <phoneticPr fontId="5" type="noConversion"/>
  </si>
  <si>
    <t>충청남도 논산시 노성면 장구리 436-6번지</t>
    <phoneticPr fontId="5" type="noConversion"/>
  </si>
  <si>
    <t>(주)동해엔지니어링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</si>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</sst>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1" fontId="6" fillId="0" borderId="4" xfId="0" applyNumberFormat="1" applyFont="1" applyBorder="1"/>
    <xf numFmtId="0" fontId="6" fillId="20" borderId="65" xfId="0" applyFont="1" applyFill="1" applyBorder="1"/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 formatCode="\ 0.00\ ">
                  <c:v>4.3</c:v>
                </c:pt>
                <c:pt idx="21" formatCode="\ 0.00\ ">
                  <c:v>4.45</c:v>
                </c:pt>
                <c:pt idx="22" formatCode="\ 0.00\ ">
                  <c:v>4.59</c:v>
                </c:pt>
                <c:pt idx="23" formatCode="\ 0.00\ ">
                  <c:v>4.72</c:v>
                </c:pt>
                <c:pt idx="24" formatCode="\ 0.00\ ">
                  <c:v>4.8499999999999996</c:v>
                </c:pt>
                <c:pt idx="25">
                  <c:v>4.96</c:v>
                </c:pt>
                <c:pt idx="26" formatCode="\ 0.00\ ">
                  <c:v>5.07</c:v>
                </c:pt>
                <c:pt idx="27">
                  <c:v>5.0999999999999996</c:v>
                </c:pt>
                <c:pt idx="28" formatCode="\ 0.00\ ">
                  <c:v>5.1999999999999993</c:v>
                </c:pt>
                <c:pt idx="29">
                  <c:v>5.24</c:v>
                </c:pt>
                <c:pt idx="30" formatCode="\ 0.00\ ">
                  <c:v>5.3</c:v>
                </c:pt>
                <c:pt idx="31" formatCode="\ 0.00\ ">
                  <c:v>5.35</c:v>
                </c:pt>
                <c:pt idx="32" formatCode="\ 0.00\ ">
                  <c:v>5.39</c:v>
                </c:pt>
                <c:pt idx="33" formatCode="\ 0.00\ ">
                  <c:v>5.42</c:v>
                </c:pt>
                <c:pt idx="34" formatCode="\ 0.00\ ">
                  <c:v>5.4399999999999995</c:v>
                </c:pt>
                <c:pt idx="35">
                  <c:v>5.38</c:v>
                </c:pt>
                <c:pt idx="36" formatCode="\ 0.00\ ">
                  <c:v>5.45</c:v>
                </c:pt>
                <c:pt idx="37" formatCode="\ 0.00\ ">
                  <c:v>5.51</c:v>
                </c:pt>
                <c:pt idx="38" formatCode="\ 0.00\ ">
                  <c:v>5.56</c:v>
                </c:pt>
                <c:pt idx="39">
                  <c:v>5.52</c:v>
                </c:pt>
                <c:pt idx="40" formatCode="\ 0.00\ ">
                  <c:v>5.6999999999999993</c:v>
                </c:pt>
                <c:pt idx="41" formatCode="\ 0.00\ ">
                  <c:v>5.8599999999999994</c:v>
                </c:pt>
                <c:pt idx="42" formatCode="\ 0.00\ ">
                  <c:v>6.01</c:v>
                </c:pt>
                <c:pt idx="43" formatCode="\ 0.00\ ">
                  <c:v>6.1499999999999995</c:v>
                </c:pt>
                <c:pt idx="44" formatCode="\ 0.00\ ">
                  <c:v>6.2799999999999994</c:v>
                </c:pt>
                <c:pt idx="45">
                  <c:v>6.45</c:v>
                </c:pt>
                <c:pt idx="46" formatCode="\ 0.00\ ">
                  <c:v>6.5600000000000005</c:v>
                </c:pt>
                <c:pt idx="47">
                  <c:v>6.6</c:v>
                </c:pt>
                <c:pt idx="48" formatCode="\ 0.00\ ">
                  <c:v>6.71</c:v>
                </c:pt>
                <c:pt idx="49">
                  <c:v>6.76</c:v>
                </c:pt>
                <c:pt idx="50" formatCode="\ 0.00\ ">
                  <c:v>6.83</c:v>
                </c:pt>
                <c:pt idx="51" formatCode="\ 0.00\ ">
                  <c:v>6.88</c:v>
                </c:pt>
                <c:pt idx="52" formatCode="\ 0.00\ ">
                  <c:v>6.92</c:v>
                </c:pt>
                <c:pt idx="53" formatCode="\ 0.00\ ">
                  <c:v>6.95</c:v>
                </c:pt>
                <c:pt idx="54" formatCode="\ 0.00\ ">
                  <c:v>6.97</c:v>
                </c:pt>
                <c:pt idx="55">
                  <c:v>6.91</c:v>
                </c:pt>
                <c:pt idx="56" formatCode="\ 0.00\ ">
                  <c:v>6.99</c:v>
                </c:pt>
                <c:pt idx="57" formatCode="\ 0.00\ ">
                  <c:v>7.05</c:v>
                </c:pt>
                <c:pt idx="58" formatCode="\ 0.00\ ">
                  <c:v>7.1</c:v>
                </c:pt>
                <c:pt idx="59">
                  <c:v>7.07</c:v>
                </c:pt>
                <c:pt idx="60" formatCode="\ 0.00\ ">
                  <c:v>7.2600000000000007</c:v>
                </c:pt>
                <c:pt idx="61" formatCode="\ 0.00\ ">
                  <c:v>7.4300000000000006</c:v>
                </c:pt>
                <c:pt idx="62" formatCode="\ 0.00\ ">
                  <c:v>7.5900000000000007</c:v>
                </c:pt>
                <c:pt idx="63" formatCode="\ 0.00\ ">
                  <c:v>7.7400000000000011</c:v>
                </c:pt>
                <c:pt idx="64" formatCode="\ 0.00\ ">
                  <c:v>7.8800000000000008</c:v>
                </c:pt>
                <c:pt idx="65">
                  <c:v>8.11</c:v>
                </c:pt>
                <c:pt idx="66" formatCode="\ 0.00\ ">
                  <c:v>8.2299999999999986</c:v>
                </c:pt>
                <c:pt idx="67" formatCode="\ 0.00\ ">
                  <c:v>8.2799999999999994</c:v>
                </c:pt>
                <c:pt idx="68" formatCode="\ 0.00\ ">
                  <c:v>8.3999999999999986</c:v>
                </c:pt>
                <c:pt idx="69" formatCode="\ 0.00\ ">
                  <c:v>8.4600000000000009</c:v>
                </c:pt>
                <c:pt idx="70" formatCode="\ 0.00\ ">
                  <c:v>8.5300000000000011</c:v>
                </c:pt>
                <c:pt idx="71" formatCode="\ 0.00\ ">
                  <c:v>8.5800000000000018</c:v>
                </c:pt>
                <c:pt idx="72" formatCode="\ 0.00\ ">
                  <c:v>8.620000000000001</c:v>
                </c:pt>
                <c:pt idx="73" formatCode="\ 0.00\ ">
                  <c:v>8.65</c:v>
                </c:pt>
                <c:pt idx="74" formatCode="\ 0.00\ ">
                  <c:v>8.68</c:v>
                </c:pt>
                <c:pt idx="75" formatCode="\ 0.00\ ">
                  <c:v>8.6300000000000008</c:v>
                </c:pt>
                <c:pt idx="76" formatCode="\ 0.00\ ">
                  <c:v>8.7200000000000006</c:v>
                </c:pt>
                <c:pt idx="77" formatCode="\ 0.00\ ">
                  <c:v>8.7900000000000009</c:v>
                </c:pt>
                <c:pt idx="78" formatCode="\ 0.00\ ">
                  <c:v>8.8400000000000016</c:v>
                </c:pt>
                <c:pt idx="79" formatCode="\ 0.00\ ">
                  <c:v>8.81</c:v>
                </c:pt>
                <c:pt idx="80" formatCode="\ 0.00\ ">
                  <c:v>9.0200000000000014</c:v>
                </c:pt>
                <c:pt idx="81" formatCode="\ 0.00\ ">
                  <c:v>9.2100000000000009</c:v>
                </c:pt>
                <c:pt idx="82" formatCode="\ 0.00\ ">
                  <c:v>9.3800000000000008</c:v>
                </c:pt>
                <c:pt idx="83" formatCode="\ 0.00\ ">
                  <c:v>9.5400000000000009</c:v>
                </c:pt>
                <c:pt idx="84" formatCode="\ 0.00\ ">
                  <c:v>9.6800000000000015</c:v>
                </c:pt>
                <c:pt idx="85" formatCode="\ 0.00\ ">
                  <c:v>9.86</c:v>
                </c:pt>
                <c:pt idx="86" formatCode="\ 0.00\ ">
                  <c:v>10.17</c:v>
                </c:pt>
                <c:pt idx="87" formatCode="\ 0.00\ ">
                  <c:v>10.26</c:v>
                </c:pt>
                <c:pt idx="88" formatCode="\ 0.00\ ">
                  <c:v>10.56</c:v>
                </c:pt>
                <c:pt idx="89" formatCode="\ 0.00\ ">
                  <c:v>10.65</c:v>
                </c:pt>
                <c:pt idx="90" formatCode="\ 0.00\ ">
                  <c:v>10.8</c:v>
                </c:pt>
                <c:pt idx="91" formatCode="\ 0.00\ ">
                  <c:v>10.930000000000001</c:v>
                </c:pt>
                <c:pt idx="92" formatCode="\ 0.00\ ">
                  <c:v>11.040000000000001</c:v>
                </c:pt>
                <c:pt idx="93" formatCode="\ 0.00\ ">
                  <c:v>11.120000000000001</c:v>
                </c:pt>
                <c:pt idx="94" formatCode="\ 0.00\ ">
                  <c:v>11.190000000000001</c:v>
                </c:pt>
                <c:pt idx="95" formatCode="\ 0.00\ ">
                  <c:v>11.05</c:v>
                </c:pt>
                <c:pt idx="96" formatCode="\ 0.00\ ">
                  <c:v>11.24</c:v>
                </c:pt>
                <c:pt idx="97" formatCode="\ 0.00\ ">
                  <c:v>11.4</c:v>
                </c:pt>
                <c:pt idx="98" formatCode="\ 0.00\ ">
                  <c:v>11.540000000000001</c:v>
                </c:pt>
                <c:pt idx="99" formatCode="\ 0.00\ ">
                  <c:v>11.45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3.3000000000000002E-2</c:v>
                </c:pt>
                <c:pt idx="1">
                  <c:v>3.4000000000000002E-2</c:v>
                </c:pt>
                <c:pt idx="2">
                  <c:v>3.5999999999999997E-2</c:v>
                </c:pt>
                <c:pt idx="3">
                  <c:v>3.7999999999999999E-2</c:v>
                </c:pt>
                <c:pt idx="4">
                  <c:v>4.2999999999999997E-2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7999999999999994E-2"/>
          <c:min val="2.8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4.999999999999998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80.500799788326688</c:v>
                </c:pt>
                <c:pt idx="2">
                  <c:v>76.415218197905077</c:v>
                </c:pt>
                <c:pt idx="3">
                  <c:v>72.626294643262824</c:v>
                </c:pt>
                <c:pt idx="4">
                  <c:v>69.27963525049357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4.1399999999999997</c:v>
                </c:pt>
                <c:pt idx="1">
                  <c:v>5.52</c:v>
                </c:pt>
                <c:pt idx="2">
                  <c:v>7.07</c:v>
                </c:pt>
                <c:pt idx="3">
                  <c:v>8.81</c:v>
                </c:pt>
                <c:pt idx="4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3.3387096774193548E-2</c:v>
                </c:pt>
                <c:pt idx="2">
                  <c:v>3.4936708860759488E-2</c:v>
                </c:pt>
                <c:pt idx="3">
                  <c:v>3.6641616999222602E-2</c:v>
                </c:pt>
                <c:pt idx="4">
                  <c:v>3.8810572687224675E-2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4.7999999999999994E-2"/>
          <c:min val="2.8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4.999999999999998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0.21756839156772756</c:v>
                </c:pt>
                <c:pt idx="1">
                  <c:v>0.78546961341800614</c:v>
                </c:pt>
                <c:pt idx="2">
                  <c:v>1.1176705323141443</c:v>
                </c:pt>
                <c:pt idx="3">
                  <c:v>1.3533708352682838</c:v>
                </c:pt>
                <c:pt idx="4">
                  <c:v>1.536194193702749</c:v>
                </c:pt>
                <c:pt idx="5">
                  <c:v>2.1040954155530267</c:v>
                </c:pt>
                <c:pt idx="6">
                  <c:v>2.4362963344491666</c:v>
                </c:pt>
                <c:pt idx="7">
                  <c:v>2.6719966374033044</c:v>
                </c:pt>
                <c:pt idx="8">
                  <c:v>2.8548199958377696</c:v>
                </c:pt>
                <c:pt idx="9">
                  <c:v>3.0041975562994443</c:v>
                </c:pt>
                <c:pt idx="10">
                  <c:v>3.1304944841066549</c:v>
                </c:pt>
                <c:pt idx="11">
                  <c:v>3.2398978592535839</c:v>
                </c:pt>
                <c:pt idx="12">
                  <c:v>3.3363984751955824</c:v>
                </c:pt>
                <c:pt idx="13">
                  <c:v>3.422721217688049</c:v>
                </c:pt>
                <c:pt idx="14">
                  <c:v>3.5008096368343553</c:v>
                </c:pt>
                <c:pt idx="15">
                  <c:v>3.572098778149722</c:v>
                </c:pt>
                <c:pt idx="16">
                  <c:v>3.7549221365841872</c:v>
                </c:pt>
                <c:pt idx="17">
                  <c:v>3.9042996970458619</c:v>
                </c:pt>
                <c:pt idx="18">
                  <c:v>4.0305966248530707</c:v>
                </c:pt>
                <c:pt idx="19">
                  <c:v>4.1399999999999997</c:v>
                </c:pt>
                <c:pt idx="20">
                  <c:v>4.8799450975879282</c:v>
                </c:pt>
                <c:pt idx="21">
                  <c:v>4.9573106575902841</c:v>
                </c:pt>
                <c:pt idx="22">
                  <c:v>5.0293362708088836</c:v>
                </c:pt>
                <c:pt idx="23">
                  <c:v>5.2196721946229516</c:v>
                </c:pt>
                <c:pt idx="24">
                  <c:v>5.52</c:v>
                </c:pt>
                <c:pt idx="25">
                  <c:v>6.6051225759503218</c:v>
                </c:pt>
                <c:pt idx="26">
                  <c:v>6.6551244090322292</c:v>
                </c:pt>
                <c:pt idx="27">
                  <c:v>6.7032389237499892</c:v>
                </c:pt>
                <c:pt idx="28">
                  <c:v>6.8375612879751593</c:v>
                </c:pt>
                <c:pt idx="29">
                  <c:v>7.07</c:v>
                </c:pt>
                <c:pt idx="30">
                  <c:v>8.4196110811604772</c:v>
                </c:pt>
                <c:pt idx="31">
                  <c:v>8.4596097910851764</c:v>
                </c:pt>
                <c:pt idx="32">
                  <c:v>8.4985694550854394</c:v>
                </c:pt>
                <c:pt idx="33">
                  <c:v>8.6097212406584465</c:v>
                </c:pt>
                <c:pt idx="34">
                  <c:v>8.81</c:v>
                </c:pt>
                <c:pt idx="35">
                  <c:v>11.100677614537496</c:v>
                </c:pt>
                <c:pt idx="36">
                  <c:v>11.135524095495807</c:v>
                </c:pt>
                <c:pt idx="37">
                  <c:v>11.16968050157325</c:v>
                </c:pt>
                <c:pt idx="38">
                  <c:v>11.268269742518882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0.21</c:v>
                </c:pt>
                <c:pt idx="1">
                  <c:v>0.78</c:v>
                </c:pt>
                <c:pt idx="2">
                  <c:v>1.1100000000000001</c:v>
                </c:pt>
                <c:pt idx="3">
                  <c:v>1.35</c:v>
                </c:pt>
                <c:pt idx="4">
                  <c:v>1.53</c:v>
                </c:pt>
                <c:pt idx="5">
                  <c:v>2.1</c:v>
                </c:pt>
                <c:pt idx="6">
                  <c:v>2.4300000000000002</c:v>
                </c:pt>
                <c:pt idx="7">
                  <c:v>2.67</c:v>
                </c:pt>
                <c:pt idx="8">
                  <c:v>2.85</c:v>
                </c:pt>
                <c:pt idx="9">
                  <c:v>3</c:v>
                </c:pt>
                <c:pt idx="10">
                  <c:v>3.13</c:v>
                </c:pt>
                <c:pt idx="11">
                  <c:v>3.23</c:v>
                </c:pt>
                <c:pt idx="12">
                  <c:v>3.33</c:v>
                </c:pt>
                <c:pt idx="13">
                  <c:v>3.42</c:v>
                </c:pt>
                <c:pt idx="14">
                  <c:v>3.5</c:v>
                </c:pt>
                <c:pt idx="15">
                  <c:v>3.57</c:v>
                </c:pt>
                <c:pt idx="16">
                  <c:v>3.75</c:v>
                </c:pt>
                <c:pt idx="17">
                  <c:v>3.9</c:v>
                </c:pt>
                <c:pt idx="18">
                  <c:v>4.03</c:v>
                </c:pt>
                <c:pt idx="19">
                  <c:v>4.1399999999999997</c:v>
                </c:pt>
                <c:pt idx="20">
                  <c:v>4.96</c:v>
                </c:pt>
                <c:pt idx="21">
                  <c:v>5.0999999999999996</c:v>
                </c:pt>
                <c:pt idx="22">
                  <c:v>5.24</c:v>
                </c:pt>
                <c:pt idx="23">
                  <c:v>5.38</c:v>
                </c:pt>
                <c:pt idx="24">
                  <c:v>5.52</c:v>
                </c:pt>
                <c:pt idx="25">
                  <c:v>6.45</c:v>
                </c:pt>
                <c:pt idx="26">
                  <c:v>6.6</c:v>
                </c:pt>
                <c:pt idx="27">
                  <c:v>6.76</c:v>
                </c:pt>
                <c:pt idx="28">
                  <c:v>6.91</c:v>
                </c:pt>
                <c:pt idx="29">
                  <c:v>7.07</c:v>
                </c:pt>
                <c:pt idx="30">
                  <c:v>8.11</c:v>
                </c:pt>
                <c:pt idx="31">
                  <c:v>8.2799999999999994</c:v>
                </c:pt>
                <c:pt idx="32">
                  <c:v>8.4600000000000009</c:v>
                </c:pt>
                <c:pt idx="33">
                  <c:v>8.6300000000000008</c:v>
                </c:pt>
                <c:pt idx="34">
                  <c:v>8.81</c:v>
                </c:pt>
                <c:pt idx="35">
                  <c:v>9.86</c:v>
                </c:pt>
                <c:pt idx="36">
                  <c:v>10.26</c:v>
                </c:pt>
                <c:pt idx="37">
                  <c:v>10.65</c:v>
                </c:pt>
                <c:pt idx="38">
                  <c:v>11.05</c:v>
                </c:pt>
                <c:pt idx="39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4.2172200710678105</c:v>
                </c:pt>
                <c:pt idx="1">
                  <c:v>5.1265236651298558</c:v>
                </c:pt>
                <c:pt idx="2">
                  <c:v>5.6584321694271225</c:v>
                </c:pt>
                <c:pt idx="3">
                  <c:v>6.0358272591918993</c:v>
                </c:pt>
                <c:pt idx="4">
                  <c:v>6.3285576329025233</c:v>
                </c:pt>
                <c:pt idx="5">
                  <c:v>7.2378612269645668</c:v>
                </c:pt>
                <c:pt idx="6">
                  <c:v>7.7697697312618352</c:v>
                </c:pt>
                <c:pt idx="7">
                  <c:v>8.1471648210266103</c:v>
                </c:pt>
                <c:pt idx="8">
                  <c:v>8.439895194737236</c:v>
                </c:pt>
                <c:pt idx="9">
                  <c:v>8.6790733253238805</c:v>
                </c:pt>
                <c:pt idx="10">
                  <c:v>8.8812955533372726</c:v>
                </c:pt>
                <c:pt idx="11">
                  <c:v>9.0564684150886556</c:v>
                </c:pt>
                <c:pt idx="12">
                  <c:v>9.210981829621149</c:v>
                </c:pt>
                <c:pt idx="13">
                  <c:v>9.3491987887992796</c:v>
                </c:pt>
                <c:pt idx="14">
                  <c:v>9.4251512371412929</c:v>
                </c:pt>
                <c:pt idx="15">
                  <c:v>9.5883769193859241</c:v>
                </c:pt>
                <c:pt idx="16">
                  <c:v>9.881107293096548</c:v>
                </c:pt>
                <c:pt idx="17">
                  <c:v>10.120285423683193</c:v>
                </c:pt>
                <c:pt idx="18">
                  <c:v>10.322507651696585</c:v>
                </c:pt>
                <c:pt idx="19">
                  <c:v>10.497680513447968</c:v>
                </c:pt>
                <c:pt idx="20">
                  <c:v>10.699902741461361</c:v>
                </c:pt>
                <c:pt idx="21">
                  <c:v>10.875075603212743</c:v>
                </c:pt>
                <c:pt idx="22">
                  <c:v>11.029589017745238</c:v>
                </c:pt>
                <c:pt idx="23">
                  <c:v>11.406984107510013</c:v>
                </c:pt>
                <c:pt idx="24">
                  <c:v>11.699714481220639</c:v>
                </c:pt>
                <c:pt idx="25">
                  <c:v>11.93889261180728</c:v>
                </c:pt>
                <c:pt idx="26">
                  <c:v>12.141114839820673</c:v>
                </c:pt>
                <c:pt idx="27">
                  <c:v>12.316287701572055</c:v>
                </c:pt>
                <c:pt idx="28">
                  <c:v>12.47080111610455</c:v>
                </c:pt>
                <c:pt idx="29">
                  <c:v>12.60901807528268</c:v>
                </c:pt>
                <c:pt idx="30">
                  <c:v>12.734050523624692</c:v>
                </c:pt>
                <c:pt idx="31">
                  <c:v>12.848196205869325</c:v>
                </c:pt>
                <c:pt idx="32">
                  <c:v>12.953200054701558</c:v>
                </c:pt>
                <c:pt idx="33">
                  <c:v>13.050418433882715</c:v>
                </c:pt>
                <c:pt idx="34">
                  <c:v>13.140926579579951</c:v>
                </c:pt>
                <c:pt idx="35">
                  <c:v>13.2255912956341</c:v>
                </c:pt>
                <c:pt idx="36">
                  <c:v>13.305121571529913</c:v>
                </c:pt>
                <c:pt idx="37">
                  <c:v>13.380104710166595</c:v>
                </c:pt>
                <c:pt idx="38">
                  <c:v>13.451032674675218</c:v>
                </c:pt>
                <c:pt idx="39">
                  <c:v>13.518321669344726</c:v>
                </c:pt>
                <c:pt idx="40">
                  <c:v>13.582326938179985</c:v>
                </c:pt>
                <c:pt idx="41">
                  <c:v>13.643354117686737</c:v>
                </c:pt>
                <c:pt idx="42">
                  <c:v>13.701668063990898</c:v>
                </c:pt>
                <c:pt idx="43">
                  <c:v>13.75749979993137</c:v>
                </c:pt>
                <c:pt idx="44">
                  <c:v>13.75749979993137</c:v>
                </c:pt>
                <c:pt idx="45">
                  <c:v>13.75749979993137</c:v>
                </c:pt>
                <c:pt idx="46">
                  <c:v>13.75749979993137</c:v>
                </c:pt>
                <c:pt idx="47">
                  <c:v>13.75749979993137</c:v>
                </c:pt>
                <c:pt idx="48">
                  <c:v>13.75749979993137</c:v>
                </c:pt>
                <c:pt idx="49">
                  <c:v>13.75749979993137</c:v>
                </c:pt>
                <c:pt idx="50">
                  <c:v>13.75749979993137</c:v>
                </c:pt>
                <c:pt idx="51">
                  <c:v>13.75749979993137</c:v>
                </c:pt>
                <c:pt idx="52">
                  <c:v>13.75749979993137</c:v>
                </c:pt>
                <c:pt idx="53">
                  <c:v>13.75749979993137</c:v>
                </c:pt>
                <c:pt idx="54">
                  <c:v>13.75749979993137</c:v>
                </c:pt>
                <c:pt idx="55">
                  <c:v>13.75749979993137</c:v>
                </c:pt>
                <c:pt idx="56">
                  <c:v>13.75749979993137</c:v>
                </c:pt>
                <c:pt idx="57">
                  <c:v>13.75749979993137</c:v>
                </c:pt>
                <c:pt idx="58">
                  <c:v>13.75749979993137</c:v>
                </c:pt>
                <c:pt idx="59">
                  <c:v>13.75749979993137</c:v>
                </c:pt>
                <c:pt idx="60">
                  <c:v>13.75749979993137</c:v>
                </c:pt>
                <c:pt idx="61">
                  <c:v>13.75749979993137</c:v>
                </c:pt>
                <c:pt idx="62">
                  <c:v>13.75749979993137</c:v>
                </c:pt>
                <c:pt idx="63">
                  <c:v>13.75749979993137</c:v>
                </c:pt>
                <c:pt idx="64">
                  <c:v>13.75749979993137</c:v>
                </c:pt>
                <c:pt idx="65">
                  <c:v>13.75749979993137</c:v>
                </c:pt>
                <c:pt idx="66">
                  <c:v>13.75749979993137</c:v>
                </c:pt>
                <c:pt idx="67">
                  <c:v>13.75749979993137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4.2172200710678105</c:v>
                </c:pt>
                <c:pt idx="1">
                  <c:v>5.1265236651298558</c:v>
                </c:pt>
                <c:pt idx="2">
                  <c:v>5.6584321694271225</c:v>
                </c:pt>
                <c:pt idx="3">
                  <c:v>6.0358272591918993</c:v>
                </c:pt>
                <c:pt idx="4">
                  <c:v>6.3285576329025233</c:v>
                </c:pt>
                <c:pt idx="5">
                  <c:v>7.2378612269645668</c:v>
                </c:pt>
                <c:pt idx="6">
                  <c:v>7.7697697312618352</c:v>
                </c:pt>
                <c:pt idx="7">
                  <c:v>8.1471648210266103</c:v>
                </c:pt>
                <c:pt idx="8">
                  <c:v>8.439895194737236</c:v>
                </c:pt>
                <c:pt idx="9">
                  <c:v>8.6790733253238805</c:v>
                </c:pt>
                <c:pt idx="10">
                  <c:v>8.8812955533372726</c:v>
                </c:pt>
                <c:pt idx="11">
                  <c:v>9.0564684150886556</c:v>
                </c:pt>
                <c:pt idx="12">
                  <c:v>9.210981829621149</c:v>
                </c:pt>
                <c:pt idx="13">
                  <c:v>9.3491987887992796</c:v>
                </c:pt>
                <c:pt idx="14">
                  <c:v>9.4251512371412929</c:v>
                </c:pt>
                <c:pt idx="15">
                  <c:v>9.5883769193859241</c:v>
                </c:pt>
                <c:pt idx="16">
                  <c:v>9.881107293096548</c:v>
                </c:pt>
                <c:pt idx="17">
                  <c:v>10.120285423683193</c:v>
                </c:pt>
                <c:pt idx="18">
                  <c:v>10.322507651696585</c:v>
                </c:pt>
                <c:pt idx="19">
                  <c:v>10.497680513447968</c:v>
                </c:pt>
                <c:pt idx="20">
                  <c:v>10.699902741461361</c:v>
                </c:pt>
                <c:pt idx="21">
                  <c:v>10.875075603212743</c:v>
                </c:pt>
                <c:pt idx="22">
                  <c:v>11.029589017745238</c:v>
                </c:pt>
                <c:pt idx="23">
                  <c:v>11.406984107510013</c:v>
                </c:pt>
                <c:pt idx="24">
                  <c:v>11.699714481220639</c:v>
                </c:pt>
                <c:pt idx="25">
                  <c:v>11.93889261180728</c:v>
                </c:pt>
                <c:pt idx="26">
                  <c:v>12.141114839820673</c:v>
                </c:pt>
                <c:pt idx="27">
                  <c:v>12.316287701572055</c:v>
                </c:pt>
                <c:pt idx="28">
                  <c:v>12.47080111610455</c:v>
                </c:pt>
                <c:pt idx="29">
                  <c:v>12.60901807528268</c:v>
                </c:pt>
                <c:pt idx="30">
                  <c:v>12.734050523624692</c:v>
                </c:pt>
                <c:pt idx="31">
                  <c:v>12.848196205869325</c:v>
                </c:pt>
                <c:pt idx="32">
                  <c:v>12.953200054701558</c:v>
                </c:pt>
                <c:pt idx="33">
                  <c:v>13.050418433882715</c:v>
                </c:pt>
                <c:pt idx="34">
                  <c:v>13.140926579579951</c:v>
                </c:pt>
                <c:pt idx="35">
                  <c:v>13.2255912956341</c:v>
                </c:pt>
                <c:pt idx="36">
                  <c:v>13.305121571529913</c:v>
                </c:pt>
                <c:pt idx="37">
                  <c:v>13.380104710166595</c:v>
                </c:pt>
                <c:pt idx="38">
                  <c:v>13.451032674675218</c:v>
                </c:pt>
                <c:pt idx="39">
                  <c:v>13.518321669344726</c:v>
                </c:pt>
                <c:pt idx="40">
                  <c:v>13.582326938179985</c:v>
                </c:pt>
                <c:pt idx="41">
                  <c:v>13.643354117686737</c:v>
                </c:pt>
                <c:pt idx="42">
                  <c:v>13.701668063990898</c:v>
                </c:pt>
                <c:pt idx="43">
                  <c:v>13.75749979993137</c:v>
                </c:pt>
                <c:pt idx="44">
                  <c:v>13.75749979993137</c:v>
                </c:pt>
                <c:pt idx="45">
                  <c:v>13.75749979993137</c:v>
                </c:pt>
                <c:pt idx="46">
                  <c:v>13.75749979993137</c:v>
                </c:pt>
                <c:pt idx="47">
                  <c:v>13.75749979993137</c:v>
                </c:pt>
                <c:pt idx="48">
                  <c:v>13.75749979993137</c:v>
                </c:pt>
                <c:pt idx="49">
                  <c:v>13.75749979993137</c:v>
                </c:pt>
                <c:pt idx="50">
                  <c:v>13.75749979993137</c:v>
                </c:pt>
                <c:pt idx="51">
                  <c:v>13.75749979993137</c:v>
                </c:pt>
                <c:pt idx="52">
                  <c:v>13.75749979993137</c:v>
                </c:pt>
                <c:pt idx="53">
                  <c:v>13.75749979993137</c:v>
                </c:pt>
                <c:pt idx="54">
                  <c:v>13.75749979993137</c:v>
                </c:pt>
                <c:pt idx="55">
                  <c:v>13.75749979993137</c:v>
                </c:pt>
                <c:pt idx="56">
                  <c:v>13.75749979993137</c:v>
                </c:pt>
                <c:pt idx="57">
                  <c:v>13.75749979993137</c:v>
                </c:pt>
                <c:pt idx="58">
                  <c:v>13.75749979993137</c:v>
                </c:pt>
                <c:pt idx="59">
                  <c:v>13.75749979993137</c:v>
                </c:pt>
                <c:pt idx="60">
                  <c:v>13.75749979993137</c:v>
                </c:pt>
                <c:pt idx="61">
                  <c:v>13.75749979993137</c:v>
                </c:pt>
                <c:pt idx="62">
                  <c:v>13.75749979993137</c:v>
                </c:pt>
                <c:pt idx="63">
                  <c:v>13.75749979993137</c:v>
                </c:pt>
                <c:pt idx="64">
                  <c:v>13.75749979993137</c:v>
                </c:pt>
                <c:pt idx="65">
                  <c:v>13.75749979993137</c:v>
                </c:pt>
                <c:pt idx="66">
                  <c:v>13.75749979993137</c:v>
                </c:pt>
                <c:pt idx="67">
                  <c:v>13.75749979993137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9.5311209996387909</c:v>
                </c:pt>
                <c:pt idx="1">
                  <c:v>8.8102411844657968</c:v>
                </c:pt>
                <c:pt idx="2">
                  <c:v>8.1438846208540401</c:v>
                </c:pt>
                <c:pt idx="3">
                  <c:v>7.5279274799790148</c:v>
                </c:pt>
                <c:pt idx="4">
                  <c:v>6.9585578359876488</c:v>
                </c:pt>
                <c:pt idx="5">
                  <c:v>5.4960501242760369</c:v>
                </c:pt>
                <c:pt idx="6">
                  <c:v>5.2153071947377967</c:v>
                </c:pt>
                <c:pt idx="7">
                  <c:v>4.4562292366096488</c:v>
                </c:pt>
                <c:pt idx="8">
                  <c:v>4.1191853874572377</c:v>
                </c:pt>
                <c:pt idx="9">
                  <c:v>3.8076336192144464</c:v>
                </c:pt>
                <c:pt idx="10">
                  <c:v>3.7091103785047124</c:v>
                </c:pt>
                <c:pt idx="11">
                  <c:v>3.6131364452995047</c:v>
                </c:pt>
                <c:pt idx="12">
                  <c:v>3.5196458557845403</c:v>
                </c:pt>
                <c:pt idx="13">
                  <c:v>3.428574352971721</c:v>
                </c:pt>
                <c:pt idx="14">
                  <c:v>3.3398593425346759</c:v>
                </c:pt>
                <c:pt idx="15">
                  <c:v>3.2534398497870827</c:v>
                </c:pt>
                <c:pt idx="16">
                  <c:v>3.1692564777741672</c:v>
                </c:pt>
                <c:pt idx="17">
                  <c:v>3.0872513664486068</c:v>
                </c:pt>
                <c:pt idx="18">
                  <c:v>3.0073681529027554</c:v>
                </c:pt>
                <c:pt idx="19">
                  <c:v>2.7799079204386161</c:v>
                </c:pt>
                <c:pt idx="20">
                  <c:v>2.7079772767406087</c:v>
                </c:pt>
                <c:pt idx="21">
                  <c:v>2.3138363785860894</c:v>
                </c:pt>
                <c:pt idx="22">
                  <c:v>1.977061932112077</c:v>
                </c:pt>
                <c:pt idx="23">
                  <c:v>1.6893043603175018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3">
        <v>1</v>
      </c>
      <c r="B1">
        <f>F1</f>
        <v>0.21</v>
      </c>
      <c r="E1">
        <v>1</v>
      </c>
      <c r="F1">
        <f>단계양수시험!G12</f>
        <v>0.21</v>
      </c>
    </row>
    <row r="2" spans="1:6" x14ac:dyDescent="0.15">
      <c r="A2" s="233">
        <v>2</v>
      </c>
      <c r="B2">
        <f t="shared" ref="B2:B20" si="0">F2</f>
        <v>0.78</v>
      </c>
      <c r="E2">
        <v>2</v>
      </c>
      <c r="F2">
        <f>단계양수시험!G13</f>
        <v>0.78</v>
      </c>
    </row>
    <row r="3" spans="1:6" x14ac:dyDescent="0.15">
      <c r="A3" s="233">
        <v>3</v>
      </c>
      <c r="B3">
        <f t="shared" si="0"/>
        <v>1.1100000000000001</v>
      </c>
      <c r="E3">
        <v>3</v>
      </c>
      <c r="F3">
        <f>단계양수시험!G14</f>
        <v>1.1100000000000001</v>
      </c>
    </row>
    <row r="4" spans="1:6" x14ac:dyDescent="0.15">
      <c r="A4" s="233">
        <v>4</v>
      </c>
      <c r="B4">
        <f t="shared" si="0"/>
        <v>1.35</v>
      </c>
      <c r="E4">
        <v>4</v>
      </c>
      <c r="F4">
        <f>단계양수시험!G15</f>
        <v>1.35</v>
      </c>
    </row>
    <row r="5" spans="1:6" x14ac:dyDescent="0.15">
      <c r="A5" s="233">
        <v>5</v>
      </c>
      <c r="B5">
        <f t="shared" si="0"/>
        <v>1.53</v>
      </c>
      <c r="E5">
        <v>5</v>
      </c>
      <c r="F5">
        <f>단계양수시험!G16</f>
        <v>1.53</v>
      </c>
    </row>
    <row r="6" spans="1:6" x14ac:dyDescent="0.15">
      <c r="A6" s="233">
        <v>10</v>
      </c>
      <c r="B6">
        <f t="shared" si="0"/>
        <v>2.1</v>
      </c>
      <c r="E6">
        <v>10</v>
      </c>
      <c r="F6">
        <f>단계양수시험!G17</f>
        <v>2.1</v>
      </c>
    </row>
    <row r="7" spans="1:6" x14ac:dyDescent="0.15">
      <c r="A7" s="233">
        <v>15</v>
      </c>
      <c r="B7">
        <f t="shared" si="0"/>
        <v>2.4300000000000002</v>
      </c>
      <c r="E7">
        <v>15</v>
      </c>
      <c r="F7">
        <f>단계양수시험!G18</f>
        <v>2.4300000000000002</v>
      </c>
    </row>
    <row r="8" spans="1:6" x14ac:dyDescent="0.15">
      <c r="A8" s="233">
        <v>20</v>
      </c>
      <c r="B8">
        <f t="shared" si="0"/>
        <v>2.67</v>
      </c>
      <c r="E8">
        <v>20</v>
      </c>
      <c r="F8">
        <f>단계양수시험!G19</f>
        <v>2.67</v>
      </c>
    </row>
    <row r="9" spans="1:6" x14ac:dyDescent="0.15">
      <c r="A9" s="233">
        <v>25</v>
      </c>
      <c r="B9">
        <f t="shared" si="0"/>
        <v>2.85</v>
      </c>
      <c r="E9">
        <v>25</v>
      </c>
      <c r="F9">
        <f>단계양수시험!G20</f>
        <v>2.85</v>
      </c>
    </row>
    <row r="10" spans="1:6" x14ac:dyDescent="0.15">
      <c r="A10" s="233">
        <v>30</v>
      </c>
      <c r="B10">
        <f t="shared" si="0"/>
        <v>3</v>
      </c>
      <c r="E10">
        <v>30</v>
      </c>
      <c r="F10">
        <f>단계양수시험!G21</f>
        <v>3</v>
      </c>
    </row>
    <row r="11" spans="1:6" x14ac:dyDescent="0.15">
      <c r="A11" s="233">
        <v>35</v>
      </c>
      <c r="B11">
        <f t="shared" si="0"/>
        <v>3.13</v>
      </c>
      <c r="E11">
        <v>35</v>
      </c>
      <c r="F11">
        <f>단계양수시험!G22</f>
        <v>3.13</v>
      </c>
    </row>
    <row r="12" spans="1:6" x14ac:dyDescent="0.15">
      <c r="A12" s="233">
        <v>40</v>
      </c>
      <c r="B12">
        <f t="shared" si="0"/>
        <v>3.23</v>
      </c>
      <c r="E12">
        <v>40</v>
      </c>
      <c r="F12">
        <f>단계양수시험!G23</f>
        <v>3.23</v>
      </c>
    </row>
    <row r="13" spans="1:6" x14ac:dyDescent="0.15">
      <c r="A13" s="233">
        <v>45</v>
      </c>
      <c r="B13">
        <f t="shared" si="0"/>
        <v>3.33</v>
      </c>
      <c r="E13">
        <v>45</v>
      </c>
      <c r="F13">
        <f>단계양수시험!G24</f>
        <v>3.33</v>
      </c>
    </row>
    <row r="14" spans="1:6" x14ac:dyDescent="0.15">
      <c r="A14" s="233">
        <v>50</v>
      </c>
      <c r="B14">
        <f t="shared" si="0"/>
        <v>3.42</v>
      </c>
      <c r="E14">
        <v>50</v>
      </c>
      <c r="F14">
        <f>단계양수시험!G25</f>
        <v>3.42</v>
      </c>
    </row>
    <row r="15" spans="1:6" x14ac:dyDescent="0.15">
      <c r="A15" s="233">
        <v>55</v>
      </c>
      <c r="B15">
        <f t="shared" si="0"/>
        <v>3.5</v>
      </c>
      <c r="E15">
        <v>55</v>
      </c>
      <c r="F15">
        <f>단계양수시험!G26</f>
        <v>3.5</v>
      </c>
    </row>
    <row r="16" spans="1:6" x14ac:dyDescent="0.15">
      <c r="A16" s="233">
        <v>60</v>
      </c>
      <c r="B16">
        <f t="shared" si="0"/>
        <v>3.57</v>
      </c>
      <c r="E16">
        <v>60</v>
      </c>
      <c r="F16">
        <f>단계양수시험!G27</f>
        <v>3.57</v>
      </c>
    </row>
    <row r="17" spans="1:6" x14ac:dyDescent="0.15">
      <c r="A17" s="233">
        <v>75</v>
      </c>
      <c r="B17">
        <f t="shared" si="0"/>
        <v>3.75</v>
      </c>
      <c r="E17">
        <v>75</v>
      </c>
      <c r="F17">
        <f>단계양수시험!G28</f>
        <v>3.75</v>
      </c>
    </row>
    <row r="18" spans="1:6" x14ac:dyDescent="0.15">
      <c r="A18" s="233">
        <v>90</v>
      </c>
      <c r="B18">
        <f t="shared" si="0"/>
        <v>3.9</v>
      </c>
      <c r="E18">
        <v>90</v>
      </c>
      <c r="F18">
        <f>단계양수시험!G29</f>
        <v>3.9</v>
      </c>
    </row>
    <row r="19" spans="1:6" x14ac:dyDescent="0.15">
      <c r="A19" s="233">
        <v>105</v>
      </c>
      <c r="B19">
        <f t="shared" si="0"/>
        <v>4.03</v>
      </c>
      <c r="E19">
        <v>105</v>
      </c>
      <c r="F19">
        <f>단계양수시험!G30</f>
        <v>4.03</v>
      </c>
    </row>
    <row r="20" spans="1:6" x14ac:dyDescent="0.15">
      <c r="A20" s="235">
        <v>120</v>
      </c>
      <c r="B20" s="241">
        <f t="shared" si="0"/>
        <v>4.1399999999999997</v>
      </c>
      <c r="C20" s="241">
        <f>B26-B20</f>
        <v>0.82000000000000028</v>
      </c>
      <c r="D20" s="242">
        <f>C20/10</f>
        <v>8.2000000000000031E-2</v>
      </c>
      <c r="E20">
        <v>120</v>
      </c>
      <c r="F20">
        <f>단계양수시험!G31</f>
        <v>4.1399999999999997</v>
      </c>
    </row>
    <row r="21" spans="1:6" x14ac:dyDescent="0.15">
      <c r="A21" s="233">
        <v>121</v>
      </c>
      <c r="B21" s="240">
        <f>B20+D21</f>
        <v>4.3</v>
      </c>
      <c r="D21">
        <v>0.16</v>
      </c>
      <c r="E21">
        <v>130</v>
      </c>
      <c r="F21">
        <f>단계양수시험!G32</f>
        <v>4.96</v>
      </c>
    </row>
    <row r="22" spans="1:6" x14ac:dyDescent="0.15">
      <c r="A22" s="233">
        <v>122</v>
      </c>
      <c r="B22" s="240">
        <f>B21+D22</f>
        <v>4.45</v>
      </c>
      <c r="D22">
        <v>0.15</v>
      </c>
      <c r="E22">
        <v>140</v>
      </c>
      <c r="F22">
        <f>단계양수시험!G33</f>
        <v>5.0999999999999996</v>
      </c>
    </row>
    <row r="23" spans="1:6" x14ac:dyDescent="0.15">
      <c r="A23" s="233">
        <v>123</v>
      </c>
      <c r="B23" s="240">
        <f>B22+D23</f>
        <v>4.59</v>
      </c>
      <c r="D23">
        <v>0.14000000000000001</v>
      </c>
      <c r="E23">
        <v>150</v>
      </c>
      <c r="F23">
        <f>단계양수시험!G34</f>
        <v>5.24</v>
      </c>
    </row>
    <row r="24" spans="1:6" x14ac:dyDescent="0.15">
      <c r="A24" s="233">
        <v>124</v>
      </c>
      <c r="B24" s="240">
        <f>B23+D24</f>
        <v>4.72</v>
      </c>
      <c r="D24">
        <v>0.13</v>
      </c>
      <c r="E24">
        <v>180</v>
      </c>
      <c r="F24">
        <f>단계양수시험!G35</f>
        <v>5.38</v>
      </c>
    </row>
    <row r="25" spans="1:6" x14ac:dyDescent="0.15">
      <c r="A25" s="233">
        <v>125</v>
      </c>
      <c r="B25" s="240">
        <f>B24+D25</f>
        <v>4.8499999999999996</v>
      </c>
      <c r="D25">
        <v>0.13</v>
      </c>
      <c r="E25">
        <v>240</v>
      </c>
      <c r="F25">
        <f>단계양수시험!G36</f>
        <v>5.52</v>
      </c>
    </row>
    <row r="26" spans="1:6" x14ac:dyDescent="0.15">
      <c r="A26" s="233">
        <v>130</v>
      </c>
      <c r="B26" s="241">
        <f>F21</f>
        <v>4.96</v>
      </c>
      <c r="C26" s="241">
        <f>B28-B26</f>
        <v>0.13999999999999968</v>
      </c>
      <c r="D26" s="241">
        <f>C26/2</f>
        <v>6.999999999999984E-2</v>
      </c>
      <c r="E26">
        <v>250</v>
      </c>
      <c r="F26">
        <f>단계양수시험!G37</f>
        <v>6.45</v>
      </c>
    </row>
    <row r="27" spans="1:6" x14ac:dyDescent="0.15">
      <c r="A27" s="233">
        <v>135</v>
      </c>
      <c r="B27" s="240">
        <f>B26+D27</f>
        <v>5.07</v>
      </c>
      <c r="D27">
        <v>0.11</v>
      </c>
      <c r="E27">
        <v>260</v>
      </c>
      <c r="F27">
        <f>단계양수시험!G38</f>
        <v>6.6</v>
      </c>
    </row>
    <row r="28" spans="1:6" x14ac:dyDescent="0.15">
      <c r="A28" s="233">
        <v>140</v>
      </c>
      <c r="B28" s="241">
        <f>F22</f>
        <v>5.0999999999999996</v>
      </c>
      <c r="C28" s="241">
        <f>B30-B28</f>
        <v>0.14000000000000057</v>
      </c>
      <c r="D28" s="241">
        <f>C28/2</f>
        <v>7.0000000000000284E-2</v>
      </c>
      <c r="E28">
        <v>270</v>
      </c>
      <c r="F28">
        <f>단계양수시험!G39</f>
        <v>6.76</v>
      </c>
    </row>
    <row r="29" spans="1:6" x14ac:dyDescent="0.15">
      <c r="A29" s="233">
        <v>145</v>
      </c>
      <c r="B29" s="240">
        <f>B28+D29</f>
        <v>5.1999999999999993</v>
      </c>
      <c r="D29">
        <v>0.1</v>
      </c>
      <c r="E29">
        <v>300</v>
      </c>
      <c r="F29">
        <f>단계양수시험!G40</f>
        <v>6.91</v>
      </c>
    </row>
    <row r="30" spans="1:6" x14ac:dyDescent="0.15">
      <c r="A30" s="233">
        <v>150</v>
      </c>
      <c r="B30" s="241">
        <f>F23</f>
        <v>5.24</v>
      </c>
      <c r="C30" s="241">
        <f>B36-B30</f>
        <v>0.13999999999999968</v>
      </c>
      <c r="D30" s="243">
        <f>C30/6</f>
        <v>2.3333333333333279E-2</v>
      </c>
      <c r="E30">
        <v>360</v>
      </c>
      <c r="F30">
        <f>단계양수시험!G41</f>
        <v>7.07</v>
      </c>
    </row>
    <row r="31" spans="1:6" x14ac:dyDescent="0.15">
      <c r="A31" s="233">
        <v>155</v>
      </c>
      <c r="B31" s="240">
        <f>B30+D31</f>
        <v>5.3</v>
      </c>
      <c r="D31">
        <v>0.06</v>
      </c>
    </row>
    <row r="32" spans="1:6" x14ac:dyDescent="0.15">
      <c r="A32" s="233">
        <v>160</v>
      </c>
      <c r="B32" s="240">
        <f t="shared" ref="B32:B39" si="1">B31+D32</f>
        <v>5.35</v>
      </c>
      <c r="D32">
        <v>0.05</v>
      </c>
    </row>
    <row r="33" spans="1:4" x14ac:dyDescent="0.15">
      <c r="A33" s="233">
        <v>165</v>
      </c>
      <c r="B33" s="240">
        <f t="shared" si="1"/>
        <v>5.39</v>
      </c>
      <c r="D33">
        <v>0.04</v>
      </c>
    </row>
    <row r="34" spans="1:4" x14ac:dyDescent="0.15">
      <c r="A34" s="233">
        <v>170</v>
      </c>
      <c r="B34" s="240">
        <f t="shared" si="1"/>
        <v>5.42</v>
      </c>
      <c r="D34">
        <v>0.03</v>
      </c>
    </row>
    <row r="35" spans="1:4" x14ac:dyDescent="0.15">
      <c r="A35" s="233">
        <v>175</v>
      </c>
      <c r="B35" s="240">
        <f t="shared" si="1"/>
        <v>5.4399999999999995</v>
      </c>
      <c r="D35">
        <v>0.02</v>
      </c>
    </row>
    <row r="36" spans="1:4" x14ac:dyDescent="0.15">
      <c r="A36" s="233">
        <v>180</v>
      </c>
      <c r="B36" s="241">
        <f>F24</f>
        <v>5.38</v>
      </c>
      <c r="C36" s="241">
        <f>B40-B36</f>
        <v>0.13999999999999968</v>
      </c>
      <c r="D36" s="241">
        <f>C36/4</f>
        <v>3.499999999999992E-2</v>
      </c>
    </row>
    <row r="37" spans="1:4" x14ac:dyDescent="0.15">
      <c r="A37" s="233">
        <v>195</v>
      </c>
      <c r="B37" s="240">
        <f t="shared" si="1"/>
        <v>5.45</v>
      </c>
      <c r="D37">
        <v>7.0000000000000007E-2</v>
      </c>
    </row>
    <row r="38" spans="1:4" x14ac:dyDescent="0.15">
      <c r="A38" s="233">
        <v>210</v>
      </c>
      <c r="B38" s="240">
        <f t="shared" si="1"/>
        <v>5.51</v>
      </c>
      <c r="D38">
        <v>0.06</v>
      </c>
    </row>
    <row r="39" spans="1:4" x14ac:dyDescent="0.15">
      <c r="A39" s="233">
        <v>225</v>
      </c>
      <c r="B39" s="240">
        <f t="shared" si="1"/>
        <v>5.56</v>
      </c>
      <c r="D39">
        <v>0.05</v>
      </c>
    </row>
    <row r="40" spans="1:4" x14ac:dyDescent="0.15">
      <c r="A40" s="235">
        <v>240</v>
      </c>
      <c r="B40" s="241">
        <f>F25</f>
        <v>5.52</v>
      </c>
      <c r="C40" s="241">
        <f>B46-B40</f>
        <v>0.9300000000000006</v>
      </c>
      <c r="D40" s="242">
        <f>C40/10</f>
        <v>9.3000000000000055E-2</v>
      </c>
    </row>
    <row r="41" spans="1:4" x14ac:dyDescent="0.15">
      <c r="A41" s="233">
        <v>241</v>
      </c>
      <c r="B41" s="240">
        <f>B40+D41</f>
        <v>5.6999999999999993</v>
      </c>
      <c r="D41">
        <v>0.18</v>
      </c>
    </row>
    <row r="42" spans="1:4" x14ac:dyDescent="0.15">
      <c r="A42" s="233">
        <v>242</v>
      </c>
      <c r="B42" s="240">
        <f>B41+D42</f>
        <v>5.8599999999999994</v>
      </c>
      <c r="D42">
        <v>0.16</v>
      </c>
    </row>
    <row r="43" spans="1:4" x14ac:dyDescent="0.15">
      <c r="A43" s="233">
        <v>243</v>
      </c>
      <c r="B43" s="240">
        <f>B42+D43</f>
        <v>6.01</v>
      </c>
      <c r="D43">
        <v>0.15</v>
      </c>
    </row>
    <row r="44" spans="1:4" x14ac:dyDescent="0.15">
      <c r="A44" s="233">
        <v>244</v>
      </c>
      <c r="B44" s="240">
        <f>B43+D44</f>
        <v>6.1499999999999995</v>
      </c>
      <c r="D44">
        <v>0.14000000000000001</v>
      </c>
    </row>
    <row r="45" spans="1:4" x14ac:dyDescent="0.15">
      <c r="A45" s="233">
        <v>245</v>
      </c>
      <c r="B45" s="240">
        <f>B44+D45</f>
        <v>6.2799999999999994</v>
      </c>
      <c r="D45">
        <v>0.13</v>
      </c>
    </row>
    <row r="46" spans="1:4" x14ac:dyDescent="0.15">
      <c r="A46" s="233">
        <v>250</v>
      </c>
      <c r="B46" s="241">
        <f>F26</f>
        <v>6.45</v>
      </c>
      <c r="C46" s="241">
        <f>B48-B46</f>
        <v>0.14999999999999947</v>
      </c>
      <c r="D46" s="241">
        <f>C46/2</f>
        <v>7.4999999999999734E-2</v>
      </c>
    </row>
    <row r="47" spans="1:4" x14ac:dyDescent="0.15">
      <c r="A47" s="233">
        <v>255</v>
      </c>
      <c r="B47" s="240">
        <f>B46+D47</f>
        <v>6.5600000000000005</v>
      </c>
      <c r="D47">
        <v>0.11</v>
      </c>
    </row>
    <row r="48" spans="1:4" x14ac:dyDescent="0.15">
      <c r="A48" s="233">
        <v>260</v>
      </c>
      <c r="B48" s="241">
        <f>F27</f>
        <v>6.6</v>
      </c>
      <c r="C48" s="241">
        <f>B50-B48</f>
        <v>0.16000000000000014</v>
      </c>
      <c r="D48" s="241">
        <f>C48/2</f>
        <v>8.0000000000000071E-2</v>
      </c>
    </row>
    <row r="49" spans="1:6" x14ac:dyDescent="0.15">
      <c r="A49" s="233">
        <v>265</v>
      </c>
      <c r="B49" s="240">
        <f>B48+D49</f>
        <v>6.71</v>
      </c>
      <c r="D49">
        <v>0.11</v>
      </c>
    </row>
    <row r="50" spans="1:6" x14ac:dyDescent="0.15">
      <c r="A50" s="233">
        <v>270</v>
      </c>
      <c r="B50" s="241">
        <f>F28</f>
        <v>6.76</v>
      </c>
      <c r="C50" s="241">
        <f>B56-B50</f>
        <v>0.15000000000000036</v>
      </c>
      <c r="D50" s="243">
        <f>C50/6</f>
        <v>2.500000000000006E-2</v>
      </c>
    </row>
    <row r="51" spans="1:6" x14ac:dyDescent="0.15">
      <c r="A51" s="233">
        <v>275</v>
      </c>
      <c r="B51" s="240">
        <f>B50+D51</f>
        <v>6.83</v>
      </c>
      <c r="D51">
        <v>7.0000000000000007E-2</v>
      </c>
    </row>
    <row r="52" spans="1:6" x14ac:dyDescent="0.15">
      <c r="A52" s="233">
        <v>280</v>
      </c>
      <c r="B52" s="240">
        <f>B51+D52</f>
        <v>6.88</v>
      </c>
      <c r="D52">
        <v>0.05</v>
      </c>
    </row>
    <row r="53" spans="1:6" x14ac:dyDescent="0.15">
      <c r="A53" s="233">
        <v>285</v>
      </c>
      <c r="B53" s="240">
        <f>B52+D53</f>
        <v>6.92</v>
      </c>
      <c r="D53">
        <v>0.04</v>
      </c>
    </row>
    <row r="54" spans="1:6" x14ac:dyDescent="0.15">
      <c r="A54" s="233">
        <v>290</v>
      </c>
      <c r="B54" s="240">
        <f>B53+D54</f>
        <v>6.95</v>
      </c>
      <c r="D54">
        <v>0.03</v>
      </c>
    </row>
    <row r="55" spans="1:6" x14ac:dyDescent="0.15">
      <c r="A55" s="233">
        <v>295</v>
      </c>
      <c r="B55" s="240">
        <f>B54+D55</f>
        <v>6.97</v>
      </c>
      <c r="D55">
        <v>0.02</v>
      </c>
    </row>
    <row r="56" spans="1:6" x14ac:dyDescent="0.15">
      <c r="A56" s="233">
        <v>300</v>
      </c>
      <c r="B56" s="241">
        <f>F29</f>
        <v>6.91</v>
      </c>
      <c r="C56" s="241">
        <f>B60-B56</f>
        <v>0.16000000000000014</v>
      </c>
      <c r="D56" s="241">
        <f>C56/4</f>
        <v>4.0000000000000036E-2</v>
      </c>
    </row>
    <row r="57" spans="1:6" x14ac:dyDescent="0.15">
      <c r="A57" s="233">
        <v>315</v>
      </c>
      <c r="B57" s="240">
        <f>B56+D57</f>
        <v>6.99</v>
      </c>
      <c r="D57">
        <v>0.08</v>
      </c>
    </row>
    <row r="58" spans="1:6" x14ac:dyDescent="0.15">
      <c r="A58" s="233">
        <v>330</v>
      </c>
      <c r="B58" s="240">
        <f>B57+D58</f>
        <v>7.05</v>
      </c>
      <c r="D58">
        <v>0.06</v>
      </c>
    </row>
    <row r="59" spans="1:6" x14ac:dyDescent="0.15">
      <c r="A59" s="233">
        <v>345</v>
      </c>
      <c r="B59" s="240">
        <f>B58+D59</f>
        <v>7.1</v>
      </c>
      <c r="D59">
        <v>0.05</v>
      </c>
    </row>
    <row r="60" spans="1:6" x14ac:dyDescent="0.15">
      <c r="A60" s="235">
        <v>360</v>
      </c>
      <c r="B60" s="241">
        <f>F30</f>
        <v>7.07</v>
      </c>
      <c r="C60" s="241">
        <f>B66-B60</f>
        <v>1.0399999999999991</v>
      </c>
      <c r="D60" s="242">
        <f>C60/10</f>
        <v>0.10399999999999991</v>
      </c>
    </row>
    <row r="61" spans="1:6" x14ac:dyDescent="0.15">
      <c r="A61" s="233">
        <v>361</v>
      </c>
      <c r="B61" s="240">
        <f>B60+D61</f>
        <v>7.2600000000000007</v>
      </c>
      <c r="D61">
        <v>0.19</v>
      </c>
    </row>
    <row r="62" spans="1:6" x14ac:dyDescent="0.15">
      <c r="A62" s="233">
        <v>362</v>
      </c>
      <c r="B62" s="240">
        <f>B61+D62</f>
        <v>7.4300000000000006</v>
      </c>
      <c r="D62">
        <v>0.17</v>
      </c>
    </row>
    <row r="63" spans="1:6" x14ac:dyDescent="0.15">
      <c r="A63" s="233">
        <v>363</v>
      </c>
      <c r="B63" s="240">
        <f>B62+D63</f>
        <v>7.5900000000000007</v>
      </c>
      <c r="D63">
        <v>0.16</v>
      </c>
      <c r="E63">
        <v>370</v>
      </c>
      <c r="F63">
        <f>단계양수시험!G42</f>
        <v>8.11</v>
      </c>
    </row>
    <row r="64" spans="1:6" x14ac:dyDescent="0.15">
      <c r="A64" s="233">
        <v>364</v>
      </c>
      <c r="B64" s="240">
        <f>B63+D64</f>
        <v>7.7400000000000011</v>
      </c>
      <c r="D64">
        <v>0.15</v>
      </c>
      <c r="E64">
        <v>380</v>
      </c>
      <c r="F64">
        <f>단계양수시험!G43</f>
        <v>8.2799999999999994</v>
      </c>
    </row>
    <row r="65" spans="1:6" x14ac:dyDescent="0.15">
      <c r="A65" s="233">
        <v>365</v>
      </c>
      <c r="B65" s="240">
        <f>B64+D65</f>
        <v>7.8800000000000008</v>
      </c>
      <c r="D65">
        <v>0.14000000000000001</v>
      </c>
      <c r="E65">
        <v>390</v>
      </c>
      <c r="F65">
        <f>단계양수시험!G44</f>
        <v>8.4600000000000009</v>
      </c>
    </row>
    <row r="66" spans="1:6" x14ac:dyDescent="0.15">
      <c r="A66" s="233">
        <v>370</v>
      </c>
      <c r="B66" s="241">
        <f>F63</f>
        <v>8.11</v>
      </c>
      <c r="C66" s="244">
        <f>B68-B66</f>
        <v>0.16999999999999993</v>
      </c>
      <c r="D66" s="241">
        <f>C66/2</f>
        <v>8.4999999999999964E-2</v>
      </c>
      <c r="E66">
        <v>420</v>
      </c>
      <c r="F66">
        <f>단계양수시험!G45</f>
        <v>8.6300000000000008</v>
      </c>
    </row>
    <row r="67" spans="1:6" x14ac:dyDescent="0.15">
      <c r="A67" s="233">
        <v>375</v>
      </c>
      <c r="B67" s="240">
        <f>B66+D67</f>
        <v>8.2299999999999986</v>
      </c>
      <c r="D67">
        <v>0.12</v>
      </c>
      <c r="E67">
        <v>480</v>
      </c>
      <c r="F67">
        <f>단계양수시험!G46</f>
        <v>8.81</v>
      </c>
    </row>
    <row r="68" spans="1:6" x14ac:dyDescent="0.15">
      <c r="A68" s="233">
        <v>380</v>
      </c>
      <c r="B68" s="245">
        <f>F64</f>
        <v>8.2799999999999994</v>
      </c>
      <c r="C68" s="241">
        <f>B70-B68</f>
        <v>0.18000000000000149</v>
      </c>
      <c r="D68" s="241">
        <f>C68/2</f>
        <v>9.0000000000000746E-2</v>
      </c>
      <c r="E68">
        <v>490</v>
      </c>
      <c r="F68">
        <f>단계양수시험!G47</f>
        <v>9.86</v>
      </c>
    </row>
    <row r="69" spans="1:6" x14ac:dyDescent="0.15">
      <c r="A69" s="233">
        <v>385</v>
      </c>
      <c r="B69" s="240">
        <f>B68+D69</f>
        <v>8.3999999999999986</v>
      </c>
      <c r="D69">
        <v>0.12</v>
      </c>
      <c r="E69">
        <v>500</v>
      </c>
      <c r="F69">
        <f>단계양수시험!G48</f>
        <v>10.26</v>
      </c>
    </row>
    <row r="70" spans="1:6" x14ac:dyDescent="0.15">
      <c r="A70" s="233">
        <v>390</v>
      </c>
      <c r="B70" s="245">
        <f>F65</f>
        <v>8.4600000000000009</v>
      </c>
      <c r="C70" s="241">
        <f>B76-B70</f>
        <v>0.16999999999999993</v>
      </c>
      <c r="D70" s="243">
        <f>C70/6</f>
        <v>2.8333333333333321E-2</v>
      </c>
      <c r="E70">
        <v>510</v>
      </c>
      <c r="F70">
        <f>단계양수시험!G49</f>
        <v>10.65</v>
      </c>
    </row>
    <row r="71" spans="1:6" x14ac:dyDescent="0.15">
      <c r="A71" s="233">
        <v>395</v>
      </c>
      <c r="B71" s="240">
        <f>B70+D71</f>
        <v>8.5300000000000011</v>
      </c>
      <c r="D71">
        <v>7.0000000000000007E-2</v>
      </c>
      <c r="E71">
        <v>540</v>
      </c>
      <c r="F71">
        <f>단계양수시험!G50</f>
        <v>11.05</v>
      </c>
    </row>
    <row r="72" spans="1:6" x14ac:dyDescent="0.15">
      <c r="A72" s="233">
        <v>400</v>
      </c>
      <c r="B72" s="240">
        <f>B71+D72</f>
        <v>8.5800000000000018</v>
      </c>
      <c r="D72">
        <v>0.05</v>
      </c>
      <c r="E72">
        <v>600</v>
      </c>
      <c r="F72">
        <f>단계양수시험!G51</f>
        <v>11.45</v>
      </c>
    </row>
    <row r="73" spans="1:6" x14ac:dyDescent="0.15">
      <c r="A73" s="233">
        <v>405</v>
      </c>
      <c r="B73" s="240">
        <f>B72+D73</f>
        <v>8.620000000000001</v>
      </c>
      <c r="D73">
        <v>0.04</v>
      </c>
    </row>
    <row r="74" spans="1:6" x14ac:dyDescent="0.15">
      <c r="A74" s="233">
        <v>410</v>
      </c>
      <c r="B74" s="240">
        <f>B73+D74</f>
        <v>8.65</v>
      </c>
      <c r="D74">
        <v>0.03</v>
      </c>
    </row>
    <row r="75" spans="1:6" x14ac:dyDescent="0.15">
      <c r="A75" s="233">
        <v>415</v>
      </c>
      <c r="B75" s="240">
        <f>B74+D75</f>
        <v>8.68</v>
      </c>
      <c r="D75">
        <v>0.03</v>
      </c>
    </row>
    <row r="76" spans="1:6" x14ac:dyDescent="0.15">
      <c r="A76" s="233">
        <v>420</v>
      </c>
      <c r="B76" s="245">
        <f>F66</f>
        <v>8.6300000000000008</v>
      </c>
      <c r="C76" s="241">
        <f>B80-B76</f>
        <v>0.17999999999999972</v>
      </c>
      <c r="D76" s="241">
        <f>C76/4</f>
        <v>4.4999999999999929E-2</v>
      </c>
    </row>
    <row r="77" spans="1:6" x14ac:dyDescent="0.15">
      <c r="A77" s="233">
        <v>435</v>
      </c>
      <c r="B77" s="240">
        <f>B76+D77</f>
        <v>8.7200000000000006</v>
      </c>
      <c r="D77">
        <v>0.09</v>
      </c>
    </row>
    <row r="78" spans="1:6" x14ac:dyDescent="0.15">
      <c r="A78" s="233">
        <v>450</v>
      </c>
      <c r="B78" s="240">
        <f>B77+D78</f>
        <v>8.7900000000000009</v>
      </c>
      <c r="D78">
        <v>7.0000000000000007E-2</v>
      </c>
    </row>
    <row r="79" spans="1:6" x14ac:dyDescent="0.15">
      <c r="A79" s="233">
        <v>465</v>
      </c>
      <c r="B79" s="240">
        <f>B78+D79</f>
        <v>8.8400000000000016</v>
      </c>
      <c r="D79">
        <v>0.05</v>
      </c>
    </row>
    <row r="80" spans="1:6" x14ac:dyDescent="0.15">
      <c r="A80" s="235">
        <v>480</v>
      </c>
      <c r="B80" s="245">
        <f>F67</f>
        <v>8.81</v>
      </c>
      <c r="C80" s="241">
        <f>B86-B80</f>
        <v>1.0499999999999989</v>
      </c>
      <c r="D80" s="242">
        <f>C80/10</f>
        <v>0.1049999999999999</v>
      </c>
    </row>
    <row r="81" spans="1:4" x14ac:dyDescent="0.15">
      <c r="A81" s="233">
        <v>481</v>
      </c>
      <c r="B81" s="240">
        <f>B80+D81</f>
        <v>9.0200000000000014</v>
      </c>
      <c r="D81">
        <v>0.21</v>
      </c>
    </row>
    <row r="82" spans="1:4" x14ac:dyDescent="0.15">
      <c r="A82" s="233">
        <v>482</v>
      </c>
      <c r="B82" s="240">
        <f>B81+D82</f>
        <v>9.2100000000000009</v>
      </c>
      <c r="D82">
        <v>0.19</v>
      </c>
    </row>
    <row r="83" spans="1:4" x14ac:dyDescent="0.15">
      <c r="A83" s="233">
        <v>483</v>
      </c>
      <c r="B83" s="240">
        <f>B82+D83</f>
        <v>9.3800000000000008</v>
      </c>
      <c r="D83">
        <v>0.17</v>
      </c>
    </row>
    <row r="84" spans="1:4" x14ac:dyDescent="0.15">
      <c r="A84" s="233">
        <v>484</v>
      </c>
      <c r="B84" s="240">
        <f>B83+D84</f>
        <v>9.5400000000000009</v>
      </c>
      <c r="D84">
        <v>0.16</v>
      </c>
    </row>
    <row r="85" spans="1:4" x14ac:dyDescent="0.15">
      <c r="A85" s="233">
        <v>485</v>
      </c>
      <c r="B85" s="240">
        <f>B84+D85</f>
        <v>9.6800000000000015</v>
      </c>
      <c r="D85">
        <v>0.14000000000000001</v>
      </c>
    </row>
    <row r="86" spans="1:4" x14ac:dyDescent="0.15">
      <c r="A86" s="233">
        <v>490</v>
      </c>
      <c r="B86" s="245">
        <f>F68</f>
        <v>9.86</v>
      </c>
      <c r="C86" s="241">
        <f>B88-B86</f>
        <v>0.40000000000000036</v>
      </c>
      <c r="D86" s="241">
        <f>C86/2</f>
        <v>0.20000000000000018</v>
      </c>
    </row>
    <row r="87" spans="1:4" x14ac:dyDescent="0.15">
      <c r="A87" s="233">
        <v>495</v>
      </c>
      <c r="B87" s="240">
        <f>B86+D87</f>
        <v>10.17</v>
      </c>
      <c r="D87">
        <v>0.31</v>
      </c>
    </row>
    <row r="88" spans="1:4" x14ac:dyDescent="0.15">
      <c r="A88" s="233">
        <v>500</v>
      </c>
      <c r="B88" s="245">
        <f>F69</f>
        <v>10.26</v>
      </c>
      <c r="C88" s="241">
        <f>B90-B88</f>
        <v>0.39000000000000057</v>
      </c>
      <c r="D88" s="241">
        <f>C88/2</f>
        <v>0.19500000000000028</v>
      </c>
    </row>
    <row r="89" spans="1:4" x14ac:dyDescent="0.15">
      <c r="A89" s="233">
        <v>505</v>
      </c>
      <c r="B89" s="240">
        <f>B88+D89</f>
        <v>10.56</v>
      </c>
      <c r="D89">
        <v>0.3</v>
      </c>
    </row>
    <row r="90" spans="1:4" x14ac:dyDescent="0.15">
      <c r="A90" s="233">
        <v>510</v>
      </c>
      <c r="B90" s="245">
        <f>F70</f>
        <v>10.65</v>
      </c>
      <c r="C90" s="241">
        <f>B96-B90</f>
        <v>0.40000000000000036</v>
      </c>
      <c r="D90" s="243">
        <f>C90/6</f>
        <v>6.6666666666666721E-2</v>
      </c>
    </row>
    <row r="91" spans="1:4" x14ac:dyDescent="0.15">
      <c r="A91" s="233">
        <v>515</v>
      </c>
      <c r="B91" s="240">
        <f>B90+D91</f>
        <v>10.8</v>
      </c>
      <c r="D91">
        <v>0.15</v>
      </c>
    </row>
    <row r="92" spans="1:4" x14ac:dyDescent="0.15">
      <c r="A92" s="233">
        <v>520</v>
      </c>
      <c r="B92" s="240">
        <f>B91+D92</f>
        <v>10.930000000000001</v>
      </c>
      <c r="D92">
        <v>0.13</v>
      </c>
    </row>
    <row r="93" spans="1:4" x14ac:dyDescent="0.15">
      <c r="A93" s="233">
        <v>525</v>
      </c>
      <c r="B93" s="240">
        <f>B92+D93</f>
        <v>11.040000000000001</v>
      </c>
      <c r="D93">
        <v>0.11</v>
      </c>
    </row>
    <row r="94" spans="1:4" x14ac:dyDescent="0.15">
      <c r="A94" s="233">
        <v>530</v>
      </c>
      <c r="B94" s="240">
        <f>B93+D94</f>
        <v>11.120000000000001</v>
      </c>
      <c r="D94">
        <v>0.08</v>
      </c>
    </row>
    <row r="95" spans="1:4" x14ac:dyDescent="0.15">
      <c r="A95" s="233">
        <v>535</v>
      </c>
      <c r="B95" s="240">
        <f>B94+D95</f>
        <v>11.190000000000001</v>
      </c>
      <c r="D95">
        <v>7.0000000000000007E-2</v>
      </c>
    </row>
    <row r="96" spans="1:4" x14ac:dyDescent="0.15">
      <c r="A96" s="233">
        <v>540</v>
      </c>
      <c r="B96" s="245">
        <f>F71</f>
        <v>11.05</v>
      </c>
      <c r="C96" s="241">
        <f>B100-B96</f>
        <v>0.39999999999999858</v>
      </c>
      <c r="D96" s="241">
        <f>C96/4</f>
        <v>9.9999999999999645E-2</v>
      </c>
    </row>
    <row r="97" spans="1:4" x14ac:dyDescent="0.15">
      <c r="A97" s="233">
        <v>555</v>
      </c>
      <c r="B97" s="240">
        <f>B96+D97</f>
        <v>11.24</v>
      </c>
      <c r="D97">
        <v>0.19</v>
      </c>
    </row>
    <row r="98" spans="1:4" x14ac:dyDescent="0.15">
      <c r="A98" s="233">
        <v>570</v>
      </c>
      <c r="B98" s="240">
        <f>B97+D98</f>
        <v>11.4</v>
      </c>
      <c r="D98">
        <v>0.16</v>
      </c>
    </row>
    <row r="99" spans="1:4" x14ac:dyDescent="0.15">
      <c r="A99" s="233">
        <v>585</v>
      </c>
      <c r="B99" s="240">
        <f>B98+D99</f>
        <v>11.540000000000001</v>
      </c>
      <c r="D99">
        <v>0.14000000000000001</v>
      </c>
    </row>
    <row r="100" spans="1:4" x14ac:dyDescent="0.15">
      <c r="A100" s="235">
        <v>600</v>
      </c>
      <c r="B100" s="208">
        <f>F72</f>
        <v>11.45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6">
        <f>SUM(E3:E6)</f>
        <v>58.495833333333337</v>
      </c>
      <c r="F1" s="236"/>
      <c r="G1" s="236">
        <f>E1/E2</f>
        <v>0.87743749999999998</v>
      </c>
    </row>
    <row r="2" spans="1:19" x14ac:dyDescent="0.15">
      <c r="A2" s="47" t="s">
        <v>186</v>
      </c>
      <c r="B2" s="47" t="s">
        <v>187</v>
      </c>
      <c r="D2" s="20">
        <f>D19</f>
        <v>111</v>
      </c>
      <c r="E2" s="236">
        <f>M51/3</f>
        <v>66.666666666666671</v>
      </c>
      <c r="F2" s="281" t="s">
        <v>189</v>
      </c>
      <c r="G2" s="280" t="s">
        <v>222</v>
      </c>
    </row>
    <row r="3" spans="1:19" x14ac:dyDescent="0.15">
      <c r="A3" s="184">
        <f>B3+$M$48</f>
        <v>8.0399999999999991</v>
      </c>
      <c r="B3" s="283">
        <f>B20</f>
        <v>4.1399999999999997</v>
      </c>
      <c r="C3" s="19"/>
      <c r="D3" s="282">
        <f t="shared" ref="D3:D7" si="0">D20</f>
        <v>124</v>
      </c>
      <c r="E3" s="17">
        <f>D3/12</f>
        <v>10.333333333333334</v>
      </c>
      <c r="F3" s="21">
        <f>INT(B3/D3*1000)/1000</f>
        <v>3.3000000000000002E-2</v>
      </c>
      <c r="G3" s="21">
        <f>1/F3</f>
        <v>30.303030303030301</v>
      </c>
    </row>
    <row r="4" spans="1:19" x14ac:dyDescent="0.15">
      <c r="A4" s="184">
        <f>B4+$M$48</f>
        <v>9.42</v>
      </c>
      <c r="B4" s="19">
        <f>B21</f>
        <v>5.52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3.4000000000000002E-2</v>
      </c>
      <c r="G4" s="21">
        <f t="shared" ref="G4:G7" si="1">1/F4</f>
        <v>29.411764705882351</v>
      </c>
    </row>
    <row r="5" spans="1:19" x14ac:dyDescent="0.15">
      <c r="A5" s="184">
        <f>B5+$M$48</f>
        <v>10.97</v>
      </c>
      <c r="B5" s="19">
        <f>B22</f>
        <v>7.07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3.5999999999999997E-2</v>
      </c>
      <c r="G5" s="21">
        <f t="shared" si="1"/>
        <v>27.777777777777779</v>
      </c>
    </row>
    <row r="6" spans="1:19" x14ac:dyDescent="0.15">
      <c r="A6" s="184">
        <f>B6+$M$48</f>
        <v>12.71</v>
      </c>
      <c r="B6" s="283">
        <f>B23</f>
        <v>8.81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3.7999999999999999E-2</v>
      </c>
      <c r="G6" s="21">
        <f t="shared" si="1"/>
        <v>26.315789473684212</v>
      </c>
    </row>
    <row r="7" spans="1:19" x14ac:dyDescent="0.15">
      <c r="A7" s="184">
        <f>B7+$M$48</f>
        <v>15.35</v>
      </c>
      <c r="B7" s="19">
        <f>B24</f>
        <v>11.45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4.2999999999999997E-2</v>
      </c>
      <c r="G7" s="21">
        <f t="shared" si="1"/>
        <v>23.255813953488374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79" t="s">
        <v>194</v>
      </c>
      <c r="B9" s="279" t="s">
        <v>195</v>
      </c>
      <c r="E9" s="91">
        <v>0.98</v>
      </c>
      <c r="F9" s="444" t="s">
        <v>114</v>
      </c>
      <c r="G9" s="444"/>
    </row>
    <row r="10" spans="1:19" x14ac:dyDescent="0.15">
      <c r="A10" s="278">
        <f>D20/B20</f>
        <v>29.95169082125604</v>
      </c>
      <c r="B10" s="278">
        <f>B20/D20</f>
        <v>3.3387096774193548E-2</v>
      </c>
      <c r="E10" s="91">
        <v>0.98</v>
      </c>
      <c r="F10" s="444" t="s">
        <v>115</v>
      </c>
      <c r="G10" s="444"/>
    </row>
    <row r="11" spans="1:19" x14ac:dyDescent="0.15">
      <c r="A11" s="278">
        <f t="shared" ref="A11:A14" si="2">D21/B21</f>
        <v>28.623188405797105</v>
      </c>
      <c r="B11" s="278">
        <f t="shared" ref="B11:B14" si="3">B21/D21</f>
        <v>3.4936708860759488E-2</v>
      </c>
      <c r="D11" s="17" t="s">
        <v>0</v>
      </c>
      <c r="E11" s="91">
        <v>0.98</v>
      </c>
      <c r="F11" s="444" t="s">
        <v>116</v>
      </c>
      <c r="G11" s="444"/>
    </row>
    <row r="12" spans="1:19" x14ac:dyDescent="0.15">
      <c r="A12" s="278">
        <f t="shared" si="2"/>
        <v>27.291371994342288</v>
      </c>
      <c r="B12" s="278">
        <f t="shared" si="3"/>
        <v>3.6641616999222602E-2</v>
      </c>
      <c r="E12" s="91">
        <v>1</v>
      </c>
      <c r="F12" s="444" t="s">
        <v>117</v>
      </c>
      <c r="G12" s="444"/>
    </row>
    <row r="13" spans="1:19" x14ac:dyDescent="0.15">
      <c r="A13" s="278">
        <f t="shared" si="2"/>
        <v>25.766174801362087</v>
      </c>
      <c r="B13" s="278">
        <f t="shared" si="3"/>
        <v>3.8810572687224675E-2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8">
        <f t="shared" si="2"/>
        <v>22.799126637554583</v>
      </c>
      <c r="B14" s="278">
        <f t="shared" si="3"/>
        <v>4.3861329247270646E-2</v>
      </c>
      <c r="E14" s="92">
        <v>1</v>
      </c>
      <c r="F14" s="444" t="s">
        <v>114</v>
      </c>
      <c r="G14" s="444"/>
    </row>
    <row r="15" spans="1:19" x14ac:dyDescent="0.15">
      <c r="E15" s="92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2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7">
        <f>M52</f>
        <v>8.81</v>
      </c>
      <c r="D17" s="90">
        <f>M47</f>
        <v>227</v>
      </c>
      <c r="E17" s="92">
        <v>1</v>
      </c>
      <c r="F17" s="444" t="s">
        <v>117</v>
      </c>
      <c r="G17" s="444"/>
      <c r="P17" s="355"/>
      <c r="Q17" s="35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5"/>
    </row>
    <row r="19" spans="1:21" x14ac:dyDescent="0.15">
      <c r="B19" s="88"/>
      <c r="C19" s="19"/>
      <c r="D19" s="86">
        <f>INT(D20*0.9)</f>
        <v>111</v>
      </c>
      <c r="F19" s="19"/>
      <c r="G19" s="19"/>
    </row>
    <row r="20" spans="1:21" x14ac:dyDescent="0.15">
      <c r="A20" s="258" t="s">
        <v>188</v>
      </c>
      <c r="B20" s="88">
        <f>INT(B$17*C20*100)/100</f>
        <v>4.1399999999999997</v>
      </c>
      <c r="C20" s="17">
        <f>0.48*E9</f>
        <v>0.47039999999999998</v>
      </c>
      <c r="D20" s="414">
        <f>INT(D$17*E20)</f>
        <v>124</v>
      </c>
      <c r="E20" s="415">
        <f>0.55*E14</f>
        <v>0.55000000000000004</v>
      </c>
      <c r="F20" s="21">
        <f>B20/D20</f>
        <v>3.3387096774193548E-2</v>
      </c>
      <c r="G20" s="17">
        <f>F20-F19</f>
        <v>3.3387096774193548E-2</v>
      </c>
    </row>
    <row r="21" spans="1:21" x14ac:dyDescent="0.15">
      <c r="A21" s="19">
        <f>B21-B20</f>
        <v>1.38</v>
      </c>
      <c r="B21" s="88">
        <f>INT(B$17*C21*100)/100</f>
        <v>5.52</v>
      </c>
      <c r="C21" s="17">
        <f>0.64*E10</f>
        <v>0.62719999999999998</v>
      </c>
      <c r="D21" s="414">
        <f>INT(D$17*E21)</f>
        <v>158</v>
      </c>
      <c r="E21" s="415">
        <f>0.7*E15</f>
        <v>0.7</v>
      </c>
      <c r="F21" s="21">
        <f>B21/D21</f>
        <v>3.4936708860759488E-2</v>
      </c>
      <c r="G21" s="17">
        <f>F21-F20</f>
        <v>1.5496120865659407E-3</v>
      </c>
      <c r="N21" s="113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99" t="s">
        <v>132</v>
      </c>
    </row>
    <row r="22" spans="1:21" x14ac:dyDescent="0.15">
      <c r="A22" s="19">
        <f>B22-B21</f>
        <v>1.5500000000000007</v>
      </c>
      <c r="B22" s="88">
        <f>INT(B$17*C22*100)/100</f>
        <v>7.07</v>
      </c>
      <c r="C22" s="17">
        <f>0.82*E11</f>
        <v>0.80359999999999998</v>
      </c>
      <c r="D22" s="90">
        <f>(D$17*E22)</f>
        <v>192.95</v>
      </c>
      <c r="E22" s="415">
        <f>0.85*E16</f>
        <v>0.85</v>
      </c>
      <c r="F22" s="21">
        <f>B22/D22</f>
        <v>3.6641616999222602E-2</v>
      </c>
      <c r="G22" s="17">
        <f>F22-F21</f>
        <v>1.704908138463114E-3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 x14ac:dyDescent="0.15">
      <c r="A23" s="19">
        <f>B23-B22</f>
        <v>1.7400000000000002</v>
      </c>
      <c r="B23" s="88">
        <f>INT(B$17*C23*100)/100</f>
        <v>8.81</v>
      </c>
      <c r="C23" s="17">
        <v>1</v>
      </c>
      <c r="D23" s="414">
        <f>D$17*E23</f>
        <v>227</v>
      </c>
      <c r="E23" s="415">
        <v>1</v>
      </c>
      <c r="F23" s="21">
        <f>B23/D23</f>
        <v>3.8810572687224675E-2</v>
      </c>
      <c r="G23" s="17">
        <f>F23-F22</f>
        <v>2.1689556880020722E-3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 x14ac:dyDescent="0.15">
      <c r="A24" s="19">
        <f>B24-B23</f>
        <v>2.6399999999999988</v>
      </c>
      <c r="B24" s="88">
        <f>INT(B$17*C24*100)/100</f>
        <v>11.45</v>
      </c>
      <c r="C24" s="17">
        <f>1.3*E12</f>
        <v>1.3</v>
      </c>
      <c r="D24" s="414">
        <f>D$17*E24</f>
        <v>261.04999999999995</v>
      </c>
      <c r="E24" s="415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 x14ac:dyDescent="0.15">
      <c r="D25" s="89"/>
      <c r="F25" s="21">
        <f>B24/D24</f>
        <v>4.3861329247270646E-2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 x14ac:dyDescent="0.15">
      <c r="A26" s="416" t="s">
        <v>118</v>
      </c>
      <c r="B26" s="416"/>
      <c r="C26" s="84">
        <f>INT(M51*1)</f>
        <v>200</v>
      </c>
      <c r="F26" s="183">
        <f>M50/M51</f>
        <v>4.9500000000000002E-2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 x14ac:dyDescent="0.15">
      <c r="A27" s="416" t="s">
        <v>119</v>
      </c>
      <c r="B27" s="416"/>
      <c r="C27" s="85">
        <f>가채수량!B7</f>
        <v>205.15025605281588</v>
      </c>
      <c r="D27" s="19">
        <f>(C27/D6)*100</f>
        <v>90.374562137804347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 x14ac:dyDescent="0.15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 x14ac:dyDescent="0.15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 x14ac:dyDescent="0.15">
      <c r="A31" s="32">
        <v>5.2299999999999997E-5</v>
      </c>
      <c r="B31" s="32">
        <v>2.6773600000000002E-2</v>
      </c>
      <c r="D31" s="20">
        <f t="shared" ref="D31:D36" si="4">D19</f>
        <v>111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 x14ac:dyDescent="0.15">
      <c r="A32" s="17">
        <f t="shared" ref="A32:B34" si="5">A31</f>
        <v>5.2299999999999997E-5</v>
      </c>
      <c r="B32" s="17">
        <f t="shared" si="5"/>
        <v>2.6773600000000002E-2</v>
      </c>
      <c r="D32" s="20">
        <f t="shared" si="4"/>
        <v>124</v>
      </c>
      <c r="F32" s="23">
        <f>B32*D32/(B32*D32+A32*D32*D32)*100</f>
        <v>80.500799788326688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 x14ac:dyDescent="0.15">
      <c r="A33" s="17">
        <f t="shared" si="5"/>
        <v>5.2299999999999997E-5</v>
      </c>
      <c r="B33" s="17">
        <f t="shared" si="5"/>
        <v>2.6773600000000002E-2</v>
      </c>
      <c r="D33" s="20">
        <f t="shared" si="4"/>
        <v>158</v>
      </c>
      <c r="F33" s="23">
        <f>B33*D33/(B33*D33+A33*D33*D33)*100</f>
        <v>76.415218197905077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 x14ac:dyDescent="0.15">
      <c r="A34" s="17">
        <f t="shared" si="5"/>
        <v>5.2299999999999997E-5</v>
      </c>
      <c r="B34" s="17">
        <f t="shared" si="5"/>
        <v>2.6773600000000002E-2</v>
      </c>
      <c r="D34" s="20">
        <f t="shared" si="4"/>
        <v>192.95</v>
      </c>
      <c r="F34" s="23">
        <f>B34*D34/(B34*D34+A34*D34*D34)*100</f>
        <v>72.626294643262824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 x14ac:dyDescent="0.15">
      <c r="A35" s="17">
        <f>A34</f>
        <v>5.2299999999999997E-5</v>
      </c>
      <c r="B35" s="17">
        <f>B34</f>
        <v>2.6773600000000002E-2</v>
      </c>
      <c r="D35" s="20">
        <f t="shared" si="4"/>
        <v>227</v>
      </c>
      <c r="F35" s="23">
        <f>B35*D35/(B35*D35+A35*D35*D35)*100</f>
        <v>69.27963525049357</v>
      </c>
      <c r="G35" s="23"/>
    </row>
    <row r="36" spans="1:21" x14ac:dyDescent="0.15">
      <c r="D36" s="20">
        <f t="shared" si="4"/>
        <v>261.04999999999995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74.70548696999704</v>
      </c>
      <c r="P37" s="18">
        <v>5.2299999999999997E-5</v>
      </c>
      <c r="Q37" s="18">
        <v>0.109</v>
      </c>
    </row>
    <row r="38" spans="1:21" x14ac:dyDescent="0.15">
      <c r="A38" s="46">
        <v>72.013999999999996</v>
      </c>
      <c r="B38" s="47">
        <v>0.109</v>
      </c>
      <c r="C38" s="47">
        <v>93.813999999999993</v>
      </c>
      <c r="E38" s="17" t="s">
        <v>33</v>
      </c>
      <c r="P38" s="18">
        <v>2.6773600000000002E-2</v>
      </c>
      <c r="Q38" s="18">
        <v>93.813999999999993</v>
      </c>
    </row>
    <row r="39" spans="1:21" x14ac:dyDescent="0.15">
      <c r="A39" s="24"/>
      <c r="B39" s="25" t="s">
        <v>34</v>
      </c>
      <c r="C39" s="19">
        <f>(C38-A38)/B38</f>
        <v>199.99999999999997</v>
      </c>
      <c r="D39" s="17">
        <f>C38-B38*M51</f>
        <v>72.013999999999996</v>
      </c>
    </row>
    <row r="40" spans="1:21" x14ac:dyDescent="0.15">
      <c r="A40" s="24" t="s">
        <v>35</v>
      </c>
      <c r="B40" s="25" t="s">
        <v>34</v>
      </c>
      <c r="C40" s="17">
        <f>INT(C39)</f>
        <v>200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7">
        <f>INT(SQRT((2.25*A44*A47)/(A45*10^(5.46*A44*A46)))*1000)/1000</f>
        <v>19.559000000000001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 x14ac:dyDescent="0.3">
      <c r="A44" s="114">
        <f>B58</f>
        <v>2</v>
      </c>
      <c r="B44" s="22" t="s">
        <v>16</v>
      </c>
      <c r="H44" s="372" t="s">
        <v>191</v>
      </c>
      <c r="I44" s="429" t="s">
        <v>252</v>
      </c>
      <c r="J44" s="430"/>
      <c r="K44" s="431"/>
      <c r="L44" s="373" t="s">
        <v>59</v>
      </c>
      <c r="M44" s="374">
        <v>250</v>
      </c>
      <c r="N44" s="373" t="s">
        <v>185</v>
      </c>
      <c r="Q44" s="363">
        <v>130</v>
      </c>
      <c r="R44" s="399">
        <v>29.6</v>
      </c>
      <c r="S44" s="399">
        <v>21.78</v>
      </c>
      <c r="T44" s="353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372" t="s">
        <v>54</v>
      </c>
      <c r="I45" s="375" t="s">
        <v>253</v>
      </c>
      <c r="J45" s="376"/>
      <c r="K45" s="374"/>
      <c r="L45" s="373" t="s">
        <v>60</v>
      </c>
      <c r="M45" s="374">
        <v>83</v>
      </c>
      <c r="N45" s="374">
        <f>M44</f>
        <v>250</v>
      </c>
      <c r="Q45" s="363">
        <v>166</v>
      </c>
      <c r="R45" s="399">
        <v>36.86</v>
      </c>
      <c r="S45" s="399">
        <v>29.04</v>
      </c>
      <c r="T45" s="353">
        <v>5.7471264367816097</v>
      </c>
      <c r="U45" s="18">
        <v>0.17399999999999999</v>
      </c>
    </row>
    <row r="46" spans="1:21" ht="16.5" x14ac:dyDescent="0.3">
      <c r="A46" s="17">
        <f>B34</f>
        <v>2.6773600000000002E-2</v>
      </c>
      <c r="B46" s="22" t="s">
        <v>36</v>
      </c>
      <c r="C46" s="425" t="s">
        <v>29</v>
      </c>
      <c r="D46" s="425"/>
      <c r="H46" s="372" t="s">
        <v>55</v>
      </c>
      <c r="I46" s="374" t="s">
        <v>254</v>
      </c>
      <c r="J46" s="376"/>
      <c r="K46" s="374"/>
      <c r="L46" s="373" t="s">
        <v>61</v>
      </c>
      <c r="M46" s="377">
        <f>IF(I52&gt;M48, M45-I52,M45-M48)</f>
        <v>72</v>
      </c>
      <c r="N46" s="378"/>
      <c r="Q46" s="363">
        <v>202</v>
      </c>
      <c r="R46" s="399">
        <v>45.03</v>
      </c>
      <c r="S46" s="399">
        <v>37.21</v>
      </c>
      <c r="T46" s="353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2" t="s">
        <v>56</v>
      </c>
      <c r="I47" s="374" t="s">
        <v>255</v>
      </c>
      <c r="J47" s="376"/>
      <c r="K47" s="374"/>
      <c r="L47" s="373" t="s">
        <v>62</v>
      </c>
      <c r="M47" s="379">
        <f>INT((M51*100)/M53)</f>
        <v>227</v>
      </c>
      <c r="N47" s="378"/>
      <c r="Q47" s="363">
        <v>238</v>
      </c>
      <c r="R47" s="399">
        <v>53.2</v>
      </c>
      <c r="S47" s="399">
        <v>45.38</v>
      </c>
      <c r="T47" s="353">
        <v>5.2631578947368425</v>
      </c>
      <c r="U47" s="18">
        <v>0.19</v>
      </c>
    </row>
    <row r="48" spans="1:21" ht="16.5" x14ac:dyDescent="0.3">
      <c r="B48" s="22"/>
      <c r="H48" s="372" t="s">
        <v>57</v>
      </c>
      <c r="I48" s="374">
        <v>5</v>
      </c>
      <c r="J48" s="428" t="s">
        <v>256</v>
      </c>
      <c r="K48" s="428"/>
      <c r="L48" s="380" t="s">
        <v>63</v>
      </c>
      <c r="M48" s="381">
        <v>3.9</v>
      </c>
      <c r="N48" s="378"/>
      <c r="Q48" s="363">
        <v>274</v>
      </c>
      <c r="R48" s="399">
        <v>66.81</v>
      </c>
      <c r="S48" s="399">
        <v>58.99</v>
      </c>
      <c r="T48" s="353">
        <v>4.6511627906976747</v>
      </c>
      <c r="U48" s="18">
        <v>0.215</v>
      </c>
    </row>
    <row r="49" spans="1:17" ht="16.5" x14ac:dyDescent="0.3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19" t="s">
        <v>58</v>
      </c>
      <c r="I49" s="427" t="str">
        <f>I45</f>
        <v>노성지구</v>
      </c>
      <c r="J49" s="427"/>
      <c r="K49" s="427"/>
      <c r="L49" s="373" t="s">
        <v>64</v>
      </c>
      <c r="M49" s="381">
        <v>13.8</v>
      </c>
      <c r="N49" s="378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3" t="s">
        <v>65</v>
      </c>
      <c r="M50" s="382">
        <f>M49-M48</f>
        <v>9.9</v>
      </c>
      <c r="N50" s="378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3" t="s">
        <v>106</v>
      </c>
      <c r="M51" s="402">
        <v>200</v>
      </c>
      <c r="N51" s="378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1.958</v>
      </c>
      <c r="C52" s="17">
        <f>INT(B52*B51*1000)/1000</f>
        <v>0</v>
      </c>
      <c r="H52" s="384" t="s">
        <v>96</v>
      </c>
      <c r="I52" s="385">
        <v>11</v>
      </c>
      <c r="J52" s="384" t="s">
        <v>97</v>
      </c>
      <c r="K52" s="385">
        <v>0</v>
      </c>
      <c r="L52" s="386" t="s">
        <v>66</v>
      </c>
      <c r="M52" s="377">
        <f>INT(M50*0.89*100)/100</f>
        <v>8.81</v>
      </c>
      <c r="N52" s="387"/>
      <c r="Q52" s="18">
        <v>166</v>
      </c>
    </row>
    <row r="53" spans="1:17" ht="16.5" x14ac:dyDescent="0.3">
      <c r="H53" s="378"/>
      <c r="I53" s="417" t="s">
        <v>120</v>
      </c>
      <c r="J53" s="417"/>
      <c r="K53" s="417"/>
      <c r="L53" s="417"/>
      <c r="M53" s="388">
        <v>88</v>
      </c>
      <c r="N53" s="378"/>
      <c r="Q53" s="18">
        <v>202</v>
      </c>
    </row>
    <row r="54" spans="1:17" ht="18.75" customHeight="1" x14ac:dyDescent="0.15">
      <c r="A54" s="25" t="s">
        <v>40</v>
      </c>
      <c r="B54" s="17" t="e">
        <f>INT(C50/C52*1000)/1000</f>
        <v>#DIV/0!</v>
      </c>
      <c r="H54" s="364" t="s">
        <v>238</v>
      </c>
      <c r="I54" s="395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7">
        <f>M50</f>
        <v>9.9</v>
      </c>
      <c r="J57" s="43" t="s">
        <v>67</v>
      </c>
      <c r="K57" s="48" t="s">
        <v>68</v>
      </c>
      <c r="L57" s="426" t="s">
        <v>73</v>
      </c>
      <c r="M57" s="426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8">
        <f>C62/M46</f>
        <v>6.0652777777777778E-2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4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39">
        <f>MAX(K58:K60)</f>
        <v>143.79189926458878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3">
        <v>5.9880239520958076</v>
      </c>
    </row>
    <row r="70" spans="17:17" x14ac:dyDescent="0.15">
      <c r="Q70" s="353">
        <v>5.7471264367816097</v>
      </c>
    </row>
    <row r="71" spans="17:17" x14ac:dyDescent="0.15">
      <c r="Q71" s="353">
        <v>5.4644808743169397</v>
      </c>
    </row>
    <row r="72" spans="17:17" x14ac:dyDescent="0.15">
      <c r="Q72" s="353">
        <v>5.2631578947368425</v>
      </c>
    </row>
    <row r="73" spans="17:17" x14ac:dyDescent="0.15">
      <c r="Q73" s="353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6" customWidth="1"/>
    <col min="3" max="3" width="13.109375" style="396" customWidth="1"/>
    <col min="4" max="4" width="14.6640625" style="396" customWidth="1"/>
    <col min="5" max="5" width="10.5546875" style="396" customWidth="1"/>
    <col min="6" max="16384" width="8.88671875" style="396"/>
  </cols>
  <sheetData>
    <row r="3" spans="3:6" ht="18" customHeight="1" x14ac:dyDescent="0.15">
      <c r="C3" s="397" t="s">
        <v>57</v>
      </c>
      <c r="D3" s="397" t="s">
        <v>238</v>
      </c>
      <c r="E3" s="397" t="s">
        <v>245</v>
      </c>
      <c r="F3" s="397" t="s">
        <v>59</v>
      </c>
    </row>
    <row r="4" spans="3:6" ht="18" customHeight="1" x14ac:dyDescent="0.15">
      <c r="C4" s="396">
        <v>1</v>
      </c>
      <c r="D4" s="398" t="s">
        <v>240</v>
      </c>
      <c r="E4" s="396" t="s">
        <v>239</v>
      </c>
      <c r="F4" s="396">
        <v>150</v>
      </c>
    </row>
    <row r="5" spans="3:6" ht="18" customHeight="1" x14ac:dyDescent="0.15">
      <c r="C5" s="396">
        <v>2</v>
      </c>
      <c r="D5" s="396" t="s">
        <v>241</v>
      </c>
      <c r="E5" s="396" t="s">
        <v>246</v>
      </c>
      <c r="F5" s="396">
        <v>200</v>
      </c>
    </row>
    <row r="6" spans="3:6" ht="18" customHeight="1" x14ac:dyDescent="0.15">
      <c r="C6" s="396">
        <v>3</v>
      </c>
      <c r="D6" s="396" t="s">
        <v>242</v>
      </c>
      <c r="E6" s="396" t="s">
        <v>247</v>
      </c>
      <c r="F6" s="396">
        <v>250</v>
      </c>
    </row>
    <row r="7" spans="3:6" ht="18" customHeight="1" x14ac:dyDescent="0.15">
      <c r="C7" s="396">
        <v>5</v>
      </c>
      <c r="D7" s="396" t="s">
        <v>243</v>
      </c>
      <c r="E7" s="396" t="s">
        <v>248</v>
      </c>
    </row>
    <row r="8" spans="3:6" ht="18" customHeight="1" x14ac:dyDescent="0.15">
      <c r="C8" s="396">
        <v>7.5</v>
      </c>
      <c r="D8" s="396" t="s">
        <v>244</v>
      </c>
      <c r="E8" s="396" t="s">
        <v>249</v>
      </c>
    </row>
    <row r="9" spans="3:6" ht="18" customHeight="1" x14ac:dyDescent="0.15">
      <c r="C9" s="396">
        <v>10</v>
      </c>
    </row>
    <row r="10" spans="3:6" ht="18" customHeight="1" x14ac:dyDescent="0.15">
      <c r="C10" s="396">
        <v>20</v>
      </c>
    </row>
    <row r="11" spans="3:6" ht="18" customHeight="1" x14ac:dyDescent="0.15">
      <c r="C11" s="396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6"/>
      <c r="B1" s="286" t="str">
        <f>입력표!I45</f>
        <v>노성지구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 x14ac:dyDescent="0.15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 x14ac:dyDescent="0.2">
      <c r="A3" s="286"/>
      <c r="B3" s="288" t="str">
        <f>입력표!J48</f>
        <v>공  번 : W - 1</v>
      </c>
      <c r="C3" s="289" t="str">
        <f>입력표!I46</f>
        <v>충청남도 논산시 노성면 장구리 436-6번지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 x14ac:dyDescent="0.2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 x14ac:dyDescent="0.15">
      <c r="A5" s="286"/>
      <c r="B5" s="349">
        <f>장기양수시험!G10</f>
        <v>4.2172200710678105</v>
      </c>
      <c r="C5" s="293">
        <f>장기양수시험!B10</f>
        <v>200</v>
      </c>
      <c r="D5" s="359">
        <v>8.4303000000000008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3.9</v>
      </c>
      <c r="J5" s="286"/>
      <c r="K5" s="365"/>
      <c r="L5" s="368"/>
      <c r="M5" s="368"/>
      <c r="N5" s="365"/>
      <c r="O5" s="286"/>
    </row>
    <row r="6" spans="1:15" ht="22.7" customHeight="1" x14ac:dyDescent="0.15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 x14ac:dyDescent="0.15">
      <c r="A7" s="286"/>
      <c r="B7" s="301" t="s">
        <v>201</v>
      </c>
      <c r="C7" s="302">
        <f>B5/(C5/(2*G5*D5))</f>
        <v>1.11691254052333</v>
      </c>
      <c r="D7" s="303" t="s">
        <v>202</v>
      </c>
      <c r="E7" s="302">
        <f>1.15*LOG((2.25*D5*(1/1440))/(F5*E5^2))</f>
        <v>3.7109039791333696</v>
      </c>
      <c r="F7" s="303" t="s">
        <v>197</v>
      </c>
      <c r="G7" s="410">
        <f>C7-E7</f>
        <v>-2.5939914386100398</v>
      </c>
      <c r="H7" s="286"/>
      <c r="I7" s="356">
        <f>입력표!M49</f>
        <v>13.8</v>
      </c>
      <c r="J7" s="286"/>
      <c r="K7" s="365"/>
      <c r="L7" s="368"/>
      <c r="M7" s="370"/>
      <c r="N7" s="365"/>
      <c r="O7" s="286"/>
    </row>
    <row r="8" spans="1:15" ht="22.7" customHeight="1" x14ac:dyDescent="0.15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 x14ac:dyDescent="0.2">
      <c r="A9" s="286"/>
      <c r="B9" s="304" t="s">
        <v>198</v>
      </c>
      <c r="C9" s="411">
        <f>E5*EXP(-1*G7)</f>
        <v>1.6728853614782413</v>
      </c>
      <c r="D9" s="305"/>
      <c r="E9" s="305"/>
      <c r="F9" s="305"/>
      <c r="G9" s="306"/>
      <c r="H9" s="286"/>
      <c r="I9" s="307">
        <f>입력표!M45</f>
        <v>83</v>
      </c>
      <c r="J9" s="286"/>
      <c r="K9" s="365"/>
      <c r="L9" s="368"/>
      <c r="M9" s="368"/>
      <c r="N9" s="367"/>
      <c r="O9" s="286"/>
    </row>
    <row r="10" spans="1:15" ht="22.7" customHeight="1" x14ac:dyDescent="0.15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 x14ac:dyDescent="0.2">
      <c r="A11" s="286"/>
      <c r="B11" s="286" t="s">
        <v>233</v>
      </c>
      <c r="C11" s="358">
        <f>장기양수시험!F101</f>
        <v>5.5893043603175014</v>
      </c>
      <c r="D11" s="286"/>
      <c r="E11" s="286"/>
      <c r="F11" s="286"/>
      <c r="G11" s="286"/>
      <c r="H11" s="286"/>
      <c r="I11" s="308">
        <f>입력표!I52</f>
        <v>11</v>
      </c>
      <c r="J11" s="286"/>
      <c r="K11" s="286"/>
      <c r="L11" s="286"/>
      <c r="M11" s="286"/>
      <c r="N11" s="286"/>
      <c r="O11" s="286"/>
    </row>
    <row r="12" spans="1:15" ht="22.7" customHeight="1" x14ac:dyDescent="0.15">
      <c r="A12" s="286"/>
      <c r="B12" s="286" t="s">
        <v>234</v>
      </c>
      <c r="C12" s="358">
        <f>I7-C11</f>
        <v>8.2106956396824984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 x14ac:dyDescent="0.2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 x14ac:dyDescent="0.15">
      <c r="A14" s="286"/>
      <c r="B14" s="309" t="s">
        <v>204</v>
      </c>
      <c r="C14" s="412">
        <f>ROUND(SQRT(6*B17*E17*H17/I17),1)</f>
        <v>88.1</v>
      </c>
      <c r="D14" s="310"/>
      <c r="E14" s="311" t="s">
        <v>205</v>
      </c>
      <c r="F14" s="312">
        <f>D5</f>
        <v>8.4303000000000008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 x14ac:dyDescent="0.15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 x14ac:dyDescent="0.15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 x14ac:dyDescent="0.2">
      <c r="A17" s="286"/>
      <c r="B17" s="351">
        <f>I7-I5</f>
        <v>9.9</v>
      </c>
      <c r="C17" s="346">
        <f>I9-IF(I5&gt;I11,I5,I11)</f>
        <v>72</v>
      </c>
      <c r="D17" s="348">
        <f>(F14+H14)/2</f>
        <v>5.3471500000000001</v>
      </c>
      <c r="E17" s="316">
        <f>INT(D17/C17*100000)/100000</f>
        <v>7.4260000000000007E-2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 x14ac:dyDescent="0.2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 x14ac:dyDescent="0.15">
      <c r="A19" s="286"/>
      <c r="B19" s="319" t="s">
        <v>211</v>
      </c>
      <c r="C19" s="413">
        <f>ROUND(3*SQRT(B22*E22*H22/I22),1)</f>
        <v>107.9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 x14ac:dyDescent="0.15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 x14ac:dyDescent="0.15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 x14ac:dyDescent="0.2">
      <c r="A22" s="286"/>
      <c r="B22" s="328">
        <f t="shared" ref="B22:I22" si="0">B17</f>
        <v>9.9</v>
      </c>
      <c r="C22" s="350">
        <f t="shared" si="0"/>
        <v>72</v>
      </c>
      <c r="D22" s="329">
        <f t="shared" si="0"/>
        <v>5.3471500000000001</v>
      </c>
      <c r="E22" s="352">
        <f t="shared" si="0"/>
        <v>7.4260000000000007E-2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 x14ac:dyDescent="0.2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 x14ac:dyDescent="0.15">
      <c r="A24" s="286"/>
      <c r="B24" s="309" t="s">
        <v>213</v>
      </c>
      <c r="C24" s="412">
        <f>ROUND(SQRT((2.25*D27*H27)/I27),1)</f>
        <v>145.6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 x14ac:dyDescent="0.15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 x14ac:dyDescent="0.15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 x14ac:dyDescent="0.2">
      <c r="A27" s="286"/>
      <c r="B27" s="332">
        <f t="shared" ref="B27:I27" si="1">B22</f>
        <v>9.9</v>
      </c>
      <c r="C27" s="317">
        <f t="shared" si="1"/>
        <v>72</v>
      </c>
      <c r="D27" s="317">
        <f t="shared" si="1"/>
        <v>5.3471500000000001</v>
      </c>
      <c r="E27" s="316">
        <f t="shared" si="1"/>
        <v>7.4260000000000007E-2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 x14ac:dyDescent="0.15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 x14ac:dyDescent="0.15">
      <c r="A29" s="286"/>
      <c r="B29" s="334" t="s">
        <v>218</v>
      </c>
      <c r="C29" s="335">
        <f>D17</f>
        <v>5.3471500000000001</v>
      </c>
      <c r="D29" s="342">
        <f>(C29/C17)*(100/86400)</f>
        <v>8.5955986368312751E-5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 x14ac:dyDescent="0.15">
      <c r="A30" s="286"/>
      <c r="B30" s="334" t="s">
        <v>220</v>
      </c>
      <c r="C30" s="286">
        <f>I22</f>
        <v>5.6780000000000003E-4</v>
      </c>
      <c r="D30" s="286">
        <f>C29/C17*100/86400</f>
        <v>8.5955986368312765E-5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 x14ac:dyDescent="0.15">
      <c r="A31" s="286"/>
      <c r="B31" s="334" t="s">
        <v>221</v>
      </c>
      <c r="C31" s="361">
        <f>(C14+C19+C24)/3</f>
        <v>113.86666666666667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 x14ac:dyDescent="0.15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 x14ac:dyDescent="0.15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 x14ac:dyDescent="0.15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 x14ac:dyDescent="0.15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 x14ac:dyDescent="0.15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 x14ac:dyDescent="0.15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 x14ac:dyDescent="0.15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 x14ac:dyDescent="0.15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 x14ac:dyDescent="0.15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 x14ac:dyDescent="0.15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 x14ac:dyDescent="0.1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 x14ac:dyDescent="0.1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 x14ac:dyDescent="0.1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 x14ac:dyDescent="0.1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 x14ac:dyDescent="0.1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 x14ac:dyDescent="0.1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 x14ac:dyDescent="0.1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 x14ac:dyDescent="0.1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 x14ac:dyDescent="0.1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 x14ac:dyDescent="0.1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 x14ac:dyDescent="0.1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 x14ac:dyDescent="0.1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 x14ac:dyDescent="0.1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 x14ac:dyDescent="0.1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 x14ac:dyDescent="0.1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 x14ac:dyDescent="0.1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 x14ac:dyDescent="0.1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 x14ac:dyDescent="0.1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 x14ac:dyDescent="0.1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 x14ac:dyDescent="0.1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 x14ac:dyDescent="0.1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 x14ac:dyDescent="0.1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 x14ac:dyDescent="0.1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 x14ac:dyDescent="0.1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 x14ac:dyDescent="0.1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 x14ac:dyDescent="0.1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 x14ac:dyDescent="0.1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 x14ac:dyDescent="0.1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 x14ac:dyDescent="0.1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 x14ac:dyDescent="0.1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 x14ac:dyDescent="0.1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 x14ac:dyDescent="0.1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 x14ac:dyDescent="0.1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 x14ac:dyDescent="0.1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 x14ac:dyDescent="0.1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 x14ac:dyDescent="0.1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 x14ac:dyDescent="0.1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 x14ac:dyDescent="0.1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 x14ac:dyDescent="0.1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 x14ac:dyDescent="0.1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 x14ac:dyDescent="0.1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 x14ac:dyDescent="0.1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 x14ac:dyDescent="0.1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 x14ac:dyDescent="0.1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 x14ac:dyDescent="0.1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 x14ac:dyDescent="0.1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 x14ac:dyDescent="0.1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 x14ac:dyDescent="0.1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 x14ac:dyDescent="0.1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 x14ac:dyDescent="0.1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 x14ac:dyDescent="0.1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 x14ac:dyDescent="0.1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 x14ac:dyDescent="0.1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 x14ac:dyDescent="0.1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 x14ac:dyDescent="0.1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 x14ac:dyDescent="0.1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 x14ac:dyDescent="0.1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 x14ac:dyDescent="0.1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 x14ac:dyDescent="0.1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 x14ac:dyDescent="0.1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 x14ac:dyDescent="0.1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 x14ac:dyDescent="0.1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 x14ac:dyDescent="0.1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 x14ac:dyDescent="0.1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 x14ac:dyDescent="0.1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 x14ac:dyDescent="0.1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 x14ac:dyDescent="0.1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 x14ac:dyDescent="0.1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 x14ac:dyDescent="0.1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 x14ac:dyDescent="0.1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 x14ac:dyDescent="0.1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 x14ac:dyDescent="0.1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 x14ac:dyDescent="0.1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 x14ac:dyDescent="0.1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 x14ac:dyDescent="0.15"/>
    <row r="2" spans="1:2" ht="20.100000000000001" customHeight="1" x14ac:dyDescent="0.15">
      <c r="A2" s="336" t="s">
        <v>107</v>
      </c>
      <c r="B2" s="338">
        <f>단계양수시험!B12</f>
        <v>124</v>
      </c>
    </row>
    <row r="3" spans="1:2" ht="20.100000000000001" customHeight="1" x14ac:dyDescent="0.15">
      <c r="A3" s="339" t="s">
        <v>108</v>
      </c>
      <c r="B3" s="340">
        <f>단계양수시험!G31</f>
        <v>4.1399999999999997</v>
      </c>
    </row>
    <row r="4" spans="1:2" ht="20.100000000000001" customHeight="1" x14ac:dyDescent="0.15">
      <c r="A4" s="339" t="s">
        <v>109</v>
      </c>
      <c r="B4" s="337">
        <f>단계양수시험!G46</f>
        <v>8.81</v>
      </c>
    </row>
    <row r="5" spans="1:2" ht="20.100000000000001" customHeight="1" x14ac:dyDescent="0.15">
      <c r="A5" s="341" t="s">
        <v>110</v>
      </c>
      <c r="B5" s="337">
        <f>2/3</f>
        <v>0.66666666666666663</v>
      </c>
    </row>
    <row r="6" spans="1:2" ht="20.100000000000001" customHeight="1" x14ac:dyDescent="0.15">
      <c r="A6" s="339"/>
    </row>
    <row r="7" spans="1:2" ht="20.100000000000001" customHeight="1" x14ac:dyDescent="0.15">
      <c r="A7" s="339" t="s">
        <v>111</v>
      </c>
      <c r="B7" s="337">
        <f>B2*(B4/B3)^(2/3)</f>
        <v>205.15025605281588</v>
      </c>
    </row>
    <row r="8" spans="1:2" ht="20.100000000000001" customHeight="1" x14ac:dyDescent="0.15">
      <c r="A8" s="339" t="s">
        <v>112</v>
      </c>
      <c r="B8" s="337">
        <f>INT(B7)</f>
        <v>205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2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 x14ac:dyDescent="0.1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0" t="str">
        <f>입력표!I44</f>
        <v>노성면 장구리 436-3번지 농업용관정 개발을 위한 지하수 영향조사</v>
      </c>
      <c r="D4" s="211"/>
      <c r="E4" s="211"/>
      <c r="F4" s="211"/>
      <c r="G4" s="211"/>
      <c r="H4" s="212"/>
      <c r="I4" s="213"/>
      <c r="P4" s="3">
        <v>1</v>
      </c>
      <c r="Q4" s="64"/>
      <c r="R4" s="14">
        <f>B12</f>
        <v>124</v>
      </c>
      <c r="S4" s="3">
        <f>$R$4</f>
        <v>124</v>
      </c>
      <c r="T4" s="371">
        <v>12.0303046796329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6.3789263189533978</v>
      </c>
      <c r="Z4" s="13">
        <f>Z22</f>
        <v>6.1613579273856702</v>
      </c>
      <c r="AA4" s="10">
        <f>$Z$4</f>
        <v>6.1613579273856702</v>
      </c>
      <c r="AB4" s="10">
        <f>X4</f>
        <v>1</v>
      </c>
      <c r="AC4" s="10">
        <f>Y4-AA4</f>
        <v>0.21756839156772756</v>
      </c>
      <c r="AD4" s="83">
        <f>INT((AC4-AE4)*100)/100</f>
        <v>0.21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4" t="str">
        <f>입력표!I45</f>
        <v>노성지구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124</v>
      </c>
      <c r="T5" s="3">
        <f>$T4</f>
        <v>12.0303046796329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6.9468275408036764</v>
      </c>
      <c r="AA5" s="10">
        <f t="shared" ref="AA5:AA23" si="5">$Z$4</f>
        <v>6.1613579273856702</v>
      </c>
      <c r="AB5" s="10">
        <f t="shared" ref="AB5:AB43" si="6">X5</f>
        <v>2</v>
      </c>
      <c r="AC5" s="10">
        <f t="shared" ref="AC5:AC43" si="7">Y5-AA5</f>
        <v>0.78546961341800614</v>
      </c>
      <c r="AD5" s="83">
        <f t="shared" ref="AD5:AD16" si="8">INT((AC5-AE5)*100)/100</f>
        <v>0.78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8" t="str">
        <f>입력표!I46</f>
        <v>충청남도 논산시 노성면 장구리 436-6번지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124</v>
      </c>
      <c r="T6" s="3">
        <f t="shared" ref="T6:T51" si="10">$T5</f>
        <v>12.0303046796329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7.2790284596998145</v>
      </c>
      <c r="AA6" s="10">
        <f t="shared" si="5"/>
        <v>6.1613579273856702</v>
      </c>
      <c r="AB6" s="10">
        <f t="shared" si="6"/>
        <v>3</v>
      </c>
      <c r="AC6" s="10">
        <f t="shared" si="7"/>
        <v>1.1176705323141443</v>
      </c>
      <c r="AD6" s="83">
        <f t="shared" si="8"/>
        <v>1.1100000000000001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19" t="str">
        <f>입력표!I47</f>
        <v>(주)동해엔지니어링</v>
      </c>
      <c r="D7" s="220"/>
      <c r="E7" s="211"/>
      <c r="F7" s="221"/>
      <c r="G7" s="222" t="str">
        <f>입력표!I49</f>
        <v>노성지구</v>
      </c>
      <c r="H7" s="223"/>
      <c r="I7" s="224"/>
      <c r="P7" s="3">
        <v>4</v>
      </c>
      <c r="Q7" s="64"/>
      <c r="S7" s="3">
        <f t="shared" si="3"/>
        <v>124</v>
      </c>
      <c r="T7" s="3">
        <f t="shared" si="10"/>
        <v>12.0303046796329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7.5147287626539541</v>
      </c>
      <c r="AA7" s="10">
        <f t="shared" si="5"/>
        <v>6.1613579273856702</v>
      </c>
      <c r="AB7" s="10">
        <f t="shared" si="6"/>
        <v>4</v>
      </c>
      <c r="AC7" s="10">
        <f t="shared" si="7"/>
        <v>1.3533708352682838</v>
      </c>
      <c r="AD7" s="83">
        <f t="shared" si="8"/>
        <v>1.35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5" t="s">
        <v>5</v>
      </c>
      <c r="B8" s="225"/>
      <c r="C8" s="454">
        <f>입력표!I48</f>
        <v>5</v>
      </c>
      <c r="D8" s="455"/>
      <c r="E8" s="456"/>
      <c r="F8" s="226" t="s">
        <v>6</v>
      </c>
      <c r="G8" s="222" t="str">
        <f>G7</f>
        <v>노성지구</v>
      </c>
      <c r="H8" s="223"/>
      <c r="I8" s="227"/>
      <c r="K8" s="407"/>
      <c r="P8" s="3">
        <v>5</v>
      </c>
      <c r="Q8" s="64"/>
      <c r="S8" s="3">
        <f t="shared" si="3"/>
        <v>124</v>
      </c>
      <c r="T8" s="3">
        <f t="shared" si="10"/>
        <v>12.0303046796329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7.6975521210884192</v>
      </c>
      <c r="AA8" s="10">
        <f t="shared" si="5"/>
        <v>6.1613579273856702</v>
      </c>
      <c r="AB8" s="10">
        <f t="shared" si="6"/>
        <v>5</v>
      </c>
      <c r="AC8" s="10">
        <f t="shared" si="7"/>
        <v>1.536194193702749</v>
      </c>
      <c r="AD8" s="83">
        <f t="shared" si="8"/>
        <v>1.53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5" t="s">
        <v>7</v>
      </c>
      <c r="B9" s="225"/>
      <c r="C9" s="228" t="s">
        <v>168</v>
      </c>
      <c r="D9" s="457">
        <f>입력표!M44</f>
        <v>250</v>
      </c>
      <c r="E9" s="457"/>
      <c r="F9" s="209" t="s">
        <v>8</v>
      </c>
      <c r="G9" s="447">
        <f>입력표!M45</f>
        <v>83</v>
      </c>
      <c r="H9" s="447"/>
      <c r="I9" s="209"/>
      <c r="P9" s="3">
        <v>10</v>
      </c>
      <c r="Q9" s="64"/>
      <c r="S9" s="3">
        <f t="shared" si="3"/>
        <v>124</v>
      </c>
      <c r="T9" s="3">
        <f t="shared" si="10"/>
        <v>12.0303046796329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8.2654533429386969</v>
      </c>
      <c r="AA9" s="10">
        <f t="shared" si="5"/>
        <v>6.1613579273856702</v>
      </c>
      <c r="AB9" s="10">
        <f t="shared" si="6"/>
        <v>10</v>
      </c>
      <c r="AC9" s="10">
        <f t="shared" si="7"/>
        <v>2.1040954155530267</v>
      </c>
      <c r="AD9" s="83">
        <f t="shared" si="8"/>
        <v>2.1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5" t="s">
        <v>4</v>
      </c>
      <c r="B10" s="225"/>
      <c r="C10" s="228" t="s">
        <v>169</v>
      </c>
      <c r="D10" s="450">
        <f>입력표!M48</f>
        <v>3.9</v>
      </c>
      <c r="E10" s="451"/>
      <c r="F10" s="229" t="s">
        <v>0</v>
      </c>
      <c r="G10" s="448" t="s">
        <v>0</v>
      </c>
      <c r="H10" s="448"/>
      <c r="I10" s="217"/>
      <c r="P10" s="3">
        <v>15</v>
      </c>
      <c r="Q10" s="64"/>
      <c r="S10" s="3">
        <f t="shared" si="3"/>
        <v>124</v>
      </c>
      <c r="T10" s="3">
        <f t="shared" si="10"/>
        <v>12.0303046796329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8.5976542618348368</v>
      </c>
      <c r="AA10" s="10">
        <f t="shared" si="5"/>
        <v>6.1613579273856702</v>
      </c>
      <c r="AB10" s="10">
        <f t="shared" si="6"/>
        <v>15</v>
      </c>
      <c r="AC10" s="10">
        <f t="shared" si="7"/>
        <v>2.4362963344491666</v>
      </c>
      <c r="AD10" s="83">
        <f t="shared" si="8"/>
        <v>2.4300000000000002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9" t="s">
        <v>10</v>
      </c>
      <c r="B11" s="230" t="s">
        <v>170</v>
      </c>
      <c r="C11" s="228" t="s">
        <v>171</v>
      </c>
      <c r="D11" s="452" t="s">
        <v>172</v>
      </c>
      <c r="E11" s="452"/>
      <c r="F11" s="230" t="s">
        <v>173</v>
      </c>
      <c r="G11" s="449" t="s">
        <v>174</v>
      </c>
      <c r="H11" s="449"/>
      <c r="I11" s="209" t="s">
        <v>164</v>
      </c>
      <c r="J11" s="406">
        <f>G12-J13</f>
        <v>-0.3600000000000001</v>
      </c>
      <c r="P11" s="3">
        <v>20</v>
      </c>
      <c r="Q11" s="64"/>
      <c r="S11" s="3">
        <f t="shared" si="3"/>
        <v>124</v>
      </c>
      <c r="T11" s="3">
        <f t="shared" si="10"/>
        <v>12.0303046796329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8.8333545647889746</v>
      </c>
      <c r="AA11" s="10">
        <f t="shared" si="5"/>
        <v>6.1613579273856702</v>
      </c>
      <c r="AB11" s="10">
        <f t="shared" si="6"/>
        <v>20</v>
      </c>
      <c r="AC11" s="10">
        <f t="shared" si="7"/>
        <v>2.6719966374033044</v>
      </c>
      <c r="AD11" s="83">
        <f t="shared" si="8"/>
        <v>2.67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4">
        <v>1</v>
      </c>
      <c r="B12" s="205">
        <f>입력표!D20</f>
        <v>124</v>
      </c>
      <c r="C12" s="206">
        <v>0.41736111111111113</v>
      </c>
      <c r="D12" s="446">
        <v>1</v>
      </c>
      <c r="E12" s="446"/>
      <c r="F12" s="207">
        <f>G12+$D$10</f>
        <v>4.1100000000000003</v>
      </c>
      <c r="G12" s="445">
        <f>AD4</f>
        <v>0.21</v>
      </c>
      <c r="H12" s="445"/>
      <c r="I12" s="209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12.0303046796329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9.0161779232234398</v>
      </c>
      <c r="AA12" s="10">
        <f t="shared" si="5"/>
        <v>6.1613579273856702</v>
      </c>
      <c r="AB12" s="10">
        <f t="shared" si="6"/>
        <v>25</v>
      </c>
      <c r="AC12" s="10">
        <f t="shared" si="7"/>
        <v>2.8548199958377696</v>
      </c>
      <c r="AD12" s="83">
        <f t="shared" si="8"/>
        <v>2.85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4"/>
      <c r="B13" s="204"/>
      <c r="C13" s="206"/>
      <c r="D13" s="446">
        <v>2</v>
      </c>
      <c r="E13" s="446"/>
      <c r="F13" s="207">
        <f t="shared" ref="F13:F28" si="13">G13+$D$10</f>
        <v>4.68</v>
      </c>
      <c r="G13" s="445">
        <f t="shared" ref="G13:G51" si="14">AD5</f>
        <v>0.78</v>
      </c>
      <c r="H13" s="445"/>
      <c r="I13" s="208"/>
      <c r="J13" s="8">
        <f>G13-G12</f>
        <v>0.57000000000000006</v>
      </c>
      <c r="P13" s="3">
        <v>30</v>
      </c>
      <c r="Q13" s="64"/>
      <c r="S13" s="3">
        <f t="shared" si="3"/>
        <v>124</v>
      </c>
      <c r="T13" s="3">
        <f t="shared" si="10"/>
        <v>12.0303046796329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9.1655554836851145</v>
      </c>
      <c r="AA13" s="10">
        <f t="shared" si="5"/>
        <v>6.1613579273856702</v>
      </c>
      <c r="AB13" s="10">
        <f t="shared" si="6"/>
        <v>30</v>
      </c>
      <c r="AC13" s="10">
        <f t="shared" si="7"/>
        <v>3.0041975562994443</v>
      </c>
      <c r="AD13" s="83">
        <f t="shared" si="8"/>
        <v>3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4"/>
      <c r="B14" s="204"/>
      <c r="C14" s="206"/>
      <c r="D14" s="446">
        <v>3</v>
      </c>
      <c r="E14" s="446"/>
      <c r="F14" s="207">
        <f t="shared" si="13"/>
        <v>5.01</v>
      </c>
      <c r="G14" s="445">
        <f t="shared" si="14"/>
        <v>1.1100000000000001</v>
      </c>
      <c r="H14" s="445"/>
      <c r="I14" s="208"/>
      <c r="J14" s="8">
        <f t="shared" ref="J14:J51" si="15">G14-G13</f>
        <v>0.33000000000000007</v>
      </c>
      <c r="Q14" s="64"/>
      <c r="S14" s="3">
        <f t="shared" si="3"/>
        <v>124</v>
      </c>
      <c r="T14" s="3">
        <f t="shared" si="10"/>
        <v>12.0303046796329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9.2918524114923251</v>
      </c>
      <c r="AA14" s="10">
        <f t="shared" si="5"/>
        <v>6.1613579273856702</v>
      </c>
      <c r="AB14" s="10">
        <f t="shared" si="6"/>
        <v>35</v>
      </c>
      <c r="AC14" s="10">
        <f t="shared" si="7"/>
        <v>3.1304944841066549</v>
      </c>
      <c r="AD14" s="83">
        <f t="shared" si="8"/>
        <v>3.13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4"/>
      <c r="B15" s="204"/>
      <c r="C15" s="206"/>
      <c r="D15" s="446">
        <v>4</v>
      </c>
      <c r="E15" s="446"/>
      <c r="F15" s="207">
        <f t="shared" si="13"/>
        <v>5.25</v>
      </c>
      <c r="G15" s="445">
        <f t="shared" si="14"/>
        <v>1.35</v>
      </c>
      <c r="H15" s="445"/>
      <c r="I15" s="208"/>
      <c r="J15" s="8">
        <f t="shared" si="15"/>
        <v>0.24</v>
      </c>
      <c r="Q15" s="64"/>
      <c r="S15" s="3">
        <f t="shared" si="3"/>
        <v>124</v>
      </c>
      <c r="T15" s="3">
        <f t="shared" si="10"/>
        <v>12.0303046796329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9.4012557866392541</v>
      </c>
      <c r="AA15" s="10">
        <f t="shared" si="5"/>
        <v>6.1613579273856702</v>
      </c>
      <c r="AB15" s="10">
        <f t="shared" si="6"/>
        <v>40</v>
      </c>
      <c r="AC15" s="10">
        <f t="shared" si="7"/>
        <v>3.2398978592535839</v>
      </c>
      <c r="AD15" s="83">
        <f t="shared" si="8"/>
        <v>3.23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4"/>
      <c r="B16" s="204"/>
      <c r="C16" s="206"/>
      <c r="D16" s="446">
        <v>5</v>
      </c>
      <c r="E16" s="446"/>
      <c r="F16" s="207">
        <f t="shared" si="13"/>
        <v>5.43</v>
      </c>
      <c r="G16" s="445">
        <f t="shared" si="14"/>
        <v>1.53</v>
      </c>
      <c r="H16" s="445"/>
      <c r="I16" s="208"/>
      <c r="J16" s="8">
        <f t="shared" si="15"/>
        <v>0.17999999999999994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12.0303046796329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9.4977564025812526</v>
      </c>
      <c r="AA16" s="10">
        <f t="shared" si="5"/>
        <v>6.1613579273856702</v>
      </c>
      <c r="AB16" s="10">
        <f t="shared" si="6"/>
        <v>45</v>
      </c>
      <c r="AC16" s="10">
        <f t="shared" si="7"/>
        <v>3.3363984751955824</v>
      </c>
      <c r="AD16" s="83">
        <f t="shared" si="8"/>
        <v>3.33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4"/>
      <c r="B17" s="204"/>
      <c r="C17" s="206"/>
      <c r="D17" s="446">
        <v>10</v>
      </c>
      <c r="E17" s="446"/>
      <c r="F17" s="207">
        <f t="shared" si="13"/>
        <v>6</v>
      </c>
      <c r="G17" s="445">
        <f t="shared" si="14"/>
        <v>2.1</v>
      </c>
      <c r="H17" s="445"/>
      <c r="I17" s="208"/>
      <c r="J17" s="8">
        <f t="shared" si="15"/>
        <v>0.57000000000000006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-2.44</v>
      </c>
      <c r="S17" s="3">
        <f t="shared" si="3"/>
        <v>124</v>
      </c>
      <c r="T17" s="3">
        <f t="shared" si="10"/>
        <v>12.0303046796329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9.5840791450737193</v>
      </c>
      <c r="AA17" s="10">
        <f t="shared" si="5"/>
        <v>6.1613579273856702</v>
      </c>
      <c r="AB17" s="10">
        <f t="shared" si="6"/>
        <v>50</v>
      </c>
      <c r="AC17" s="10">
        <f t="shared" si="7"/>
        <v>3.422721217688049</v>
      </c>
      <c r="AD17" s="83">
        <f t="shared" ref="AD17:AD22" si="16">INT(AC17*100)/100</f>
        <v>3.42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4"/>
      <c r="B18" s="204"/>
      <c r="C18" s="206"/>
      <c r="D18" s="446">
        <v>15</v>
      </c>
      <c r="E18" s="446"/>
      <c r="F18" s="207">
        <f t="shared" si="13"/>
        <v>6.33</v>
      </c>
      <c r="G18" s="445">
        <f t="shared" si="14"/>
        <v>2.4300000000000002</v>
      </c>
      <c r="H18" s="445"/>
      <c r="I18" s="208"/>
      <c r="J18" s="8">
        <f t="shared" si="15"/>
        <v>0.33000000000000007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-4.4400000000000004</v>
      </c>
      <c r="S18" s="3">
        <f t="shared" si="3"/>
        <v>124</v>
      </c>
      <c r="T18" s="3">
        <f t="shared" si="10"/>
        <v>12.0303046796329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9.6621675642200255</v>
      </c>
      <c r="AA18" s="10">
        <f t="shared" si="5"/>
        <v>6.1613579273856702</v>
      </c>
      <c r="AB18" s="10">
        <f t="shared" si="6"/>
        <v>55</v>
      </c>
      <c r="AC18" s="10">
        <f t="shared" si="7"/>
        <v>3.5008096368343553</v>
      </c>
      <c r="AD18" s="83">
        <f t="shared" si="16"/>
        <v>3.5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4"/>
      <c r="B19" s="204"/>
      <c r="C19" s="206"/>
      <c r="D19" s="446">
        <v>20</v>
      </c>
      <c r="E19" s="446"/>
      <c r="F19" s="207">
        <f t="shared" si="13"/>
        <v>6.57</v>
      </c>
      <c r="G19" s="445">
        <f t="shared" si="14"/>
        <v>2.67</v>
      </c>
      <c r="H19" s="445"/>
      <c r="I19" s="208"/>
      <c r="J19" s="8">
        <f t="shared" si="15"/>
        <v>0.23999999999999977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-6.51</v>
      </c>
      <c r="S19" s="3">
        <f t="shared" si="3"/>
        <v>124</v>
      </c>
      <c r="T19" s="3">
        <f t="shared" si="10"/>
        <v>12.0303046796329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9.7334567055353922</v>
      </c>
      <c r="AA19" s="10">
        <f t="shared" si="5"/>
        <v>6.1613579273856702</v>
      </c>
      <c r="AB19" s="10">
        <f t="shared" si="6"/>
        <v>60</v>
      </c>
      <c r="AC19" s="10">
        <f t="shared" si="7"/>
        <v>3.572098778149722</v>
      </c>
      <c r="AD19" s="83">
        <f t="shared" si="16"/>
        <v>3.57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4"/>
      <c r="B20" s="204"/>
      <c r="C20" s="206"/>
      <c r="D20" s="446">
        <v>25</v>
      </c>
      <c r="E20" s="446"/>
      <c r="F20" s="207">
        <f t="shared" si="13"/>
        <v>6.75</v>
      </c>
      <c r="G20" s="445">
        <f t="shared" si="14"/>
        <v>2.85</v>
      </c>
      <c r="H20" s="445"/>
      <c r="I20" s="208"/>
      <c r="J20" s="8">
        <f t="shared" si="15"/>
        <v>0.18000000000000016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-8.44</v>
      </c>
      <c r="S20" s="3">
        <f t="shared" si="3"/>
        <v>124</v>
      </c>
      <c r="T20" s="3">
        <f t="shared" si="10"/>
        <v>12.0303046796329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9.9162800639698574</v>
      </c>
      <c r="AA20" s="10">
        <f t="shared" si="5"/>
        <v>6.1613579273856702</v>
      </c>
      <c r="AB20" s="10">
        <f t="shared" si="6"/>
        <v>75</v>
      </c>
      <c r="AC20" s="10">
        <f t="shared" si="7"/>
        <v>3.7549221365841872</v>
      </c>
      <c r="AD20" s="83">
        <f t="shared" si="16"/>
        <v>3.75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4"/>
      <c r="B21" s="204"/>
      <c r="C21" s="206"/>
      <c r="D21" s="446">
        <v>30</v>
      </c>
      <c r="E21" s="446"/>
      <c r="F21" s="207">
        <f t="shared" si="13"/>
        <v>6.9</v>
      </c>
      <c r="G21" s="445">
        <f t="shared" si="14"/>
        <v>3</v>
      </c>
      <c r="H21" s="445"/>
      <c r="I21" s="208"/>
      <c r="J21" s="8">
        <f t="shared" si="15"/>
        <v>0.14999999999999991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-10.1</v>
      </c>
      <c r="S21" s="3">
        <f t="shared" si="3"/>
        <v>124</v>
      </c>
      <c r="T21" s="3">
        <f t="shared" si="10"/>
        <v>12.0303046796329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10.065657624431532</v>
      </c>
      <c r="AA21" s="10">
        <f t="shared" si="5"/>
        <v>6.1613579273856702</v>
      </c>
      <c r="AB21" s="10">
        <f t="shared" si="6"/>
        <v>90</v>
      </c>
      <c r="AC21" s="10">
        <f t="shared" si="7"/>
        <v>3.9042996970458619</v>
      </c>
      <c r="AD21" s="83">
        <f t="shared" si="16"/>
        <v>3.9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4"/>
      <c r="B22" s="204"/>
      <c r="C22" s="206"/>
      <c r="D22" s="446">
        <v>35</v>
      </c>
      <c r="E22" s="446"/>
      <c r="F22" s="207">
        <f t="shared" si="13"/>
        <v>7.0299999999999994</v>
      </c>
      <c r="G22" s="445">
        <f t="shared" si="14"/>
        <v>3.13</v>
      </c>
      <c r="H22" s="445"/>
      <c r="I22" s="209"/>
      <c r="J22" s="8">
        <f t="shared" si="15"/>
        <v>0.12999999999999989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-19.559999999999999</v>
      </c>
      <c r="S22" s="3">
        <f t="shared" si="3"/>
        <v>124</v>
      </c>
      <c r="T22" s="3">
        <f t="shared" si="10"/>
        <v>12.0303046796329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10.191954552238741</v>
      </c>
      <c r="Z22" s="10">
        <f>Y23-Z23</f>
        <v>6.1613579273856702</v>
      </c>
      <c r="AA22" s="10">
        <f t="shared" si="5"/>
        <v>6.1613579273856702</v>
      </c>
      <c r="AB22" s="10">
        <f t="shared" si="6"/>
        <v>105</v>
      </c>
      <c r="AC22" s="10">
        <f t="shared" si="7"/>
        <v>4.0305966248530707</v>
      </c>
      <c r="AD22" s="83">
        <f t="shared" si="16"/>
        <v>4.03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4"/>
      <c r="B23" s="204"/>
      <c r="C23" s="206"/>
      <c r="D23" s="446">
        <v>40</v>
      </c>
      <c r="E23" s="446"/>
      <c r="F23" s="207">
        <f t="shared" si="13"/>
        <v>7.13</v>
      </c>
      <c r="G23" s="445">
        <f t="shared" si="14"/>
        <v>3.23</v>
      </c>
      <c r="H23" s="445"/>
      <c r="I23" s="209"/>
      <c r="J23" s="8">
        <f t="shared" si="15"/>
        <v>0.10000000000000009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-37.4</v>
      </c>
      <c r="S23" s="3">
        <f t="shared" si="3"/>
        <v>124</v>
      </c>
      <c r="T23" s="3">
        <f t="shared" si="10"/>
        <v>12.0303046796329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10.30135792738567</v>
      </c>
      <c r="Z23" s="10">
        <f>입력표!B20</f>
        <v>4.1399999999999997</v>
      </c>
      <c r="AA23" s="10">
        <f t="shared" si="5"/>
        <v>6.1613579273856702</v>
      </c>
      <c r="AB23" s="10">
        <f t="shared" si="6"/>
        <v>120</v>
      </c>
      <c r="AC23" s="10">
        <f t="shared" si="7"/>
        <v>4.1399999999999997</v>
      </c>
      <c r="AD23" s="83">
        <f>INT((AC$3+AE23)*100)/100</f>
        <v>4.1399999999999997</v>
      </c>
      <c r="AE23" s="10">
        <f>AG$23*AF23</f>
        <v>4.1399999999999997</v>
      </c>
      <c r="AF23" s="10">
        <v>1</v>
      </c>
      <c r="AG23" s="10">
        <f>AC23-AC3</f>
        <v>4.1399999999999997</v>
      </c>
      <c r="AH23" s="10"/>
      <c r="AI23" s="10"/>
      <c r="EF23" s="3">
        <v>10.02</v>
      </c>
    </row>
    <row r="24" spans="1:136" s="3" customFormat="1" ht="23.1" customHeight="1" x14ac:dyDescent="0.15">
      <c r="A24" s="204"/>
      <c r="B24" s="204"/>
      <c r="C24" s="206"/>
      <c r="D24" s="446">
        <v>45</v>
      </c>
      <c r="E24" s="446"/>
      <c r="F24" s="207">
        <f t="shared" si="13"/>
        <v>7.23</v>
      </c>
      <c r="G24" s="445">
        <f t="shared" si="14"/>
        <v>3.33</v>
      </c>
      <c r="H24" s="445"/>
      <c r="I24" s="209"/>
      <c r="J24" s="8">
        <f t="shared" si="15"/>
        <v>0.10000000000000009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-50.44</v>
      </c>
      <c r="R24" s="14">
        <f>B32</f>
        <v>158</v>
      </c>
      <c r="S24" s="3">
        <f>$R$24</f>
        <v>158</v>
      </c>
      <c r="T24" s="3">
        <f t="shared" si="10"/>
        <v>12.0303046796329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13.209484981291798</v>
      </c>
      <c r="Z24" s="10">
        <f>Z27</f>
        <v>8.3295398837038697</v>
      </c>
      <c r="AA24" s="10">
        <f>$Z$24</f>
        <v>8.3295398837038697</v>
      </c>
      <c r="AB24" s="10">
        <f t="shared" si="6"/>
        <v>130</v>
      </c>
      <c r="AC24" s="10">
        <f t="shared" si="7"/>
        <v>4.8799450975879282</v>
      </c>
      <c r="AD24" s="83">
        <f>INT((AC$23+AE24)*100)/100</f>
        <v>4.96</v>
      </c>
      <c r="AE24" s="10">
        <f>AF24*AG$28</f>
        <v>0.82799999999999996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4"/>
      <c r="B25" s="204"/>
      <c r="C25" s="206"/>
      <c r="D25" s="446">
        <v>50</v>
      </c>
      <c r="E25" s="446"/>
      <c r="F25" s="207">
        <f t="shared" si="13"/>
        <v>7.32</v>
      </c>
      <c r="G25" s="445">
        <f t="shared" si="14"/>
        <v>3.42</v>
      </c>
      <c r="H25" s="445"/>
      <c r="I25" s="209"/>
      <c r="J25" s="8">
        <f t="shared" si="15"/>
        <v>8.9999999999999858E-2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-63.54</v>
      </c>
      <c r="S25" s="3">
        <f>$R$24</f>
        <v>158</v>
      </c>
      <c r="T25" s="3">
        <f t="shared" si="10"/>
        <v>12.0303046796329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13.286850541294154</v>
      </c>
      <c r="AA25" s="10">
        <f>$Z$24</f>
        <v>8.3295398837038697</v>
      </c>
      <c r="AB25" s="10">
        <f t="shared" si="6"/>
        <v>140</v>
      </c>
      <c r="AC25" s="10">
        <f t="shared" si="7"/>
        <v>4.9573106575902841</v>
      </c>
      <c r="AD25" s="83">
        <f>INT((AC$23+AE25)*100)/100</f>
        <v>5.0999999999999996</v>
      </c>
      <c r="AE25" s="10">
        <f>AF25*AG$28</f>
        <v>0.96599999999999986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4"/>
      <c r="B26" s="204"/>
      <c r="C26" s="206"/>
      <c r="D26" s="446">
        <v>55</v>
      </c>
      <c r="E26" s="446"/>
      <c r="F26" s="207">
        <f t="shared" si="13"/>
        <v>7.4</v>
      </c>
      <c r="G26" s="445">
        <f t="shared" si="14"/>
        <v>3.5</v>
      </c>
      <c r="H26" s="445"/>
      <c r="I26" s="209"/>
      <c r="J26" s="8">
        <f t="shared" si="15"/>
        <v>8.0000000000000071E-2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-76.67</v>
      </c>
      <c r="S26" s="3">
        <f>$R$24</f>
        <v>158</v>
      </c>
      <c r="T26" s="3">
        <f t="shared" si="10"/>
        <v>12.0303046796329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13.358876154512753</v>
      </c>
      <c r="AA26" s="10">
        <f>$Z$24</f>
        <v>8.3295398837038697</v>
      </c>
      <c r="AB26" s="10">
        <f t="shared" si="6"/>
        <v>150</v>
      </c>
      <c r="AC26" s="10">
        <f t="shared" si="7"/>
        <v>5.0293362708088836</v>
      </c>
      <c r="AD26" s="83">
        <f>INT((AC$23+AE26)*100)/100</f>
        <v>5.24</v>
      </c>
      <c r="AE26" s="10">
        <f>AF26*AG$28</f>
        <v>1.1039999999999999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4"/>
      <c r="B27" s="204"/>
      <c r="C27" s="206" t="s">
        <v>0</v>
      </c>
      <c r="D27" s="446">
        <v>60</v>
      </c>
      <c r="E27" s="446"/>
      <c r="F27" s="207">
        <f t="shared" si="13"/>
        <v>7.47</v>
      </c>
      <c r="G27" s="445">
        <f t="shared" si="14"/>
        <v>3.57</v>
      </c>
      <c r="H27" s="445"/>
      <c r="I27" s="209"/>
      <c r="J27" s="8">
        <f t="shared" si="15"/>
        <v>6.999999999999984E-2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-89.82</v>
      </c>
      <c r="S27" s="3">
        <f>$R$24</f>
        <v>158</v>
      </c>
      <c r="T27" s="3">
        <f t="shared" si="10"/>
        <v>12.0303046796329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13.549212078326821</v>
      </c>
      <c r="Z27" s="10">
        <f>Y28-Z28</f>
        <v>8.3295398837038697</v>
      </c>
      <c r="AA27" s="10">
        <f>$Z$24</f>
        <v>8.3295398837038697</v>
      </c>
      <c r="AB27" s="10">
        <f t="shared" si="6"/>
        <v>180</v>
      </c>
      <c r="AC27" s="10">
        <f t="shared" si="7"/>
        <v>5.2196721946229516</v>
      </c>
      <c r="AD27" s="83">
        <f>INT((AC$23+AE27)*100)/100</f>
        <v>5.38</v>
      </c>
      <c r="AE27" s="10">
        <f>AF27*AG$28</f>
        <v>1.242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4"/>
      <c r="B28" s="204"/>
      <c r="C28" s="206"/>
      <c r="D28" s="446">
        <v>75</v>
      </c>
      <c r="E28" s="446"/>
      <c r="F28" s="207">
        <f t="shared" si="13"/>
        <v>7.65</v>
      </c>
      <c r="G28" s="445">
        <f t="shared" si="14"/>
        <v>3.75</v>
      </c>
      <c r="H28" s="445"/>
      <c r="I28" s="209"/>
      <c r="J28" s="8">
        <f t="shared" si="15"/>
        <v>0.18000000000000016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-103</v>
      </c>
      <c r="S28" s="3">
        <f>$R$24</f>
        <v>158</v>
      </c>
      <c r="T28" s="3">
        <f t="shared" si="10"/>
        <v>12.0303046796329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13.849539883703869</v>
      </c>
      <c r="Z28" s="10">
        <f>입력표!B21</f>
        <v>5.52</v>
      </c>
      <c r="AA28" s="10">
        <f>$Z$24</f>
        <v>8.3295398837038697</v>
      </c>
      <c r="AB28" s="10">
        <f t="shared" si="6"/>
        <v>240</v>
      </c>
      <c r="AC28" s="10">
        <f t="shared" si="7"/>
        <v>5.52</v>
      </c>
      <c r="AD28" s="83">
        <f>INT((AC$23+AE28)*100)/100</f>
        <v>5.52</v>
      </c>
      <c r="AE28" s="10">
        <f>AF28*AG$28</f>
        <v>1.38</v>
      </c>
      <c r="AF28" s="10">
        <v>1</v>
      </c>
      <c r="AG28" s="10">
        <f>AC28-AC23</f>
        <v>1.38</v>
      </c>
      <c r="AH28" s="10"/>
      <c r="EF28" s="3">
        <v>10.15</v>
      </c>
    </row>
    <row r="29" spans="1:136" s="3" customFormat="1" ht="23.1" customHeight="1" x14ac:dyDescent="0.15">
      <c r="A29" s="204"/>
      <c r="B29" s="204"/>
      <c r="C29" s="206"/>
      <c r="D29" s="446">
        <v>90</v>
      </c>
      <c r="E29" s="446"/>
      <c r="F29" s="207">
        <f t="shared" ref="F29:F44" si="24">G29+$D$10</f>
        <v>7.8</v>
      </c>
      <c r="G29" s="445">
        <f t="shared" si="14"/>
        <v>3.9</v>
      </c>
      <c r="H29" s="445"/>
      <c r="I29" s="209"/>
      <c r="J29" s="8">
        <f t="shared" si="15"/>
        <v>0.14999999999999991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-116.17</v>
      </c>
      <c r="R29" s="14">
        <f>B37</f>
        <v>192.95</v>
      </c>
      <c r="S29" s="3">
        <f>$R$29</f>
        <v>192.95</v>
      </c>
      <c r="T29" s="3">
        <f t="shared" si="10"/>
        <v>12.0303046796329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16.965136448096175</v>
      </c>
      <c r="Z29" s="10">
        <f>Z32</f>
        <v>10.360013872145853</v>
      </c>
      <c r="AA29" s="10">
        <f>$Z$29</f>
        <v>10.360013872145853</v>
      </c>
      <c r="AB29" s="10">
        <f t="shared" si="6"/>
        <v>250</v>
      </c>
      <c r="AC29" s="10">
        <f t="shared" si="7"/>
        <v>6.6051225759503218</v>
      </c>
      <c r="AD29" s="83">
        <f>INT((AC$28+AE29)*100)/100</f>
        <v>6.45</v>
      </c>
      <c r="AE29" s="10">
        <f>AF29*AG$33</f>
        <v>0.93000000000000038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4"/>
      <c r="B30" s="204"/>
      <c r="C30" s="206"/>
      <c r="D30" s="446">
        <v>105</v>
      </c>
      <c r="E30" s="446"/>
      <c r="F30" s="207">
        <f t="shared" si="24"/>
        <v>7.93</v>
      </c>
      <c r="G30" s="445">
        <f t="shared" si="14"/>
        <v>4.03</v>
      </c>
      <c r="H30" s="445"/>
      <c r="I30" s="209"/>
      <c r="J30" s="8">
        <f t="shared" si="15"/>
        <v>0.13000000000000034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-129.36000000000001</v>
      </c>
      <c r="R30" s="3" t="s">
        <v>23</v>
      </c>
      <c r="S30" s="3">
        <f>$R$29</f>
        <v>192.95</v>
      </c>
      <c r="T30" s="3">
        <f t="shared" si="10"/>
        <v>12.0303046796329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17.015138281178082</v>
      </c>
      <c r="AA30" s="10">
        <f>$Z$29</f>
        <v>10.360013872145853</v>
      </c>
      <c r="AB30" s="10">
        <f t="shared" si="6"/>
        <v>260</v>
      </c>
      <c r="AC30" s="10">
        <f t="shared" si="7"/>
        <v>6.6551244090322292</v>
      </c>
      <c r="AD30" s="83">
        <f>INT((AC$28+AE30)*100)/100</f>
        <v>6.6</v>
      </c>
      <c r="AE30" s="10">
        <f>AF30*AG$33</f>
        <v>1.0850000000000004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4"/>
      <c r="B31" s="204"/>
      <c r="C31" s="206"/>
      <c r="D31" s="446">
        <v>120</v>
      </c>
      <c r="E31" s="446"/>
      <c r="F31" s="207">
        <f t="shared" si="24"/>
        <v>8.0399999999999991</v>
      </c>
      <c r="G31" s="445">
        <f t="shared" si="14"/>
        <v>4.1399999999999997</v>
      </c>
      <c r="H31" s="445"/>
      <c r="I31" s="209"/>
      <c r="J31" s="8">
        <f t="shared" si="15"/>
        <v>0.10999999999999943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-142.56</v>
      </c>
      <c r="S31" s="3">
        <f>$R$29</f>
        <v>192.95</v>
      </c>
      <c r="T31" s="3">
        <f t="shared" si="10"/>
        <v>12.0303046796329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17.063252795895842</v>
      </c>
      <c r="AA31" s="10">
        <f>$Z$29</f>
        <v>10.360013872145853</v>
      </c>
      <c r="AB31" s="10">
        <f t="shared" si="6"/>
        <v>270</v>
      </c>
      <c r="AC31" s="10">
        <f t="shared" si="7"/>
        <v>6.7032389237499892</v>
      </c>
      <c r="AD31" s="83">
        <f>INT((AC$28+AE31)*100)/100</f>
        <v>6.76</v>
      </c>
      <c r="AE31" s="10">
        <f>AF31*AG$33</f>
        <v>1.2400000000000007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4">
        <v>2</v>
      </c>
      <c r="B32" s="205">
        <f>입력표!D21</f>
        <v>158</v>
      </c>
      <c r="C32" s="206">
        <v>0.50694444444444442</v>
      </c>
      <c r="D32" s="446">
        <v>130</v>
      </c>
      <c r="E32" s="446"/>
      <c r="F32" s="207">
        <f t="shared" si="24"/>
        <v>8.86</v>
      </c>
      <c r="G32" s="445">
        <f t="shared" si="14"/>
        <v>4.96</v>
      </c>
      <c r="H32" s="445"/>
      <c r="I32" s="209"/>
      <c r="J32" s="8">
        <f t="shared" si="15"/>
        <v>0.82000000000000028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-155.77000000000001</v>
      </c>
      <c r="S32" s="3">
        <f>$R$29</f>
        <v>192.95</v>
      </c>
      <c r="T32" s="3">
        <f t="shared" si="10"/>
        <v>12.0303046796329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17.197575160121012</v>
      </c>
      <c r="Z32" s="10">
        <f>Y33-Z33</f>
        <v>10.360013872145853</v>
      </c>
      <c r="AA32" s="10">
        <f>$Z$29</f>
        <v>10.360013872145853</v>
      </c>
      <c r="AB32" s="10">
        <f t="shared" si="6"/>
        <v>300</v>
      </c>
      <c r="AC32" s="10">
        <f t="shared" si="7"/>
        <v>6.8375612879751593</v>
      </c>
      <c r="AD32" s="83">
        <f>INT((AC$28+AE32)*100)/100</f>
        <v>6.91</v>
      </c>
      <c r="AE32" s="10">
        <f>AF32*AG$33</f>
        <v>1.3950000000000007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4"/>
      <c r="B33" s="204"/>
      <c r="C33" s="206"/>
      <c r="D33" s="446">
        <v>140</v>
      </c>
      <c r="E33" s="446"/>
      <c r="F33" s="207">
        <f t="shared" si="24"/>
        <v>9</v>
      </c>
      <c r="G33" s="445">
        <f t="shared" si="14"/>
        <v>5.0999999999999996</v>
      </c>
      <c r="H33" s="445"/>
      <c r="I33" s="209"/>
      <c r="J33" s="8">
        <f t="shared" si="15"/>
        <v>0.13999999999999968</v>
      </c>
      <c r="L33" s="7" t="s">
        <v>23</v>
      </c>
      <c r="P33" s="13"/>
      <c r="S33" s="3">
        <f>$R$29</f>
        <v>192.95</v>
      </c>
      <c r="T33" s="3">
        <f t="shared" si="10"/>
        <v>12.0303046796329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17.430013872145853</v>
      </c>
      <c r="Z33" s="10">
        <f>입력표!B22</f>
        <v>7.07</v>
      </c>
      <c r="AA33" s="10">
        <f>$Z$29</f>
        <v>10.360013872145853</v>
      </c>
      <c r="AB33" s="10">
        <f t="shared" si="6"/>
        <v>360</v>
      </c>
      <c r="AC33" s="10">
        <f t="shared" si="7"/>
        <v>7.07</v>
      </c>
      <c r="AD33" s="83">
        <f>INT((AC$28+AE33)*100)/100</f>
        <v>7.07</v>
      </c>
      <c r="AE33" s="10">
        <f>AF33*AG$33</f>
        <v>1.5500000000000007</v>
      </c>
      <c r="AF33" s="10">
        <v>1</v>
      </c>
      <c r="AG33" s="10">
        <f>AC33-AC28</f>
        <v>1.5500000000000007</v>
      </c>
      <c r="AH33" s="10"/>
      <c r="EF33" s="3">
        <v>15.41</v>
      </c>
    </row>
    <row r="34" spans="1:136" s="3" customFormat="1" ht="23.1" customHeight="1" x14ac:dyDescent="0.15">
      <c r="A34" s="204"/>
      <c r="B34" s="204"/>
      <c r="C34" s="206"/>
      <c r="D34" s="446">
        <v>150</v>
      </c>
      <c r="E34" s="446"/>
      <c r="F34" s="207">
        <f t="shared" si="24"/>
        <v>9.14</v>
      </c>
      <c r="G34" s="445">
        <f t="shared" si="14"/>
        <v>5.24</v>
      </c>
      <c r="H34" s="445"/>
      <c r="I34" s="209"/>
      <c r="J34" s="8">
        <f t="shared" si="15"/>
        <v>0.14000000000000057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12.0303046796329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20.546993373390904</v>
      </c>
      <c r="Z34" s="10">
        <f>Z37</f>
        <v>12.127382292230427</v>
      </c>
      <c r="AA34" s="10">
        <f>$Z$34</f>
        <v>12.127382292230427</v>
      </c>
      <c r="AB34" s="10">
        <f t="shared" si="6"/>
        <v>370</v>
      </c>
      <c r="AC34" s="10">
        <f t="shared" si="7"/>
        <v>8.4196110811604772</v>
      </c>
      <c r="AD34" s="83">
        <f>INT((AC$33+AE34)*100)/100</f>
        <v>8.11</v>
      </c>
      <c r="AE34" s="10">
        <f>AG$38*AF34</f>
        <v>1.044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4"/>
      <c r="B35" s="204"/>
      <c r="C35" s="206"/>
      <c r="D35" s="446">
        <v>180</v>
      </c>
      <c r="E35" s="446"/>
      <c r="F35" s="207">
        <f t="shared" si="24"/>
        <v>9.2799999999999994</v>
      </c>
      <c r="G35" s="445">
        <f t="shared" si="14"/>
        <v>5.38</v>
      </c>
      <c r="H35" s="445"/>
      <c r="I35" s="209"/>
      <c r="J35" s="8">
        <f t="shared" si="15"/>
        <v>0.13999999999999968</v>
      </c>
      <c r="L35" s="7" t="s">
        <v>23</v>
      </c>
      <c r="S35" s="3">
        <f>$R$34</f>
        <v>227</v>
      </c>
      <c r="T35" s="3">
        <f t="shared" si="10"/>
        <v>12.0303046796329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20.586992083315604</v>
      </c>
      <c r="AA35" s="10">
        <f>$Z$34</f>
        <v>12.127382292230427</v>
      </c>
      <c r="AB35" s="10">
        <f t="shared" si="6"/>
        <v>380</v>
      </c>
      <c r="AC35" s="10">
        <f t="shared" si="7"/>
        <v>8.4596097910851764</v>
      </c>
      <c r="AD35" s="83">
        <f>INT((AC$33+AE35)*100)/100</f>
        <v>8.2799999999999994</v>
      </c>
      <c r="AE35" s="10">
        <f>AG$38*AF35</f>
        <v>1.218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4"/>
      <c r="B36" s="204"/>
      <c r="C36" s="206"/>
      <c r="D36" s="446">
        <v>240</v>
      </c>
      <c r="E36" s="446"/>
      <c r="F36" s="207">
        <f t="shared" si="24"/>
        <v>9.42</v>
      </c>
      <c r="G36" s="445">
        <f t="shared" si="14"/>
        <v>5.52</v>
      </c>
      <c r="H36" s="445"/>
      <c r="I36" s="209"/>
      <c r="J36" s="8">
        <f t="shared" si="15"/>
        <v>0.13999999999999968</v>
      </c>
      <c r="L36" s="7" t="s">
        <v>23</v>
      </c>
      <c r="S36" s="3">
        <f>$R$34</f>
        <v>227</v>
      </c>
      <c r="T36" s="3">
        <f t="shared" si="10"/>
        <v>12.0303046796329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20.625951747315867</v>
      </c>
      <c r="AA36" s="10">
        <f>$Z$34</f>
        <v>12.127382292230427</v>
      </c>
      <c r="AB36" s="10">
        <f t="shared" si="6"/>
        <v>390</v>
      </c>
      <c r="AC36" s="10">
        <f t="shared" si="7"/>
        <v>8.4985694550854394</v>
      </c>
      <c r="AD36" s="83">
        <f>INT((AC$33+AE36)*100)/100</f>
        <v>8.4600000000000009</v>
      </c>
      <c r="AE36" s="10">
        <f>AG$38*AF36</f>
        <v>1.3920000000000003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4">
        <v>3</v>
      </c>
      <c r="B37" s="205">
        <f>입력표!D22</f>
        <v>192.95</v>
      </c>
      <c r="C37" s="206">
        <v>0.59027777777777779</v>
      </c>
      <c r="D37" s="446">
        <v>250</v>
      </c>
      <c r="E37" s="446"/>
      <c r="F37" s="207">
        <f t="shared" si="24"/>
        <v>10.35</v>
      </c>
      <c r="G37" s="445">
        <f t="shared" si="14"/>
        <v>6.45</v>
      </c>
      <c r="H37" s="445"/>
      <c r="I37" s="209"/>
      <c r="J37" s="8">
        <f t="shared" si="15"/>
        <v>0.9300000000000006</v>
      </c>
      <c r="L37" s="7" t="s">
        <v>23</v>
      </c>
      <c r="S37" s="3">
        <f>$R$34</f>
        <v>227</v>
      </c>
      <c r="T37" s="3">
        <f t="shared" si="10"/>
        <v>12.0303046796329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20.737103532888874</v>
      </c>
      <c r="Z37" s="10">
        <f>Y38-Z38</f>
        <v>12.127382292230427</v>
      </c>
      <c r="AA37" s="10">
        <f>$Z$34</f>
        <v>12.127382292230427</v>
      </c>
      <c r="AB37" s="10">
        <f t="shared" si="6"/>
        <v>420</v>
      </c>
      <c r="AC37" s="10">
        <f t="shared" si="7"/>
        <v>8.6097212406584465</v>
      </c>
      <c r="AD37" s="83">
        <f>INT((AC$33+AE37)*100)/100</f>
        <v>8.6300000000000008</v>
      </c>
      <c r="AE37" s="10">
        <f>AG$38*AF37</f>
        <v>1.5660000000000003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4"/>
      <c r="B38" s="204"/>
      <c r="C38" s="206"/>
      <c r="D38" s="446">
        <v>260</v>
      </c>
      <c r="E38" s="446"/>
      <c r="F38" s="207">
        <f t="shared" si="24"/>
        <v>10.5</v>
      </c>
      <c r="G38" s="445">
        <f t="shared" si="14"/>
        <v>6.6</v>
      </c>
      <c r="H38" s="445"/>
      <c r="I38" s="209"/>
      <c r="J38" s="8">
        <f t="shared" si="15"/>
        <v>0.14999999999999947</v>
      </c>
      <c r="L38" s="7" t="s">
        <v>23</v>
      </c>
      <c r="S38" s="3">
        <f>$R$34</f>
        <v>227</v>
      </c>
      <c r="T38" s="3">
        <f t="shared" si="10"/>
        <v>12.0303046796329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20.937382292230428</v>
      </c>
      <c r="Z38" s="10">
        <f>입력표!B23</f>
        <v>8.81</v>
      </c>
      <c r="AA38" s="10">
        <f>$Z$34</f>
        <v>12.127382292230427</v>
      </c>
      <c r="AB38" s="10">
        <f t="shared" si="6"/>
        <v>480</v>
      </c>
      <c r="AC38" s="10">
        <f t="shared" si="7"/>
        <v>8.81</v>
      </c>
      <c r="AD38" s="83">
        <f>INT((AC$33+AE38)*100)/100</f>
        <v>8.81</v>
      </c>
      <c r="AE38" s="10">
        <f>AG$38*AF38</f>
        <v>1.7400000000000002</v>
      </c>
      <c r="AF38" s="10">
        <v>1</v>
      </c>
      <c r="AG38" s="10">
        <f>AC38-AC33</f>
        <v>1.7400000000000002</v>
      </c>
      <c r="AH38" s="10"/>
      <c r="EF38" s="3">
        <v>20.059999999999999</v>
      </c>
    </row>
    <row r="39" spans="1:136" s="3" customFormat="1" ht="23.1" customHeight="1" x14ac:dyDescent="0.15">
      <c r="A39" s="204"/>
      <c r="B39" s="204"/>
      <c r="C39" s="206"/>
      <c r="D39" s="446">
        <v>270</v>
      </c>
      <c r="E39" s="446"/>
      <c r="F39" s="207">
        <f t="shared" si="24"/>
        <v>10.66</v>
      </c>
      <c r="G39" s="445">
        <f t="shared" si="14"/>
        <v>6.76</v>
      </c>
      <c r="H39" s="445"/>
      <c r="I39" s="209"/>
      <c r="J39" s="8">
        <f t="shared" si="15"/>
        <v>0.16000000000000014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12.0303046796329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24.113554651564719</v>
      </c>
      <c r="Z39" s="10">
        <f>Z42</f>
        <v>13.012877037027224</v>
      </c>
      <c r="AA39" s="10">
        <f>$Z$39</f>
        <v>13.012877037027224</v>
      </c>
      <c r="AB39" s="10">
        <f t="shared" si="6"/>
        <v>490</v>
      </c>
      <c r="AC39" s="10">
        <f t="shared" si="7"/>
        <v>11.100677614537496</v>
      </c>
      <c r="AD39" s="83">
        <f>INT((AC$38+AE39)*100)/100</f>
        <v>9.86</v>
      </c>
      <c r="AE39" s="10">
        <f>AG$43*AF39</f>
        <v>1.0559999999999996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4"/>
      <c r="B40" s="204"/>
      <c r="C40" s="206"/>
      <c r="D40" s="446">
        <v>300</v>
      </c>
      <c r="E40" s="446"/>
      <c r="F40" s="207">
        <f t="shared" si="24"/>
        <v>10.81</v>
      </c>
      <c r="G40" s="445">
        <f t="shared" si="14"/>
        <v>6.91</v>
      </c>
      <c r="H40" s="445"/>
      <c r="I40" s="209"/>
      <c r="J40" s="8">
        <f t="shared" si="15"/>
        <v>0.15000000000000036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12.0303046796329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24.148401132523031</v>
      </c>
      <c r="AA40" s="10">
        <f>$Z$39</f>
        <v>13.012877037027224</v>
      </c>
      <c r="AB40" s="10">
        <f t="shared" si="6"/>
        <v>500</v>
      </c>
      <c r="AC40" s="10">
        <f t="shared" si="7"/>
        <v>11.135524095495807</v>
      </c>
      <c r="AD40" s="83">
        <f>INT((AC$38+AE40)*100)/100</f>
        <v>10.26</v>
      </c>
      <c r="AE40" s="10">
        <f>AG$43*AF40</f>
        <v>1.4519999999999995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4"/>
      <c r="B41" s="204"/>
      <c r="C41" s="206"/>
      <c r="D41" s="446">
        <v>360</v>
      </c>
      <c r="E41" s="446"/>
      <c r="F41" s="207">
        <f t="shared" si="24"/>
        <v>10.97</v>
      </c>
      <c r="G41" s="445">
        <f t="shared" si="14"/>
        <v>7.07</v>
      </c>
      <c r="H41" s="445"/>
      <c r="I41" s="209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12.0303046796329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24.182557538600474</v>
      </c>
      <c r="AA41" s="10">
        <f>$Z$39</f>
        <v>13.012877037027224</v>
      </c>
      <c r="AB41" s="10">
        <f t="shared" si="6"/>
        <v>510</v>
      </c>
      <c r="AC41" s="10">
        <f t="shared" si="7"/>
        <v>11.16968050157325</v>
      </c>
      <c r="AD41" s="83">
        <f>INT((AC$38+AE41)*100)/100</f>
        <v>10.65</v>
      </c>
      <c r="AE41" s="10">
        <f>AG$43*AF41</f>
        <v>1.847999999999999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4">
        <v>4</v>
      </c>
      <c r="B42" s="205">
        <f>입력표!D23</f>
        <v>227</v>
      </c>
      <c r="C42" s="206">
        <v>0.67361111111111116</v>
      </c>
      <c r="D42" s="446">
        <v>370</v>
      </c>
      <c r="E42" s="446"/>
      <c r="F42" s="207">
        <f t="shared" si="24"/>
        <v>12.01</v>
      </c>
      <c r="G42" s="445">
        <f t="shared" si="14"/>
        <v>8.11</v>
      </c>
      <c r="H42" s="445"/>
      <c r="I42" s="209"/>
      <c r="J42" s="8">
        <f t="shared" si="15"/>
        <v>1.0399999999999991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12.0303046796329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24.281146779546106</v>
      </c>
      <c r="Z42" s="10">
        <f>Y43-Z43</f>
        <v>13.012877037027224</v>
      </c>
      <c r="AA42" s="10">
        <f>$Z$39</f>
        <v>13.012877037027224</v>
      </c>
      <c r="AB42" s="10">
        <f t="shared" si="6"/>
        <v>540</v>
      </c>
      <c r="AC42" s="10">
        <f t="shared" si="7"/>
        <v>11.268269742518882</v>
      </c>
      <c r="AD42" s="83">
        <f>INT((AC$38+AE42)*100)/100</f>
        <v>11.05</v>
      </c>
      <c r="AE42" s="10">
        <f>AG$43*AF42</f>
        <v>2.2439999999999989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4"/>
      <c r="B43" s="204"/>
      <c r="C43" s="206"/>
      <c r="D43" s="446">
        <v>380</v>
      </c>
      <c r="E43" s="446"/>
      <c r="F43" s="207">
        <f t="shared" si="24"/>
        <v>12.18</v>
      </c>
      <c r="G43" s="445">
        <f t="shared" si="14"/>
        <v>8.2799999999999994</v>
      </c>
      <c r="H43" s="445"/>
      <c r="I43" s="209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12.0303046796329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24.462877037027223</v>
      </c>
      <c r="Z43" s="10">
        <f>입력표!B24</f>
        <v>11.45</v>
      </c>
      <c r="AA43" s="10">
        <f>$Z$39</f>
        <v>13.012877037027224</v>
      </c>
      <c r="AB43" s="10">
        <f t="shared" si="6"/>
        <v>600</v>
      </c>
      <c r="AC43" s="10">
        <f t="shared" si="7"/>
        <v>11.45</v>
      </c>
      <c r="AD43" s="83">
        <f>INT((AC$38+AE43)*100)/100</f>
        <v>11.45</v>
      </c>
      <c r="AE43" s="10">
        <f>AG$43*AF43</f>
        <v>2.6399999999999988</v>
      </c>
      <c r="AF43" s="10">
        <v>1</v>
      </c>
      <c r="AG43" s="10">
        <f>AC43-AC38</f>
        <v>2.6399999999999988</v>
      </c>
      <c r="AH43" s="10"/>
      <c r="EF43" s="3">
        <v>31.81</v>
      </c>
    </row>
    <row r="44" spans="1:136" s="3" customFormat="1" ht="23.1" customHeight="1" x14ac:dyDescent="0.15">
      <c r="A44" s="204"/>
      <c r="B44" s="204"/>
      <c r="C44" s="206"/>
      <c r="D44" s="446">
        <v>390</v>
      </c>
      <c r="E44" s="446"/>
      <c r="F44" s="207">
        <f t="shared" si="24"/>
        <v>12.360000000000001</v>
      </c>
      <c r="G44" s="445">
        <f t="shared" si="14"/>
        <v>8.4600000000000009</v>
      </c>
      <c r="H44" s="445"/>
      <c r="I44" s="209"/>
      <c r="J44" s="8">
        <f t="shared" si="15"/>
        <v>0.18000000000000149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4"/>
      <c r="B45" s="204"/>
      <c r="C45" s="206"/>
      <c r="D45" s="446">
        <v>420</v>
      </c>
      <c r="E45" s="446"/>
      <c r="F45" s="207">
        <f t="shared" ref="F45:F51" si="25">G45+$D$10</f>
        <v>12.530000000000001</v>
      </c>
      <c r="G45" s="445">
        <f t="shared" si="14"/>
        <v>8.6300000000000008</v>
      </c>
      <c r="H45" s="445"/>
      <c r="I45" s="209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4"/>
      <c r="B46" s="204"/>
      <c r="C46" s="206"/>
      <c r="D46" s="446">
        <v>480</v>
      </c>
      <c r="E46" s="446"/>
      <c r="F46" s="207">
        <f t="shared" si="25"/>
        <v>12.71</v>
      </c>
      <c r="G46" s="445">
        <f t="shared" si="14"/>
        <v>8.81</v>
      </c>
      <c r="H46" s="445"/>
      <c r="I46" s="209"/>
      <c r="J46" s="8">
        <f t="shared" si="15"/>
        <v>0.17999999999999972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4">
        <v>5</v>
      </c>
      <c r="B47" s="205">
        <f>입력표!D24</f>
        <v>261.04999999999995</v>
      </c>
      <c r="C47" s="206">
        <v>0.75694444444444453</v>
      </c>
      <c r="D47" s="446">
        <v>490</v>
      </c>
      <c r="E47" s="446"/>
      <c r="F47" s="207">
        <f t="shared" si="25"/>
        <v>13.76</v>
      </c>
      <c r="G47" s="445">
        <f t="shared" si="14"/>
        <v>9.86</v>
      </c>
      <c r="H47" s="445"/>
      <c r="I47" s="209"/>
      <c r="J47" s="8">
        <f t="shared" si="15"/>
        <v>1.0499999999999989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4"/>
      <c r="B48" s="204"/>
      <c r="C48" s="206"/>
      <c r="D48" s="446">
        <v>500</v>
      </c>
      <c r="E48" s="446"/>
      <c r="F48" s="207">
        <f t="shared" si="25"/>
        <v>14.16</v>
      </c>
      <c r="G48" s="445">
        <f t="shared" si="14"/>
        <v>10.26</v>
      </c>
      <c r="H48" s="445"/>
      <c r="I48" s="209"/>
      <c r="J48" s="8">
        <f t="shared" si="15"/>
        <v>0.40000000000000036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4"/>
      <c r="B49" s="204"/>
      <c r="C49" s="206"/>
      <c r="D49" s="446">
        <v>510</v>
      </c>
      <c r="E49" s="446"/>
      <c r="F49" s="207">
        <f t="shared" si="25"/>
        <v>14.55</v>
      </c>
      <c r="G49" s="445">
        <f t="shared" si="14"/>
        <v>10.65</v>
      </c>
      <c r="H49" s="445"/>
      <c r="I49" s="209"/>
      <c r="J49" s="8">
        <f t="shared" si="15"/>
        <v>0.39000000000000057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4"/>
      <c r="B50" s="204"/>
      <c r="C50" s="206"/>
      <c r="D50" s="446">
        <v>540</v>
      </c>
      <c r="E50" s="446"/>
      <c r="F50" s="207">
        <f t="shared" si="25"/>
        <v>14.950000000000001</v>
      </c>
      <c r="G50" s="445">
        <f t="shared" si="14"/>
        <v>11.05</v>
      </c>
      <c r="H50" s="445"/>
      <c r="I50" s="209"/>
      <c r="J50" s="8">
        <f t="shared" si="15"/>
        <v>0.40000000000000036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4"/>
      <c r="B51" s="204"/>
      <c r="C51" s="206"/>
      <c r="D51" s="446">
        <v>600</v>
      </c>
      <c r="E51" s="446"/>
      <c r="F51" s="207">
        <f t="shared" si="25"/>
        <v>15.35</v>
      </c>
      <c r="G51" s="445">
        <f t="shared" si="14"/>
        <v>11.45</v>
      </c>
      <c r="H51" s="445"/>
      <c r="I51" s="209" t="s">
        <v>13</v>
      </c>
      <c r="J51" s="8">
        <f t="shared" si="15"/>
        <v>0.39999999999999858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8"/>
      <c r="AE79" s="10"/>
      <c r="AF79" s="10"/>
    </row>
    <row r="80" spans="10:136" s="3" customFormat="1" ht="17.25" customHeight="1" x14ac:dyDescent="0.15">
      <c r="J80" s="3" t="s">
        <v>23</v>
      </c>
      <c r="U80" s="98"/>
      <c r="AE80" s="10"/>
      <c r="AF80" s="10"/>
    </row>
    <row r="81" spans="10:32" s="3" customFormat="1" ht="17.25" customHeight="1" x14ac:dyDescent="0.15">
      <c r="J81" s="3" t="s">
        <v>23</v>
      </c>
      <c r="U81" s="98"/>
      <c r="AE81" s="10"/>
      <c r="AF81" s="10"/>
    </row>
    <row r="82" spans="10:32" s="3" customFormat="1" ht="17.25" customHeight="1" x14ac:dyDescent="0.15">
      <c r="J82" s="3" t="s">
        <v>23</v>
      </c>
      <c r="U82" s="98"/>
      <c r="AE82" s="10"/>
      <c r="AF82" s="10"/>
    </row>
    <row r="83" spans="10:32" s="3" customFormat="1" ht="17.25" customHeight="1" x14ac:dyDescent="0.15">
      <c r="J83" s="3" t="s">
        <v>23</v>
      </c>
      <c r="U83" s="98"/>
      <c r="AE83" s="10"/>
      <c r="AF83" s="10"/>
    </row>
    <row r="84" spans="10:32" s="3" customFormat="1" ht="17.25" customHeight="1" x14ac:dyDescent="0.15">
      <c r="J84" s="3" t="s">
        <v>23</v>
      </c>
      <c r="U84" s="98"/>
      <c r="AE84" s="10"/>
      <c r="AF84" s="10"/>
    </row>
    <row r="85" spans="10:32" s="3" customFormat="1" ht="17.25" customHeight="1" x14ac:dyDescent="0.15">
      <c r="J85" s="3" t="s">
        <v>23</v>
      </c>
      <c r="U85" s="98"/>
      <c r="AE85" s="10"/>
      <c r="AF85" s="10"/>
    </row>
    <row r="86" spans="10:32" s="3" customFormat="1" ht="17.25" customHeight="1" x14ac:dyDescent="0.15">
      <c r="J86" s="3" t="s">
        <v>23</v>
      </c>
      <c r="U86" s="98"/>
      <c r="AE86" s="10"/>
      <c r="AF86" s="10"/>
    </row>
    <row r="87" spans="10:32" s="3" customFormat="1" ht="17.25" customHeight="1" x14ac:dyDescent="0.15">
      <c r="U87" s="98"/>
      <c r="AE87" s="10"/>
      <c r="AF87" s="10"/>
    </row>
    <row r="88" spans="10:32" s="3" customFormat="1" ht="17.25" customHeight="1" x14ac:dyDescent="0.15">
      <c r="U88" s="98"/>
      <c r="AE88" s="10"/>
      <c r="AF88" s="10"/>
    </row>
    <row r="89" spans="10:32" s="3" customFormat="1" ht="17.25" customHeight="1" x14ac:dyDescent="0.15">
      <c r="U89" s="98"/>
      <c r="AE89" s="10"/>
      <c r="AF89" s="10"/>
    </row>
    <row r="90" spans="10:32" s="3" customFormat="1" ht="17.25" customHeight="1" x14ac:dyDescent="0.15">
      <c r="U90" s="98"/>
      <c r="AE90" s="10"/>
      <c r="AF90" s="10"/>
    </row>
    <row r="91" spans="10:32" s="3" customFormat="1" ht="17.25" customHeight="1" x14ac:dyDescent="0.15">
      <c r="U91" s="98"/>
      <c r="AE91" s="10"/>
      <c r="AF91" s="10"/>
    </row>
    <row r="92" spans="10:32" s="3" customFormat="1" ht="17.25" customHeight="1" x14ac:dyDescent="0.15">
      <c r="U92" s="98"/>
      <c r="AE92" s="10"/>
      <c r="AF92" s="10"/>
    </row>
    <row r="93" spans="10:32" s="3" customFormat="1" ht="17.25" customHeight="1" x14ac:dyDescent="0.15">
      <c r="U93" s="98"/>
      <c r="AE93" s="10"/>
      <c r="AF93" s="10"/>
    </row>
    <row r="94" spans="10:32" s="3" customFormat="1" ht="17.25" customHeight="1" x14ac:dyDescent="0.15">
      <c r="U94" s="98"/>
      <c r="AE94" s="10"/>
      <c r="AF94" s="10"/>
    </row>
    <row r="95" spans="10:32" s="3" customFormat="1" ht="17.25" customHeight="1" x14ac:dyDescent="0.15">
      <c r="U95" s="98"/>
      <c r="AE95" s="10"/>
      <c r="AF95" s="10"/>
    </row>
    <row r="96" spans="10:32" s="3" customFormat="1" ht="17.25" customHeight="1" x14ac:dyDescent="0.15">
      <c r="U96" s="98"/>
      <c r="AE96" s="10"/>
      <c r="AF96" s="10"/>
    </row>
    <row r="97" spans="21:32" s="3" customFormat="1" ht="17.25" customHeight="1" x14ac:dyDescent="0.15">
      <c r="U97" s="98"/>
      <c r="AE97" s="10"/>
      <c r="AF97" s="10"/>
    </row>
    <row r="98" spans="21:32" s="3" customFormat="1" ht="17.25" customHeight="1" x14ac:dyDescent="0.15">
      <c r="U98" s="98"/>
      <c r="AE98" s="10"/>
      <c r="AF98" s="10"/>
    </row>
    <row r="99" spans="21:32" s="3" customFormat="1" ht="17.25" customHeight="1" x14ac:dyDescent="0.15">
      <c r="U99" s="98"/>
      <c r="AE99" s="10"/>
      <c r="AF99" s="10"/>
    </row>
    <row r="100" spans="21:32" s="3" customFormat="1" ht="17.25" customHeight="1" x14ac:dyDescent="0.15">
      <c r="U100" s="98"/>
      <c r="AE100" s="10"/>
      <c r="AF100" s="10"/>
    </row>
    <row r="101" spans="21:32" s="3" customFormat="1" ht="17.25" customHeight="1" x14ac:dyDescent="0.15">
      <c r="U101" s="98"/>
      <c r="AE101" s="10"/>
      <c r="AF101" s="10"/>
    </row>
    <row r="102" spans="21:32" s="3" customFormat="1" ht="17.25" customHeight="1" x14ac:dyDescent="0.15">
      <c r="U102" s="98"/>
      <c r="AE102" s="10"/>
      <c r="AF102" s="10"/>
    </row>
    <row r="103" spans="21:32" s="3" customFormat="1" ht="17.25" customHeight="1" x14ac:dyDescent="0.15">
      <c r="U103" s="98"/>
      <c r="AE103" s="10"/>
      <c r="AF103" s="10"/>
    </row>
    <row r="104" spans="21:32" s="3" customFormat="1" ht="17.25" customHeight="1" x14ac:dyDescent="0.15">
      <c r="U104" s="98"/>
      <c r="AE104" s="10"/>
      <c r="AF104" s="10"/>
    </row>
    <row r="105" spans="21:32" s="3" customFormat="1" ht="17.25" customHeight="1" x14ac:dyDescent="0.15">
      <c r="U105" s="98"/>
      <c r="AE105" s="10"/>
      <c r="AF105" s="10"/>
    </row>
    <row r="106" spans="21:32" s="3" customFormat="1" ht="17.25" customHeight="1" x14ac:dyDescent="0.15">
      <c r="U106" s="98"/>
      <c r="AE106" s="10"/>
      <c r="AF106" s="10"/>
    </row>
    <row r="107" spans="21:32" s="3" customFormat="1" ht="17.25" customHeight="1" x14ac:dyDescent="0.15">
      <c r="U107" s="98"/>
      <c r="AE107" s="10"/>
      <c r="AF107" s="10"/>
    </row>
    <row r="108" spans="21:32" s="3" customFormat="1" ht="17.25" customHeight="1" x14ac:dyDescent="0.15">
      <c r="U108" s="98"/>
      <c r="AE108" s="10"/>
      <c r="AF108" s="10"/>
    </row>
    <row r="109" spans="21:32" s="3" customFormat="1" ht="17.25" customHeight="1" x14ac:dyDescent="0.15">
      <c r="U109" s="98"/>
      <c r="AE109" s="10"/>
      <c r="AF109" s="10"/>
    </row>
    <row r="110" spans="21:32" s="3" customFormat="1" ht="17.25" customHeight="1" x14ac:dyDescent="0.15">
      <c r="U110" s="98"/>
      <c r="AE110" s="10"/>
      <c r="AF110" s="10"/>
    </row>
    <row r="111" spans="21:32" s="3" customFormat="1" ht="17.25" customHeight="1" x14ac:dyDescent="0.15">
      <c r="U111" s="98"/>
      <c r="AE111" s="10"/>
      <c r="AF111" s="10"/>
    </row>
    <row r="112" spans="21:32" s="3" customFormat="1" ht="17.25" customHeight="1" x14ac:dyDescent="0.15">
      <c r="U112" s="98"/>
      <c r="AE112" s="10"/>
      <c r="AF112" s="10"/>
    </row>
    <row r="113" spans="21:32" s="3" customFormat="1" ht="17.25" customHeight="1" x14ac:dyDescent="0.15">
      <c r="U113" s="98"/>
      <c r="AE113" s="10"/>
      <c r="AF113" s="10"/>
    </row>
    <row r="114" spans="21:32" s="3" customFormat="1" ht="17.25" customHeight="1" x14ac:dyDescent="0.15">
      <c r="U114" s="98"/>
      <c r="AE114" s="10"/>
      <c r="AF114" s="10"/>
    </row>
    <row r="115" spans="21:32" s="3" customFormat="1" ht="17.25" customHeight="1" x14ac:dyDescent="0.15">
      <c r="U115" s="98"/>
      <c r="AE115" s="10"/>
      <c r="AF115" s="10"/>
    </row>
    <row r="116" spans="21:32" s="3" customFormat="1" ht="17.25" customHeight="1" x14ac:dyDescent="0.15">
      <c r="U116" s="98"/>
      <c r="AE116" s="10"/>
      <c r="AF116" s="10"/>
    </row>
    <row r="117" spans="21:32" s="3" customFormat="1" ht="17.25" customHeight="1" x14ac:dyDescent="0.15">
      <c r="U117" s="98"/>
      <c r="AE117" s="10"/>
      <c r="AF117" s="10"/>
    </row>
    <row r="118" spans="21:32" s="3" customFormat="1" ht="17.25" customHeight="1" x14ac:dyDescent="0.15">
      <c r="U118" s="98"/>
      <c r="AE118" s="10"/>
      <c r="AF118" s="10"/>
    </row>
    <row r="119" spans="21:32" s="3" customFormat="1" ht="17.25" customHeight="1" x14ac:dyDescent="0.15">
      <c r="U119" s="98"/>
      <c r="AE119" s="10"/>
      <c r="AF119" s="10"/>
    </row>
    <row r="120" spans="21:32" s="3" customFormat="1" ht="17.25" customHeight="1" x14ac:dyDescent="0.15">
      <c r="U120" s="98"/>
      <c r="AE120" s="10"/>
      <c r="AF120" s="10"/>
    </row>
    <row r="121" spans="21:32" s="3" customFormat="1" ht="17.25" customHeight="1" x14ac:dyDescent="0.15">
      <c r="U121" s="98"/>
      <c r="AE121" s="10"/>
      <c r="AF121" s="10"/>
    </row>
    <row r="122" spans="21:32" s="3" customFormat="1" ht="17.25" customHeight="1" x14ac:dyDescent="0.15">
      <c r="U122" s="98"/>
      <c r="AE122" s="10"/>
      <c r="AF122" s="10"/>
    </row>
    <row r="123" spans="21:32" s="3" customFormat="1" ht="17.25" customHeight="1" x14ac:dyDescent="0.15">
      <c r="U123" s="98"/>
      <c r="AE123" s="10"/>
      <c r="AF123" s="10"/>
    </row>
    <row r="124" spans="21:32" s="3" customFormat="1" ht="17.25" customHeight="1" x14ac:dyDescent="0.15">
      <c r="U124" s="98"/>
      <c r="AE124" s="10"/>
      <c r="AF124" s="10"/>
    </row>
    <row r="125" spans="21:32" s="3" customFormat="1" ht="17.25" customHeight="1" x14ac:dyDescent="0.15">
      <c r="U125" s="98"/>
      <c r="AE125" s="10"/>
      <c r="AF125" s="10"/>
    </row>
    <row r="126" spans="21:32" s="3" customFormat="1" ht="17.25" customHeight="1" x14ac:dyDescent="0.15">
      <c r="U126" s="98"/>
      <c r="AE126" s="10"/>
      <c r="AF126" s="10"/>
    </row>
    <row r="127" spans="21:32" s="3" customFormat="1" ht="17.25" customHeight="1" x14ac:dyDescent="0.15">
      <c r="U127" s="98"/>
      <c r="AE127" s="10"/>
      <c r="AF127" s="10"/>
    </row>
    <row r="128" spans="21:32" s="3" customFormat="1" ht="17.25" customHeight="1" x14ac:dyDescent="0.15">
      <c r="U128" s="98"/>
      <c r="AE128" s="10"/>
      <c r="AF128" s="10"/>
    </row>
    <row r="129" spans="21:32" s="3" customFormat="1" ht="17.25" customHeight="1" x14ac:dyDescent="0.15">
      <c r="U129" s="98"/>
      <c r="AE129" s="10"/>
      <c r="AF129" s="10"/>
    </row>
    <row r="130" spans="21:32" s="3" customFormat="1" ht="17.25" customHeight="1" x14ac:dyDescent="0.15">
      <c r="U130" s="98"/>
      <c r="AE130" s="10"/>
      <c r="AF130" s="10"/>
    </row>
    <row r="131" spans="21:32" s="3" customFormat="1" ht="17.25" customHeight="1" x14ac:dyDescent="0.15">
      <c r="U131" s="98"/>
      <c r="AE131" s="10"/>
      <c r="AF131" s="10"/>
    </row>
    <row r="132" spans="21:32" s="3" customFormat="1" ht="17.25" customHeight="1" x14ac:dyDescent="0.15">
      <c r="U132" s="98"/>
      <c r="AE132" s="10"/>
      <c r="AF132" s="10"/>
    </row>
    <row r="133" spans="21:32" s="3" customFormat="1" ht="17.25" customHeight="1" x14ac:dyDescent="0.15">
      <c r="U133" s="98"/>
      <c r="AE133" s="10"/>
      <c r="AF133" s="10"/>
    </row>
    <row r="134" spans="21:32" s="3" customFormat="1" ht="17.25" customHeight="1" x14ac:dyDescent="0.15">
      <c r="U134" s="98"/>
      <c r="AE134" s="10"/>
      <c r="AF134" s="10"/>
    </row>
    <row r="135" spans="21:32" s="3" customFormat="1" ht="17.25" customHeight="1" x14ac:dyDescent="0.15">
      <c r="U135" s="98"/>
      <c r="AE135" s="10"/>
      <c r="AF135" s="10"/>
    </row>
    <row r="136" spans="21:32" s="3" customFormat="1" ht="17.25" customHeight="1" x14ac:dyDescent="0.15">
      <c r="U136" s="98"/>
      <c r="AE136" s="10"/>
      <c r="AF136" s="10"/>
    </row>
    <row r="137" spans="21:32" s="3" customFormat="1" ht="17.25" customHeight="1" x14ac:dyDescent="0.15">
      <c r="U137" s="98"/>
      <c r="AE137" s="10"/>
      <c r="AF137" s="10"/>
    </row>
    <row r="138" spans="21:32" s="3" customFormat="1" ht="17.25" customHeight="1" x14ac:dyDescent="0.15">
      <c r="U138" s="98"/>
      <c r="AE138" s="10"/>
      <c r="AF138" s="10"/>
    </row>
    <row r="139" spans="21:32" s="3" customFormat="1" ht="17.25" customHeight="1" x14ac:dyDescent="0.15">
      <c r="U139" s="98"/>
      <c r="AE139" s="10"/>
      <c r="AF139" s="10"/>
    </row>
    <row r="140" spans="21:32" s="3" customFormat="1" ht="17.25" customHeight="1" x14ac:dyDescent="0.15">
      <c r="U140" s="98"/>
      <c r="AE140" s="10"/>
      <c r="AF140" s="10"/>
    </row>
    <row r="141" spans="21:32" s="3" customFormat="1" ht="17.25" customHeight="1" x14ac:dyDescent="0.15">
      <c r="U141" s="98"/>
      <c r="AE141" s="10"/>
      <c r="AF141" s="10"/>
    </row>
    <row r="142" spans="21:32" s="3" customFormat="1" ht="17.25" customHeight="1" x14ac:dyDescent="0.15">
      <c r="U142" s="98"/>
      <c r="AE142" s="10"/>
      <c r="AF142" s="10"/>
    </row>
    <row r="143" spans="21:32" s="3" customFormat="1" ht="17.25" customHeight="1" x14ac:dyDescent="0.15">
      <c r="U143" s="98"/>
      <c r="AE143" s="10"/>
      <c r="AF143" s="10"/>
    </row>
    <row r="144" spans="21:32" s="3" customFormat="1" ht="17.25" customHeight="1" x14ac:dyDescent="0.15">
      <c r="U144" s="98"/>
      <c r="AE144" s="10"/>
      <c r="AF144" s="10"/>
    </row>
    <row r="145" spans="21:32" s="3" customFormat="1" ht="17.25" customHeight="1" x14ac:dyDescent="0.15">
      <c r="U145" s="98"/>
      <c r="AE145" s="10"/>
      <c r="AF145" s="10"/>
    </row>
    <row r="146" spans="21:32" s="3" customFormat="1" ht="17.25" customHeight="1" x14ac:dyDescent="0.15">
      <c r="U146" s="98"/>
      <c r="AE146" s="10"/>
      <c r="AF146" s="10"/>
    </row>
    <row r="147" spans="21:32" s="3" customFormat="1" ht="17.25" customHeight="1" x14ac:dyDescent="0.15">
      <c r="U147" s="98"/>
      <c r="AE147" s="10"/>
      <c r="AF147" s="10"/>
    </row>
    <row r="148" spans="21:32" s="3" customFormat="1" ht="17.25" customHeight="1" x14ac:dyDescent="0.15">
      <c r="U148" s="98"/>
      <c r="AE148" s="10"/>
      <c r="AF148" s="10"/>
    </row>
    <row r="149" spans="21:32" s="3" customFormat="1" ht="17.25" customHeight="1" x14ac:dyDescent="0.15">
      <c r="U149" s="98"/>
      <c r="AE149" s="10"/>
      <c r="AF149" s="10"/>
    </row>
    <row r="150" spans="21:32" s="3" customFormat="1" ht="17.25" customHeight="1" x14ac:dyDescent="0.15">
      <c r="U150" s="98"/>
      <c r="AE150" s="10"/>
      <c r="AF150" s="10"/>
    </row>
    <row r="151" spans="21:32" s="3" customFormat="1" ht="17.25" customHeight="1" x14ac:dyDescent="0.15">
      <c r="U151" s="98"/>
      <c r="AE151" s="10"/>
      <c r="AF151" s="10"/>
    </row>
    <row r="152" spans="21:32" s="3" customFormat="1" ht="17.25" customHeight="1" x14ac:dyDescent="0.15">
      <c r="U152" s="98"/>
      <c r="AE152" s="10"/>
      <c r="AF152" s="10"/>
    </row>
    <row r="153" spans="21:32" s="3" customFormat="1" ht="17.25" customHeight="1" x14ac:dyDescent="0.15">
      <c r="U153" s="98"/>
      <c r="AE153" s="10"/>
      <c r="AF153" s="10"/>
    </row>
    <row r="154" spans="21:32" s="3" customFormat="1" ht="17.25" customHeight="1" x14ac:dyDescent="0.15">
      <c r="U154" s="98"/>
      <c r="AE154" s="10"/>
      <c r="AF154" s="10"/>
    </row>
    <row r="155" spans="21:32" s="3" customFormat="1" ht="17.25" customHeight="1" x14ac:dyDescent="0.15">
      <c r="U155" s="98"/>
      <c r="AE155" s="10"/>
      <c r="AF155" s="10"/>
    </row>
    <row r="156" spans="21:32" s="3" customFormat="1" ht="17.25" customHeight="1" x14ac:dyDescent="0.15">
      <c r="U156" s="98"/>
      <c r="AE156" s="10"/>
      <c r="AF156" s="10"/>
    </row>
    <row r="157" spans="21:32" s="3" customFormat="1" ht="17.25" customHeight="1" x14ac:dyDescent="0.15">
      <c r="U157" s="98"/>
      <c r="AE157" s="10"/>
      <c r="AF157" s="10"/>
    </row>
    <row r="158" spans="21:32" s="3" customFormat="1" ht="17.25" customHeight="1" x14ac:dyDescent="0.15">
      <c r="U158" s="98"/>
      <c r="AE158" s="10"/>
      <c r="AF158" s="10"/>
    </row>
    <row r="159" spans="21:32" s="3" customFormat="1" ht="17.25" customHeight="1" x14ac:dyDescent="0.15">
      <c r="U159" s="98"/>
      <c r="AE159" s="10"/>
      <c r="AF159" s="10"/>
    </row>
    <row r="160" spans="21:32" s="3" customFormat="1" ht="17.25" customHeight="1" x14ac:dyDescent="0.15">
      <c r="U160" s="98"/>
      <c r="AE160" s="10"/>
      <c r="AF160" s="10"/>
    </row>
    <row r="161" spans="21:32" s="3" customFormat="1" ht="17.25" customHeight="1" x14ac:dyDescent="0.15">
      <c r="U161" s="98"/>
      <c r="AE161" s="10"/>
      <c r="AF161" s="10"/>
    </row>
    <row r="162" spans="21:32" s="3" customFormat="1" ht="17.25" customHeight="1" x14ac:dyDescent="0.15">
      <c r="U162" s="98"/>
      <c r="AE162" s="10"/>
      <c r="AF162" s="10"/>
    </row>
    <row r="163" spans="21:32" s="3" customFormat="1" ht="17.25" customHeight="1" x14ac:dyDescent="0.15">
      <c r="U163" s="98"/>
      <c r="AE163" s="10"/>
      <c r="AF163" s="10"/>
    </row>
    <row r="164" spans="21:32" s="3" customFormat="1" ht="17.25" customHeight="1" x14ac:dyDescent="0.15">
      <c r="U164" s="98"/>
      <c r="AE164" s="10"/>
      <c r="AF164" s="10"/>
    </row>
    <row r="165" spans="21:32" s="3" customFormat="1" ht="17.25" customHeight="1" x14ac:dyDescent="0.15">
      <c r="U165" s="98"/>
      <c r="AE165" s="10"/>
      <c r="AF165" s="10"/>
    </row>
    <row r="166" spans="21:32" s="3" customFormat="1" ht="17.25" customHeight="1" x14ac:dyDescent="0.15">
      <c r="U166" s="98"/>
      <c r="AE166" s="10"/>
      <c r="AF166" s="10"/>
    </row>
    <row r="167" spans="21:32" s="3" customFormat="1" ht="17.25" customHeight="1" x14ac:dyDescent="0.15">
      <c r="U167" s="98"/>
      <c r="AE167" s="10"/>
      <c r="AF167" s="10"/>
    </row>
    <row r="168" spans="21:32" s="3" customFormat="1" ht="17.25" customHeight="1" x14ac:dyDescent="0.15">
      <c r="U168" s="98"/>
      <c r="AE168" s="10"/>
      <c r="AF168" s="10"/>
    </row>
    <row r="169" spans="21:32" s="3" customFormat="1" ht="17.25" customHeight="1" x14ac:dyDescent="0.15">
      <c r="U169" s="98"/>
      <c r="AE169" s="10"/>
      <c r="AF169" s="10"/>
    </row>
    <row r="170" spans="21:32" s="3" customFormat="1" ht="17.25" customHeight="1" x14ac:dyDescent="0.15">
      <c r="U170" s="98"/>
      <c r="AE170" s="10"/>
      <c r="AF170" s="10"/>
    </row>
    <row r="171" spans="21:32" s="3" customFormat="1" ht="17.25" customHeight="1" x14ac:dyDescent="0.15">
      <c r="U171" s="98"/>
      <c r="AE171" s="10"/>
      <c r="AF171" s="10"/>
    </row>
    <row r="172" spans="21:32" s="3" customFormat="1" ht="17.25" customHeight="1" x14ac:dyDescent="0.15">
      <c r="U172" s="98"/>
      <c r="AE172" s="10"/>
      <c r="AF172" s="10"/>
    </row>
    <row r="173" spans="21:32" s="3" customFormat="1" ht="17.25" customHeight="1" x14ac:dyDescent="0.15">
      <c r="U173" s="98"/>
      <c r="AE173" s="10"/>
      <c r="AF173" s="10"/>
    </row>
    <row r="174" spans="21:32" s="3" customFormat="1" ht="17.25" customHeight="1" x14ac:dyDescent="0.15">
      <c r="U174" s="98"/>
      <c r="AE174" s="10"/>
      <c r="AF174" s="10"/>
    </row>
    <row r="175" spans="21:32" s="3" customFormat="1" ht="17.25" customHeight="1" x14ac:dyDescent="0.15">
      <c r="U175" s="98"/>
      <c r="AE175" s="10"/>
      <c r="AF175" s="10"/>
    </row>
    <row r="176" spans="21:32" s="3" customFormat="1" ht="17.25" customHeight="1" x14ac:dyDescent="0.15">
      <c r="U176" s="98"/>
      <c r="AE176" s="10"/>
      <c r="AF176" s="10"/>
    </row>
    <row r="177" spans="21:32" s="3" customFormat="1" ht="17.25" customHeight="1" x14ac:dyDescent="0.15">
      <c r="U177" s="98"/>
      <c r="AE177" s="10"/>
      <c r="AF177" s="10"/>
    </row>
    <row r="178" spans="21:32" s="3" customFormat="1" ht="17.25" customHeight="1" x14ac:dyDescent="0.15">
      <c r="U178" s="98"/>
      <c r="AE178" s="10"/>
      <c r="AF178" s="10"/>
    </row>
    <row r="179" spans="21:32" s="3" customFormat="1" ht="17.25" customHeight="1" x14ac:dyDescent="0.15">
      <c r="U179" s="98"/>
      <c r="AE179" s="10"/>
      <c r="AF179" s="10"/>
    </row>
    <row r="180" spans="21:32" s="3" customFormat="1" ht="17.25" customHeight="1" x14ac:dyDescent="0.15">
      <c r="U180" s="98"/>
      <c r="AE180" s="10"/>
      <c r="AF180" s="10"/>
    </row>
    <row r="181" spans="21:32" s="3" customFormat="1" ht="17.25" customHeight="1" x14ac:dyDescent="0.15">
      <c r="U181" s="98"/>
      <c r="AE181" s="10"/>
      <c r="AF181" s="10"/>
    </row>
    <row r="182" spans="21:32" s="3" customFormat="1" ht="17.25" customHeight="1" x14ac:dyDescent="0.15">
      <c r="U182" s="98"/>
      <c r="AE182" s="10"/>
      <c r="AF182" s="10"/>
    </row>
    <row r="183" spans="21:32" s="3" customFormat="1" ht="17.25" customHeight="1" x14ac:dyDescent="0.15">
      <c r="U183" s="98"/>
      <c r="AE183" s="10"/>
      <c r="AF183" s="10"/>
    </row>
    <row r="184" spans="21:32" s="3" customFormat="1" ht="17.25" customHeight="1" x14ac:dyDescent="0.15">
      <c r="U184" s="98"/>
      <c r="AE184" s="10"/>
      <c r="AF184" s="10"/>
    </row>
    <row r="185" spans="21:32" s="3" customFormat="1" ht="17.25" customHeight="1" x14ac:dyDescent="0.15">
      <c r="U185" s="98"/>
      <c r="AE185" s="10"/>
      <c r="AF185" s="10"/>
    </row>
    <row r="186" spans="21:32" s="3" customFormat="1" ht="17.25" customHeight="1" x14ac:dyDescent="0.15">
      <c r="U186" s="98"/>
      <c r="AE186" s="10"/>
      <c r="AF186" s="10"/>
    </row>
    <row r="187" spans="21:32" s="3" customFormat="1" ht="17.25" customHeight="1" x14ac:dyDescent="0.15">
      <c r="U187" s="98"/>
      <c r="AE187" s="10"/>
      <c r="AF187" s="10"/>
    </row>
    <row r="188" spans="21:32" s="3" customFormat="1" ht="17.25" customHeight="1" x14ac:dyDescent="0.15">
      <c r="U188" s="98"/>
      <c r="AE188" s="10"/>
      <c r="AF188" s="10"/>
    </row>
    <row r="189" spans="21:32" s="3" customFormat="1" ht="17.25" customHeight="1" x14ac:dyDescent="0.15">
      <c r="U189" s="98"/>
      <c r="AE189" s="10"/>
      <c r="AF189" s="10"/>
    </row>
    <row r="190" spans="21:32" s="3" customFormat="1" ht="17.25" customHeight="1" x14ac:dyDescent="0.15">
      <c r="U190" s="98"/>
      <c r="AE190" s="10"/>
      <c r="AF190" s="10"/>
    </row>
    <row r="191" spans="21:32" s="3" customFormat="1" ht="17.25" customHeight="1" x14ac:dyDescent="0.15">
      <c r="U191" s="98"/>
      <c r="AE191" s="10"/>
      <c r="AF191" s="10"/>
    </row>
    <row r="192" spans="21:32" s="3" customFormat="1" ht="17.25" customHeight="1" x14ac:dyDescent="0.15">
      <c r="U192" s="98"/>
      <c r="AE192" s="10"/>
      <c r="AF192" s="10"/>
    </row>
    <row r="193" spans="21:32" s="3" customFormat="1" ht="17.25" customHeight="1" x14ac:dyDescent="0.15">
      <c r="U193" s="98"/>
      <c r="AE193" s="10"/>
      <c r="AF193" s="10"/>
    </row>
    <row r="194" spans="21:32" s="3" customFormat="1" ht="17.25" customHeight="1" x14ac:dyDescent="0.15">
      <c r="U194" s="98"/>
      <c r="AE194" s="10"/>
      <c r="AF194" s="10"/>
    </row>
    <row r="195" spans="21:32" s="3" customFormat="1" ht="17.25" customHeight="1" x14ac:dyDescent="0.15">
      <c r="U195" s="98"/>
      <c r="AE195" s="10"/>
      <c r="AF195" s="10"/>
    </row>
    <row r="196" spans="21:32" s="3" customFormat="1" ht="17.25" customHeight="1" x14ac:dyDescent="0.15">
      <c r="U196" s="98"/>
      <c r="AE196" s="10"/>
      <c r="AF196" s="10"/>
    </row>
    <row r="197" spans="21:32" s="3" customFormat="1" ht="17.25" customHeight="1" x14ac:dyDescent="0.15">
      <c r="U197" s="98"/>
      <c r="AE197" s="10"/>
      <c r="AF197" s="10"/>
    </row>
    <row r="198" spans="21:32" s="3" customFormat="1" ht="17.25" customHeight="1" x14ac:dyDescent="0.15">
      <c r="U198" s="98"/>
      <c r="AE198" s="10"/>
      <c r="AF198" s="10"/>
    </row>
    <row r="199" spans="21:32" s="3" customFormat="1" ht="17.25" customHeight="1" x14ac:dyDescent="0.15">
      <c r="U199" s="98"/>
      <c r="AE199" s="10"/>
      <c r="AF199" s="10"/>
    </row>
    <row r="200" spans="21:32" s="3" customFormat="1" ht="17.25" customHeight="1" x14ac:dyDescent="0.15">
      <c r="U200" s="98"/>
      <c r="AE200" s="10"/>
      <c r="AF200" s="10"/>
    </row>
    <row r="201" spans="21:32" s="3" customFormat="1" ht="17.25" customHeight="1" x14ac:dyDescent="0.15">
      <c r="U201" s="98"/>
      <c r="AE201" s="10"/>
      <c r="AF201" s="10"/>
    </row>
    <row r="202" spans="21:32" s="3" customFormat="1" ht="17.25" customHeight="1" x14ac:dyDescent="0.15">
      <c r="U202" s="98"/>
      <c r="AE202" s="10"/>
      <c r="AF202" s="10"/>
    </row>
    <row r="203" spans="21:32" s="3" customFormat="1" ht="17.25" customHeight="1" x14ac:dyDescent="0.15">
      <c r="U203" s="98"/>
      <c r="AE203" s="10"/>
      <c r="AF203" s="10"/>
    </row>
    <row r="204" spans="21:32" s="3" customFormat="1" ht="17.25" customHeight="1" x14ac:dyDescent="0.15">
      <c r="U204" s="98"/>
      <c r="AE204" s="10"/>
      <c r="AF204" s="10"/>
    </row>
    <row r="205" spans="21:32" s="3" customFormat="1" ht="17.25" customHeight="1" x14ac:dyDescent="0.15">
      <c r="U205" s="98"/>
      <c r="AE205" s="10"/>
      <c r="AF205" s="10"/>
    </row>
    <row r="206" spans="21:32" s="3" customFormat="1" ht="17.25" customHeight="1" x14ac:dyDescent="0.15">
      <c r="U206" s="98"/>
      <c r="AE206" s="10"/>
      <c r="AF206" s="10"/>
    </row>
    <row r="207" spans="21:32" s="3" customFormat="1" ht="17.25" customHeight="1" x14ac:dyDescent="0.15">
      <c r="U207" s="98"/>
      <c r="AE207" s="10"/>
      <c r="AF207" s="10"/>
    </row>
    <row r="208" spans="21:32" s="3" customFormat="1" ht="17.25" customHeight="1" x14ac:dyDescent="0.15">
      <c r="U208" s="98"/>
      <c r="AE208" s="10"/>
      <c r="AF208" s="10"/>
    </row>
    <row r="209" spans="21:32" s="3" customFormat="1" ht="17.25" customHeight="1" x14ac:dyDescent="0.15">
      <c r="U209" s="98"/>
      <c r="AE209" s="10"/>
      <c r="AF209" s="10"/>
    </row>
    <row r="210" spans="21:32" s="3" customFormat="1" ht="17.25" customHeight="1" x14ac:dyDescent="0.15">
      <c r="U210" s="98"/>
      <c r="AE210" s="10"/>
      <c r="AF210" s="10"/>
    </row>
    <row r="211" spans="21:32" s="3" customFormat="1" ht="17.25" customHeight="1" x14ac:dyDescent="0.15">
      <c r="U211" s="98"/>
      <c r="AE211" s="10"/>
      <c r="AF211" s="10"/>
    </row>
    <row r="212" spans="21:32" s="3" customFormat="1" ht="17.25" customHeight="1" x14ac:dyDescent="0.15">
      <c r="U212" s="98"/>
      <c r="AE212" s="10"/>
      <c r="AF212" s="10"/>
    </row>
    <row r="213" spans="21:32" s="3" customFormat="1" ht="17.25" customHeight="1" x14ac:dyDescent="0.15">
      <c r="U213" s="98"/>
      <c r="AE213" s="10"/>
      <c r="AF213" s="10"/>
    </row>
    <row r="214" spans="21:32" s="3" customFormat="1" ht="17.25" customHeight="1" x14ac:dyDescent="0.15">
      <c r="U214" s="98"/>
      <c r="AE214" s="10"/>
      <c r="AF214" s="10"/>
    </row>
    <row r="215" spans="21:32" s="3" customFormat="1" ht="17.25" customHeight="1" x14ac:dyDescent="0.15">
      <c r="U215" s="98"/>
      <c r="AE215" s="10"/>
      <c r="AF215" s="10"/>
    </row>
    <row r="216" spans="21:32" s="3" customFormat="1" ht="17.25" customHeight="1" x14ac:dyDescent="0.15">
      <c r="U216" s="98"/>
      <c r="AE216" s="10"/>
      <c r="AF216" s="10"/>
    </row>
    <row r="217" spans="21:32" s="3" customFormat="1" ht="17.25" customHeight="1" x14ac:dyDescent="0.15">
      <c r="U217" s="98"/>
      <c r="AE217" s="10"/>
      <c r="AF217" s="10"/>
    </row>
    <row r="218" spans="21:32" s="3" customFormat="1" ht="17.25" customHeight="1" x14ac:dyDescent="0.15">
      <c r="U218" s="98"/>
      <c r="AE218" s="10"/>
      <c r="AF218" s="10"/>
    </row>
    <row r="219" spans="21:32" s="3" customFormat="1" ht="17.25" customHeight="1" x14ac:dyDescent="0.15">
      <c r="U219" s="98"/>
      <c r="AE219" s="10"/>
      <c r="AF219" s="10"/>
    </row>
    <row r="220" spans="21:32" s="3" customFormat="1" ht="17.25" customHeight="1" x14ac:dyDescent="0.15">
      <c r="U220" s="98"/>
      <c r="AE220" s="10"/>
      <c r="AF220" s="10"/>
    </row>
    <row r="221" spans="21:32" s="3" customFormat="1" ht="17.25" customHeight="1" x14ac:dyDescent="0.15">
      <c r="U221" s="98"/>
      <c r="AE221" s="10"/>
      <c r="AF221" s="10"/>
    </row>
    <row r="222" spans="21:32" s="3" customFormat="1" ht="17.25" customHeight="1" x14ac:dyDescent="0.15">
      <c r="U222" s="98"/>
      <c r="AE222" s="10"/>
      <c r="AF222" s="10"/>
    </row>
    <row r="223" spans="21:32" s="3" customFormat="1" ht="17.25" customHeight="1" x14ac:dyDescent="0.15">
      <c r="U223" s="98"/>
      <c r="AE223" s="10"/>
      <c r="AF223" s="10"/>
    </row>
    <row r="224" spans="21:32" s="3" customFormat="1" ht="17.25" customHeight="1" x14ac:dyDescent="0.15">
      <c r="U224" s="98"/>
      <c r="AE224" s="10"/>
      <c r="AF224" s="10"/>
    </row>
    <row r="225" spans="21:32" s="3" customFormat="1" ht="17.25" customHeight="1" x14ac:dyDescent="0.15">
      <c r="U225" s="98"/>
      <c r="AE225" s="10"/>
      <c r="AF225" s="10"/>
    </row>
    <row r="226" spans="21:32" s="3" customFormat="1" ht="17.25" customHeight="1" x14ac:dyDescent="0.15">
      <c r="U226" s="98"/>
      <c r="AE226" s="10"/>
      <c r="AF226" s="10"/>
    </row>
    <row r="227" spans="21:32" s="3" customFormat="1" ht="17.25" customHeight="1" x14ac:dyDescent="0.15">
      <c r="U227" s="98"/>
      <c r="AE227" s="10"/>
      <c r="AF227" s="10"/>
    </row>
    <row r="228" spans="21:32" s="3" customFormat="1" ht="17.25" customHeight="1" x14ac:dyDescent="0.15">
      <c r="U228" s="98"/>
      <c r="AE228" s="10"/>
      <c r="AF228" s="10"/>
    </row>
    <row r="229" spans="21:32" s="3" customFormat="1" ht="17.25" customHeight="1" x14ac:dyDescent="0.15">
      <c r="U229" s="98"/>
      <c r="AE229" s="10"/>
      <c r="AF229" s="10"/>
    </row>
    <row r="230" spans="21:32" s="3" customFormat="1" ht="17.25" customHeight="1" x14ac:dyDescent="0.15">
      <c r="U230" s="98"/>
      <c r="AE230" s="10"/>
      <c r="AF230" s="10"/>
    </row>
    <row r="231" spans="21:32" s="3" customFormat="1" ht="17.25" customHeight="1" x14ac:dyDescent="0.15">
      <c r="U231" s="98"/>
      <c r="AE231" s="10"/>
      <c r="AF231" s="10"/>
    </row>
    <row r="232" spans="21:32" s="3" customFormat="1" ht="17.25" customHeight="1" x14ac:dyDescent="0.15">
      <c r="U232" s="98"/>
      <c r="AE232" s="10"/>
      <c r="AF232" s="10"/>
    </row>
    <row r="233" spans="21:32" s="3" customFormat="1" ht="17.25" customHeight="1" x14ac:dyDescent="0.15">
      <c r="U233" s="98"/>
      <c r="AE233" s="10"/>
      <c r="AF233" s="10"/>
    </row>
    <row r="234" spans="21:32" s="3" customFormat="1" ht="17.25" customHeight="1" x14ac:dyDescent="0.15">
      <c r="U234" s="98"/>
      <c r="AE234" s="10"/>
      <c r="AF234" s="10"/>
    </row>
    <row r="235" spans="21:32" s="3" customFormat="1" ht="17.25" customHeight="1" x14ac:dyDescent="0.15">
      <c r="U235" s="98"/>
      <c r="AE235" s="10"/>
      <c r="AF235" s="10"/>
    </row>
    <row r="236" spans="21:32" s="3" customFormat="1" ht="17.25" customHeight="1" x14ac:dyDescent="0.15">
      <c r="U236" s="98"/>
      <c r="AE236" s="10"/>
      <c r="AF236" s="10"/>
    </row>
    <row r="237" spans="21:32" s="3" customFormat="1" ht="17.25" customHeight="1" x14ac:dyDescent="0.15">
      <c r="U237" s="98"/>
      <c r="AE237" s="10"/>
      <c r="AF237" s="10"/>
    </row>
    <row r="238" spans="21:32" s="3" customFormat="1" ht="17.25" customHeight="1" x14ac:dyDescent="0.15">
      <c r="U238" s="98"/>
      <c r="AE238" s="10"/>
      <c r="AF238" s="10"/>
    </row>
    <row r="239" spans="21:32" s="3" customFormat="1" ht="17.25" customHeight="1" x14ac:dyDescent="0.15">
      <c r="U239" s="98"/>
      <c r="AE239" s="10"/>
      <c r="AF239" s="10"/>
    </row>
    <row r="240" spans="21:32" s="3" customFormat="1" ht="17.25" customHeight="1" x14ac:dyDescent="0.15">
      <c r="U240" s="98"/>
      <c r="AE240" s="10"/>
      <c r="AF240" s="10"/>
    </row>
    <row r="241" spans="21:32" s="3" customFormat="1" ht="17.25" customHeight="1" x14ac:dyDescent="0.15">
      <c r="U241" s="98"/>
      <c r="AE241" s="10"/>
      <c r="AF241" s="10"/>
    </row>
    <row r="242" spans="21:32" s="3" customFormat="1" ht="17.25" customHeight="1" x14ac:dyDescent="0.15">
      <c r="U242" s="98"/>
      <c r="AE242" s="10"/>
      <c r="AF242" s="10"/>
    </row>
    <row r="243" spans="21:32" s="3" customFormat="1" ht="17.25" customHeight="1" x14ac:dyDescent="0.15">
      <c r="U243" s="98"/>
      <c r="AE243" s="10"/>
      <c r="AF243" s="10"/>
    </row>
    <row r="244" spans="21:32" s="3" customFormat="1" ht="17.25" customHeight="1" x14ac:dyDescent="0.15">
      <c r="U244" s="98"/>
      <c r="AE244" s="10"/>
      <c r="AF244" s="10"/>
    </row>
    <row r="245" spans="21:32" s="3" customFormat="1" ht="17.25" customHeight="1" x14ac:dyDescent="0.15">
      <c r="U245" s="98"/>
      <c r="AE245" s="10"/>
      <c r="AF245" s="10"/>
    </row>
    <row r="246" spans="21:32" s="3" customFormat="1" ht="17.25" customHeight="1" x14ac:dyDescent="0.15">
      <c r="U246" s="98"/>
      <c r="AE246" s="10"/>
      <c r="AF246" s="10"/>
    </row>
    <row r="247" spans="21:32" s="3" customFormat="1" ht="17.25" customHeight="1" x14ac:dyDescent="0.15">
      <c r="U247" s="98"/>
      <c r="AE247" s="10"/>
      <c r="AF247" s="10"/>
    </row>
    <row r="248" spans="21:32" s="3" customFormat="1" ht="17.25" customHeight="1" x14ac:dyDescent="0.15">
      <c r="U248" s="98"/>
      <c r="AE248" s="10"/>
      <c r="AF248" s="10"/>
    </row>
    <row r="249" spans="21:32" s="3" customFormat="1" ht="17.25" customHeight="1" x14ac:dyDescent="0.15">
      <c r="U249" s="98"/>
      <c r="AE249" s="10"/>
      <c r="AF249" s="10"/>
    </row>
    <row r="250" spans="21:32" s="3" customFormat="1" ht="17.25" customHeight="1" x14ac:dyDescent="0.15">
      <c r="U250" s="98"/>
      <c r="AE250" s="10"/>
      <c r="AF250" s="10"/>
    </row>
    <row r="251" spans="21:32" s="3" customFormat="1" ht="17.25" customHeight="1" x14ac:dyDescent="0.15">
      <c r="U251" s="98"/>
      <c r="AE251" s="10"/>
      <c r="AF251" s="10"/>
    </row>
    <row r="252" spans="21:32" s="3" customFormat="1" ht="17.25" customHeight="1" x14ac:dyDescent="0.15">
      <c r="U252" s="98"/>
      <c r="AE252" s="10"/>
      <c r="AF252" s="10"/>
    </row>
    <row r="253" spans="21:32" s="3" customFormat="1" ht="17.25" customHeight="1" x14ac:dyDescent="0.15">
      <c r="U253" s="98"/>
      <c r="AE253" s="10"/>
      <c r="AF253" s="10"/>
    </row>
    <row r="254" spans="21:32" s="3" customFormat="1" ht="17.25" customHeight="1" x14ac:dyDescent="0.15">
      <c r="U254" s="98"/>
      <c r="AE254" s="10"/>
      <c r="AF254" s="10"/>
    </row>
    <row r="255" spans="21:32" s="3" customFormat="1" ht="17.25" customHeight="1" x14ac:dyDescent="0.15">
      <c r="U255" s="98"/>
      <c r="AE255" s="10"/>
      <c r="AF255" s="10"/>
    </row>
    <row r="256" spans="21:32" s="3" customFormat="1" ht="17.25" customHeight="1" x14ac:dyDescent="0.15">
      <c r="U256" s="98"/>
      <c r="AE256" s="10"/>
      <c r="AF256" s="10"/>
    </row>
    <row r="257" spans="21:32" s="3" customFormat="1" ht="17.25" customHeight="1" x14ac:dyDescent="0.15">
      <c r="U257" s="98"/>
      <c r="AE257" s="10"/>
      <c r="AF257" s="10"/>
    </row>
    <row r="258" spans="21:32" s="3" customFormat="1" ht="17.25" customHeight="1" x14ac:dyDescent="0.15">
      <c r="U258" s="98"/>
      <c r="AE258" s="10"/>
      <c r="AF258" s="10"/>
    </row>
    <row r="259" spans="21:32" s="3" customFormat="1" ht="17.25" customHeight="1" x14ac:dyDescent="0.15">
      <c r="U259" s="98"/>
      <c r="AE259" s="10"/>
      <c r="AF259" s="10"/>
    </row>
    <row r="260" spans="21:32" s="3" customFormat="1" ht="17.25" customHeight="1" x14ac:dyDescent="0.15">
      <c r="U260" s="98"/>
      <c r="AE260" s="10"/>
      <c r="AF260" s="10"/>
    </row>
    <row r="261" spans="21:32" s="3" customFormat="1" ht="17.25" customHeight="1" x14ac:dyDescent="0.15">
      <c r="U261" s="98"/>
      <c r="AE261" s="10"/>
      <c r="AF261" s="10"/>
    </row>
    <row r="262" spans="21:32" s="3" customFormat="1" ht="17.25" customHeight="1" x14ac:dyDescent="0.15">
      <c r="U262" s="98"/>
      <c r="AE262" s="10"/>
      <c r="AF262" s="10"/>
    </row>
    <row r="263" spans="21:32" s="3" customFormat="1" ht="17.25" customHeight="1" x14ac:dyDescent="0.15">
      <c r="U263" s="98"/>
      <c r="AE263" s="10"/>
      <c r="AF263" s="10"/>
    </row>
    <row r="264" spans="21:32" s="3" customFormat="1" ht="17.25" customHeight="1" x14ac:dyDescent="0.15">
      <c r="U264" s="98"/>
      <c r="AE264" s="10"/>
      <c r="AF264" s="10"/>
    </row>
    <row r="265" spans="21:32" s="3" customFormat="1" ht="17.25" customHeight="1" x14ac:dyDescent="0.15">
      <c r="U265" s="98"/>
      <c r="AE265" s="10"/>
      <c r="AF265" s="10"/>
    </row>
    <row r="266" spans="21:32" s="3" customFormat="1" ht="17.25" customHeight="1" x14ac:dyDescent="0.15">
      <c r="U266" s="98"/>
      <c r="AE266" s="10"/>
      <c r="AF266" s="10"/>
    </row>
    <row r="267" spans="21:32" s="3" customFormat="1" ht="17.25" customHeight="1" x14ac:dyDescent="0.15">
      <c r="U267" s="98"/>
      <c r="AE267" s="10"/>
      <c r="AF267" s="10"/>
    </row>
    <row r="268" spans="21:32" s="3" customFormat="1" ht="17.25" customHeight="1" x14ac:dyDescent="0.15">
      <c r="U268" s="98"/>
      <c r="AE268" s="10"/>
      <c r="AF268" s="10"/>
    </row>
    <row r="269" spans="21:32" s="3" customFormat="1" ht="17.25" customHeight="1" x14ac:dyDescent="0.15">
      <c r="U269" s="98"/>
      <c r="AE269" s="10"/>
      <c r="AF269" s="10"/>
    </row>
    <row r="270" spans="21:32" s="3" customFormat="1" ht="17.25" customHeight="1" x14ac:dyDescent="0.15">
      <c r="U270" s="98"/>
      <c r="AE270" s="10"/>
      <c r="AF270" s="10"/>
    </row>
    <row r="271" spans="21:32" s="3" customFormat="1" ht="17.25" customHeight="1" x14ac:dyDescent="0.15">
      <c r="U271" s="98"/>
      <c r="AE271" s="10"/>
      <c r="AF271" s="10"/>
    </row>
    <row r="272" spans="21:32" s="3" customFormat="1" ht="17.25" customHeight="1" x14ac:dyDescent="0.15">
      <c r="U272" s="98"/>
      <c r="AE272" s="10"/>
      <c r="AF272" s="10"/>
    </row>
    <row r="273" spans="21:32" s="3" customFormat="1" ht="17.25" customHeight="1" x14ac:dyDescent="0.15">
      <c r="U273" s="98"/>
      <c r="AE273" s="10"/>
      <c r="AF273" s="10"/>
    </row>
    <row r="274" spans="21:32" s="3" customFormat="1" ht="17.25" customHeight="1" x14ac:dyDescent="0.15">
      <c r="U274" s="98"/>
      <c r="AE274" s="10"/>
      <c r="AF274" s="10"/>
    </row>
    <row r="275" spans="21:32" s="3" customFormat="1" ht="17.25" customHeight="1" x14ac:dyDescent="0.15">
      <c r="U275" s="98"/>
      <c r="AE275" s="10"/>
      <c r="AF275" s="10"/>
    </row>
    <row r="276" spans="21:32" s="3" customFormat="1" ht="17.25" customHeight="1" x14ac:dyDescent="0.15">
      <c r="U276" s="98"/>
      <c r="AE276" s="10"/>
      <c r="AF276" s="10"/>
    </row>
    <row r="277" spans="21:32" s="3" customFormat="1" ht="17.25" customHeight="1" x14ac:dyDescent="0.15">
      <c r="U277" s="98"/>
      <c r="AE277" s="10"/>
      <c r="AF277" s="10"/>
    </row>
    <row r="278" spans="21:32" s="3" customFormat="1" ht="17.25" customHeight="1" x14ac:dyDescent="0.15">
      <c r="U278" s="98"/>
      <c r="AE278" s="10"/>
      <c r="AF278" s="10"/>
    </row>
    <row r="279" spans="21:32" s="3" customFormat="1" ht="17.25" customHeight="1" x14ac:dyDescent="0.15">
      <c r="U279" s="98"/>
      <c r="AE279" s="10"/>
      <c r="AF279" s="10"/>
    </row>
    <row r="280" spans="21:32" s="3" customFormat="1" ht="17.25" customHeight="1" x14ac:dyDescent="0.15">
      <c r="U280" s="98"/>
      <c r="AE280" s="10"/>
      <c r="AF280" s="10"/>
    </row>
    <row r="281" spans="21:32" s="3" customFormat="1" ht="17.25" customHeight="1" x14ac:dyDescent="0.15">
      <c r="U281" s="98"/>
      <c r="AE281" s="10"/>
      <c r="AF281" s="10"/>
    </row>
    <row r="282" spans="21:32" s="3" customFormat="1" ht="17.25" customHeight="1" x14ac:dyDescent="0.15">
      <c r="U282" s="98"/>
      <c r="AE282" s="10"/>
      <c r="AF282" s="10"/>
    </row>
    <row r="283" spans="21:32" s="3" customFormat="1" ht="17.25" customHeight="1" x14ac:dyDescent="0.15">
      <c r="U283" s="98"/>
      <c r="AE283" s="10"/>
      <c r="AF283" s="10"/>
    </row>
    <row r="284" spans="21:32" s="3" customFormat="1" ht="17.25" customHeight="1" x14ac:dyDescent="0.15">
      <c r="U284" s="98"/>
      <c r="AE284" s="10"/>
      <c r="AF284" s="10"/>
    </row>
    <row r="285" spans="21:32" s="3" customFormat="1" ht="17.25" customHeight="1" x14ac:dyDescent="0.15">
      <c r="U285" s="98"/>
      <c r="AE285" s="10"/>
      <c r="AF285" s="10"/>
    </row>
    <row r="286" spans="21:32" s="3" customFormat="1" ht="17.25" customHeight="1" x14ac:dyDescent="0.15">
      <c r="U286" s="98"/>
      <c r="AE286" s="10"/>
      <c r="AF286" s="10"/>
    </row>
    <row r="287" spans="21:32" s="3" customFormat="1" ht="17.25" customHeight="1" x14ac:dyDescent="0.15">
      <c r="U287" s="98"/>
      <c r="AE287" s="10"/>
      <c r="AF287" s="10"/>
    </row>
    <row r="288" spans="21:32" s="3" customFormat="1" ht="17.25" customHeight="1" x14ac:dyDescent="0.15">
      <c r="U288" s="98"/>
      <c r="AE288" s="10"/>
      <c r="AF288" s="10"/>
    </row>
    <row r="289" spans="21:32" s="3" customFormat="1" ht="17.25" customHeight="1" x14ac:dyDescent="0.15">
      <c r="U289" s="98"/>
      <c r="AE289" s="10"/>
      <c r="AF289" s="10"/>
    </row>
    <row r="290" spans="21:32" s="3" customFormat="1" ht="17.25" customHeight="1" x14ac:dyDescent="0.15">
      <c r="U290" s="98"/>
      <c r="AE290" s="10"/>
      <c r="AF290" s="10"/>
    </row>
    <row r="291" spans="21:32" s="3" customFormat="1" ht="17.25" customHeight="1" x14ac:dyDescent="0.15">
      <c r="U291" s="98"/>
      <c r="AE291" s="10"/>
      <c r="AF291" s="10"/>
    </row>
    <row r="292" spans="21:32" s="3" customFormat="1" ht="17.25" customHeight="1" x14ac:dyDescent="0.15">
      <c r="U292" s="98"/>
      <c r="AE292" s="10"/>
      <c r="AF292" s="10"/>
    </row>
    <row r="293" spans="21:32" s="3" customFormat="1" ht="17.25" customHeight="1" x14ac:dyDescent="0.15">
      <c r="U293" s="98"/>
      <c r="AE293" s="10"/>
      <c r="AF293" s="10"/>
    </row>
    <row r="294" spans="21:32" s="3" customFormat="1" ht="17.25" customHeight="1" x14ac:dyDescent="0.15">
      <c r="U294" s="98"/>
      <c r="AE294" s="10"/>
      <c r="AF294" s="10"/>
    </row>
    <row r="295" spans="21:32" s="3" customFormat="1" ht="17.25" customHeight="1" x14ac:dyDescent="0.15">
      <c r="U295" s="98"/>
      <c r="AE295" s="10"/>
      <c r="AF295" s="10"/>
    </row>
    <row r="296" spans="21:32" s="3" customFormat="1" ht="17.25" customHeight="1" x14ac:dyDescent="0.15">
      <c r="U296" s="98"/>
      <c r="AE296" s="10"/>
      <c r="AF296" s="10"/>
    </row>
    <row r="297" spans="21:32" s="3" customFormat="1" ht="17.25" customHeight="1" x14ac:dyDescent="0.15">
      <c r="U297" s="98"/>
      <c r="AE297" s="10"/>
      <c r="AF297" s="10"/>
    </row>
    <row r="298" spans="21:32" s="3" customFormat="1" ht="17.25" customHeight="1" x14ac:dyDescent="0.15">
      <c r="U298" s="98"/>
      <c r="AE298" s="10"/>
      <c r="AF298" s="10"/>
    </row>
    <row r="299" spans="21:32" s="3" customFormat="1" ht="17.25" customHeight="1" x14ac:dyDescent="0.15">
      <c r="U299" s="98"/>
      <c r="AE299" s="10"/>
      <c r="AF299" s="10"/>
    </row>
    <row r="300" spans="21:32" s="3" customFormat="1" ht="17.25" customHeight="1" x14ac:dyDescent="0.15">
      <c r="U300" s="98"/>
      <c r="AE300" s="10"/>
      <c r="AF300" s="10"/>
    </row>
    <row r="301" spans="21:32" s="3" customFormat="1" ht="17.25" customHeight="1" x14ac:dyDescent="0.15">
      <c r="U301" s="98"/>
      <c r="AE301" s="10"/>
      <c r="AF301" s="10"/>
    </row>
    <row r="302" spans="21:32" s="3" customFormat="1" ht="17.25" customHeight="1" x14ac:dyDescent="0.15">
      <c r="U302" s="98"/>
      <c r="AE302" s="10"/>
      <c r="AF302" s="10"/>
    </row>
    <row r="303" spans="21:32" s="3" customFormat="1" ht="17.25" customHeight="1" x14ac:dyDescent="0.15">
      <c r="U303" s="98"/>
      <c r="AE303" s="10"/>
      <c r="AF303" s="10"/>
    </row>
    <row r="304" spans="21:32" s="3" customFormat="1" ht="17.25" customHeight="1" x14ac:dyDescent="0.15">
      <c r="U304" s="98"/>
      <c r="AE304" s="10"/>
      <c r="AF304" s="10"/>
    </row>
    <row r="305" spans="21:32" s="3" customFormat="1" ht="17.25" customHeight="1" x14ac:dyDescent="0.15">
      <c r="U305" s="98"/>
      <c r="AE305" s="10"/>
      <c r="AF305" s="10"/>
    </row>
    <row r="306" spans="21:32" s="3" customFormat="1" ht="17.25" customHeight="1" x14ac:dyDescent="0.15">
      <c r="U306" s="98"/>
      <c r="AE306" s="10"/>
      <c r="AF306" s="10"/>
    </row>
    <row r="307" spans="21:32" s="3" customFormat="1" ht="17.25" customHeight="1" x14ac:dyDescent="0.15">
      <c r="U307" s="98"/>
      <c r="AE307" s="10"/>
      <c r="AF307" s="10"/>
    </row>
    <row r="308" spans="21:32" s="3" customFormat="1" ht="17.25" customHeight="1" x14ac:dyDescent="0.15">
      <c r="U308" s="98"/>
      <c r="AE308" s="10"/>
      <c r="AF308" s="10"/>
    </row>
    <row r="309" spans="21:32" s="3" customFormat="1" ht="17.25" customHeight="1" x14ac:dyDescent="0.15">
      <c r="U309" s="98"/>
      <c r="AE309" s="10"/>
      <c r="AF309" s="10"/>
    </row>
    <row r="310" spans="21:32" s="3" customFormat="1" ht="17.25" customHeight="1" x14ac:dyDescent="0.15">
      <c r="U310" s="98"/>
      <c r="AE310" s="10"/>
      <c r="AF310" s="10"/>
    </row>
    <row r="311" spans="21:32" s="3" customFormat="1" ht="17.25" customHeight="1" x14ac:dyDescent="0.15">
      <c r="U311" s="98"/>
      <c r="AE311" s="10"/>
      <c r="AF311" s="10"/>
    </row>
    <row r="312" spans="21:32" s="3" customFormat="1" ht="17.25" customHeight="1" x14ac:dyDescent="0.15">
      <c r="U312" s="98"/>
      <c r="AE312" s="10"/>
      <c r="AF312" s="10"/>
    </row>
    <row r="313" spans="21:32" s="3" customFormat="1" ht="17.25" customHeight="1" x14ac:dyDescent="0.15">
      <c r="U313" s="98"/>
      <c r="AE313" s="10"/>
      <c r="AF313" s="10"/>
    </row>
    <row r="314" spans="21:32" s="3" customFormat="1" ht="17.25" customHeight="1" x14ac:dyDescent="0.15">
      <c r="U314" s="98"/>
      <c r="AE314" s="10"/>
      <c r="AF314" s="10"/>
    </row>
    <row r="315" spans="21:32" s="3" customFormat="1" ht="17.25" customHeight="1" x14ac:dyDescent="0.15">
      <c r="U315" s="98"/>
      <c r="AE315" s="10"/>
      <c r="AF315" s="10"/>
    </row>
    <row r="316" spans="21:32" s="3" customFormat="1" ht="17.25" customHeight="1" x14ac:dyDescent="0.15">
      <c r="U316" s="98"/>
      <c r="AE316" s="10"/>
      <c r="AF316" s="10"/>
    </row>
    <row r="317" spans="21:32" s="3" customFormat="1" ht="17.25" customHeight="1" x14ac:dyDescent="0.15">
      <c r="U317" s="98"/>
      <c r="AE317" s="10"/>
      <c r="AF317" s="10"/>
    </row>
    <row r="318" spans="21:32" s="3" customFormat="1" ht="17.25" customHeight="1" x14ac:dyDescent="0.15">
      <c r="U318" s="98"/>
      <c r="AE318" s="10"/>
      <c r="AF318" s="10"/>
    </row>
    <row r="319" spans="21:32" s="3" customFormat="1" ht="17.25" customHeight="1" x14ac:dyDescent="0.15">
      <c r="U319" s="98"/>
      <c r="AE319" s="10"/>
      <c r="AF319" s="10"/>
    </row>
    <row r="320" spans="21:32" s="3" customFormat="1" ht="17.25" customHeight="1" x14ac:dyDescent="0.15">
      <c r="U320" s="98"/>
      <c r="AE320" s="10"/>
      <c r="AF320" s="10"/>
    </row>
    <row r="321" spans="21:32" s="3" customFormat="1" ht="17.25" customHeight="1" x14ac:dyDescent="0.15">
      <c r="U321" s="98"/>
      <c r="AE321" s="10"/>
      <c r="AF321" s="10"/>
    </row>
    <row r="322" spans="21:32" s="3" customFormat="1" ht="17.25" customHeight="1" x14ac:dyDescent="0.15">
      <c r="U322" s="98"/>
      <c r="AE322" s="10"/>
      <c r="AF322" s="10"/>
    </row>
    <row r="323" spans="21:32" s="3" customFormat="1" ht="17.25" customHeight="1" x14ac:dyDescent="0.15">
      <c r="U323" s="98"/>
      <c r="AE323" s="10"/>
      <c r="AF323" s="10"/>
    </row>
    <row r="324" spans="21:32" s="3" customFormat="1" ht="17.25" customHeight="1" x14ac:dyDescent="0.15">
      <c r="U324" s="98"/>
      <c r="AE324" s="10"/>
      <c r="AF324" s="10"/>
    </row>
    <row r="325" spans="21:32" s="3" customFormat="1" ht="17.25" customHeight="1" x14ac:dyDescent="0.15">
      <c r="U325" s="98"/>
      <c r="AE325" s="10"/>
      <c r="AF325" s="10"/>
    </row>
    <row r="326" spans="21:32" s="3" customFormat="1" ht="17.25" customHeight="1" x14ac:dyDescent="0.15">
      <c r="U326" s="98"/>
      <c r="AE326" s="10"/>
      <c r="AF326" s="10"/>
    </row>
    <row r="327" spans="21:32" s="3" customFormat="1" ht="17.25" customHeight="1" x14ac:dyDescent="0.15">
      <c r="U327" s="98"/>
      <c r="AE327" s="10"/>
      <c r="AF327" s="10"/>
    </row>
    <row r="328" spans="21:32" s="3" customFormat="1" ht="17.25" customHeight="1" x14ac:dyDescent="0.15">
      <c r="U328" s="98"/>
      <c r="AE328" s="10"/>
      <c r="AF328" s="10"/>
    </row>
    <row r="329" spans="21:32" s="3" customFormat="1" ht="17.25" customHeight="1" x14ac:dyDescent="0.15">
      <c r="U329" s="98"/>
      <c r="AE329" s="10"/>
      <c r="AF329" s="10"/>
    </row>
    <row r="330" spans="21:32" s="3" customFormat="1" ht="17.25" customHeight="1" x14ac:dyDescent="0.15">
      <c r="U330" s="98"/>
      <c r="AE330" s="10"/>
      <c r="AF330" s="10"/>
    </row>
    <row r="331" spans="21:32" s="3" customFormat="1" ht="17.25" customHeight="1" x14ac:dyDescent="0.15">
      <c r="U331" s="98"/>
      <c r="AE331" s="10"/>
      <c r="AF331" s="10"/>
    </row>
    <row r="332" spans="21:32" s="3" customFormat="1" ht="17.25" customHeight="1" x14ac:dyDescent="0.15">
      <c r="U332" s="98"/>
      <c r="AE332" s="10"/>
      <c r="AF332" s="10"/>
    </row>
    <row r="333" spans="21:32" s="3" customFormat="1" ht="17.25" customHeight="1" x14ac:dyDescent="0.15">
      <c r="U333" s="98"/>
      <c r="AE333" s="10"/>
      <c r="AF333" s="10"/>
    </row>
    <row r="334" spans="21:32" s="3" customFormat="1" ht="17.25" customHeight="1" x14ac:dyDescent="0.15">
      <c r="U334" s="98"/>
      <c r="AE334" s="10"/>
      <c r="AF334" s="10"/>
    </row>
    <row r="335" spans="21:32" s="3" customFormat="1" ht="17.25" customHeight="1" x14ac:dyDescent="0.15">
      <c r="U335" s="98"/>
      <c r="AE335" s="10"/>
      <c r="AF335" s="10"/>
    </row>
    <row r="336" spans="21:32" s="3" customFormat="1" ht="17.25" customHeight="1" x14ac:dyDescent="0.15">
      <c r="U336" s="98"/>
      <c r="AE336" s="10"/>
      <c r="AF336" s="10"/>
    </row>
    <row r="337" spans="21:32" s="3" customFormat="1" ht="17.25" customHeight="1" x14ac:dyDescent="0.15">
      <c r="U337" s="98"/>
      <c r="AE337" s="10"/>
      <c r="AF337" s="10"/>
    </row>
    <row r="338" spans="21:32" s="3" customFormat="1" ht="17.25" customHeight="1" x14ac:dyDescent="0.15">
      <c r="U338" s="98"/>
      <c r="AE338" s="10"/>
      <c r="AF338" s="10"/>
    </row>
    <row r="339" spans="21:32" s="3" customFormat="1" ht="17.25" customHeight="1" x14ac:dyDescent="0.15">
      <c r="U339" s="98"/>
      <c r="AE339" s="10"/>
      <c r="AF339" s="10"/>
    </row>
    <row r="340" spans="21:32" s="3" customFormat="1" ht="17.25" customHeight="1" x14ac:dyDescent="0.15">
      <c r="U340" s="98"/>
      <c r="AE340" s="10"/>
      <c r="AF340" s="10"/>
    </row>
    <row r="341" spans="21:32" s="3" customFormat="1" ht="17.25" customHeight="1" x14ac:dyDescent="0.15">
      <c r="U341" s="98"/>
      <c r="AE341" s="10"/>
      <c r="AF341" s="10"/>
    </row>
    <row r="342" spans="21:32" s="3" customFormat="1" ht="17.25" customHeight="1" x14ac:dyDescent="0.15">
      <c r="U342" s="98"/>
      <c r="AE342" s="10"/>
      <c r="AF342" s="10"/>
    </row>
    <row r="343" spans="21:32" s="3" customFormat="1" ht="17.25" customHeight="1" x14ac:dyDescent="0.15">
      <c r="U343" s="98"/>
      <c r="AE343" s="10"/>
      <c r="AF343" s="10"/>
    </row>
    <row r="344" spans="21:32" s="3" customFormat="1" ht="17.25" customHeight="1" x14ac:dyDescent="0.15">
      <c r="U344" s="98"/>
      <c r="AE344" s="10"/>
      <c r="AF344" s="10"/>
    </row>
    <row r="345" spans="21:32" s="3" customFormat="1" ht="17.25" customHeight="1" x14ac:dyDescent="0.15">
      <c r="U345" s="98"/>
      <c r="AE345" s="10"/>
      <c r="AF345" s="10"/>
    </row>
    <row r="346" spans="21:32" s="3" customFormat="1" ht="17.25" customHeight="1" x14ac:dyDescent="0.15">
      <c r="U346" s="98"/>
      <c r="AE346" s="10"/>
      <c r="AF346" s="10"/>
    </row>
    <row r="347" spans="21:32" s="3" customFormat="1" ht="17.25" customHeight="1" x14ac:dyDescent="0.15">
      <c r="U347" s="98"/>
      <c r="AE347" s="10"/>
      <c r="AF347" s="10"/>
    </row>
    <row r="348" spans="21:32" s="3" customFormat="1" ht="17.25" customHeight="1" x14ac:dyDescent="0.15">
      <c r="U348" s="98"/>
      <c r="AE348" s="10"/>
      <c r="AF348" s="10"/>
    </row>
    <row r="349" spans="21:32" s="3" customFormat="1" ht="17.25" customHeight="1" x14ac:dyDescent="0.15">
      <c r="U349" s="98"/>
      <c r="AE349" s="10"/>
      <c r="AF349" s="10"/>
    </row>
    <row r="350" spans="21:32" s="3" customFormat="1" ht="17.25" customHeight="1" x14ac:dyDescent="0.15">
      <c r="U350" s="98"/>
      <c r="AE350" s="10"/>
      <c r="AF350" s="10"/>
    </row>
    <row r="351" spans="21:32" s="3" customFormat="1" ht="17.25" customHeight="1" x14ac:dyDescent="0.15">
      <c r="U351" s="98"/>
      <c r="AE351" s="10"/>
      <c r="AF351" s="10"/>
    </row>
    <row r="352" spans="21:32" s="3" customFormat="1" ht="17.25" customHeight="1" x14ac:dyDescent="0.15">
      <c r="U352" s="98"/>
      <c r="AE352" s="10"/>
      <c r="AF352" s="10"/>
    </row>
    <row r="353" spans="21:32" s="3" customFormat="1" ht="17.25" customHeight="1" x14ac:dyDescent="0.15">
      <c r="U353" s="98"/>
      <c r="AE353" s="10"/>
      <c r="AF353" s="10"/>
    </row>
    <row r="354" spans="21:32" s="3" customFormat="1" ht="17.25" customHeight="1" x14ac:dyDescent="0.15">
      <c r="U354" s="98"/>
      <c r="AE354" s="10"/>
      <c r="AF354" s="10"/>
    </row>
    <row r="355" spans="21:32" s="3" customFormat="1" ht="17.25" customHeight="1" x14ac:dyDescent="0.15">
      <c r="U355" s="98"/>
      <c r="AE355" s="10"/>
      <c r="AF355" s="10"/>
    </row>
    <row r="356" spans="21:32" s="3" customFormat="1" ht="17.25" customHeight="1" x14ac:dyDescent="0.15">
      <c r="U356" s="98"/>
      <c r="AE356" s="10"/>
      <c r="AF356" s="10"/>
    </row>
    <row r="357" spans="21:32" s="3" customFormat="1" ht="17.25" customHeight="1" x14ac:dyDescent="0.15">
      <c r="U357" s="98"/>
      <c r="AE357" s="10"/>
      <c r="AF357" s="10"/>
    </row>
    <row r="358" spans="21:32" s="3" customFormat="1" ht="17.25" customHeight="1" x14ac:dyDescent="0.15">
      <c r="U358" s="98"/>
      <c r="AE358" s="10"/>
      <c r="AF358" s="10"/>
    </row>
    <row r="359" spans="21:32" s="3" customFormat="1" ht="17.25" customHeight="1" x14ac:dyDescent="0.15">
      <c r="U359" s="98"/>
      <c r="AE359" s="10"/>
      <c r="AF359" s="10"/>
    </row>
    <row r="360" spans="21:32" s="3" customFormat="1" ht="17.25" customHeight="1" x14ac:dyDescent="0.15">
      <c r="U360" s="98"/>
      <c r="AE360" s="10"/>
      <c r="AF360" s="10"/>
    </row>
    <row r="361" spans="21:32" s="3" customFormat="1" ht="17.25" customHeight="1" x14ac:dyDescent="0.15">
      <c r="U361" s="98"/>
      <c r="AE361" s="10"/>
      <c r="AF361" s="10"/>
    </row>
    <row r="362" spans="21:32" s="3" customFormat="1" ht="17.25" customHeight="1" x14ac:dyDescent="0.15">
      <c r="U362" s="98"/>
      <c r="AE362" s="10"/>
      <c r="AF362" s="10"/>
    </row>
    <row r="363" spans="21:32" s="3" customFormat="1" ht="17.25" customHeight="1" x14ac:dyDescent="0.15">
      <c r="U363" s="98"/>
      <c r="AE363" s="10"/>
      <c r="AF363" s="10"/>
    </row>
    <row r="364" spans="21:32" s="3" customFormat="1" ht="17.25" customHeight="1" x14ac:dyDescent="0.15">
      <c r="U364" s="98"/>
      <c r="AE364" s="10"/>
      <c r="AF364" s="10"/>
    </row>
    <row r="365" spans="21:32" s="3" customFormat="1" ht="17.25" customHeight="1" x14ac:dyDescent="0.15">
      <c r="U365" s="98"/>
      <c r="AE365" s="10"/>
      <c r="AF365" s="10"/>
    </row>
    <row r="366" spans="21:32" s="3" customFormat="1" ht="17.25" customHeight="1" x14ac:dyDescent="0.15">
      <c r="U366" s="98"/>
      <c r="AE366" s="10"/>
      <c r="AF366" s="10"/>
    </row>
    <row r="367" spans="21:32" s="3" customFormat="1" ht="17.25" customHeight="1" x14ac:dyDescent="0.15">
      <c r="U367" s="98"/>
      <c r="AE367" s="10"/>
      <c r="AF367" s="10"/>
    </row>
    <row r="368" spans="21:32" s="3" customFormat="1" ht="17.25" customHeight="1" x14ac:dyDescent="0.15">
      <c r="U368" s="98"/>
      <c r="AE368" s="10"/>
      <c r="AF368" s="10"/>
    </row>
    <row r="369" spans="21:32" s="3" customFormat="1" ht="17.25" customHeight="1" x14ac:dyDescent="0.15">
      <c r="U369" s="98"/>
      <c r="AE369" s="10"/>
      <c r="AF369" s="10"/>
    </row>
    <row r="370" spans="21:32" s="3" customFormat="1" ht="17.25" customHeight="1" x14ac:dyDescent="0.15">
      <c r="U370" s="98"/>
      <c r="AE370" s="10"/>
      <c r="AF370" s="10"/>
    </row>
    <row r="371" spans="21:32" s="3" customFormat="1" ht="17.25" customHeight="1" x14ac:dyDescent="0.15">
      <c r="U371" s="98"/>
      <c r="AE371" s="10"/>
      <c r="AF371" s="10"/>
    </row>
    <row r="372" spans="21:32" s="3" customFormat="1" ht="17.25" customHeight="1" x14ac:dyDescent="0.15">
      <c r="U372" s="98"/>
      <c r="AE372" s="10"/>
      <c r="AF372" s="10"/>
    </row>
    <row r="373" spans="21:32" s="3" customFormat="1" ht="17.25" customHeight="1" x14ac:dyDescent="0.15">
      <c r="U373" s="98"/>
      <c r="AE373" s="10"/>
      <c r="AF373" s="10"/>
    </row>
    <row r="374" spans="21:32" s="3" customFormat="1" ht="17.25" customHeight="1" x14ac:dyDescent="0.15">
      <c r="U374" s="98"/>
      <c r="AE374" s="10"/>
      <c r="AF374" s="10"/>
    </row>
    <row r="375" spans="21:32" s="3" customFormat="1" ht="17.25" customHeight="1" x14ac:dyDescent="0.15">
      <c r="U375" s="98"/>
      <c r="AE375" s="10"/>
      <c r="AF375" s="10"/>
    </row>
    <row r="376" spans="21:32" s="3" customFormat="1" ht="17.25" customHeight="1" x14ac:dyDescent="0.15">
      <c r="U376" s="98"/>
      <c r="AE376" s="10"/>
      <c r="AF376" s="10"/>
    </row>
    <row r="377" spans="21:32" s="3" customFormat="1" ht="17.25" customHeight="1" x14ac:dyDescent="0.15">
      <c r="U377" s="98"/>
      <c r="AE377" s="10"/>
      <c r="AF377" s="10"/>
    </row>
    <row r="378" spans="21:32" s="3" customFormat="1" ht="17.25" customHeight="1" x14ac:dyDescent="0.15">
      <c r="U378" s="98"/>
      <c r="AE378" s="10"/>
      <c r="AF378" s="10"/>
    </row>
    <row r="379" spans="21:32" s="3" customFormat="1" ht="17.25" customHeight="1" x14ac:dyDescent="0.15">
      <c r="U379" s="98"/>
      <c r="AE379" s="10"/>
      <c r="AF379" s="10"/>
    </row>
    <row r="380" spans="21:32" s="3" customFormat="1" ht="17.25" customHeight="1" x14ac:dyDescent="0.15">
      <c r="U380" s="98"/>
      <c r="AE380" s="10"/>
      <c r="AF380" s="10"/>
    </row>
    <row r="381" spans="21:32" s="3" customFormat="1" ht="17.25" customHeight="1" x14ac:dyDescent="0.15">
      <c r="U381" s="98"/>
      <c r="AE381" s="10"/>
      <c r="AF381" s="10"/>
    </row>
    <row r="382" spans="21:32" s="3" customFormat="1" ht="17.25" customHeight="1" x14ac:dyDescent="0.15">
      <c r="U382" s="98"/>
      <c r="AE382" s="10"/>
      <c r="AF382" s="10"/>
    </row>
    <row r="383" spans="21:32" s="3" customFormat="1" ht="17.25" customHeight="1" x14ac:dyDescent="0.15">
      <c r="U383" s="98"/>
      <c r="AE383" s="10"/>
      <c r="AF383" s="10"/>
    </row>
    <row r="384" spans="21:32" s="3" customFormat="1" ht="17.25" customHeight="1" x14ac:dyDescent="0.15">
      <c r="U384" s="98"/>
      <c r="AE384" s="10"/>
      <c r="AF384" s="10"/>
    </row>
    <row r="385" spans="21:32" s="3" customFormat="1" ht="17.25" customHeight="1" x14ac:dyDescent="0.15">
      <c r="U385" s="98"/>
      <c r="AE385" s="10"/>
      <c r="AF385" s="10"/>
    </row>
    <row r="386" spans="21:32" s="3" customFormat="1" ht="17.25" customHeight="1" x14ac:dyDescent="0.15">
      <c r="U386" s="98"/>
      <c r="AE386" s="10"/>
      <c r="AF386" s="10"/>
    </row>
    <row r="387" spans="21:32" s="3" customFormat="1" ht="17.25" customHeight="1" x14ac:dyDescent="0.15">
      <c r="U387" s="98"/>
      <c r="AE387" s="10"/>
      <c r="AF387" s="10"/>
    </row>
    <row r="388" spans="21:32" s="3" customFormat="1" ht="17.25" customHeight="1" x14ac:dyDescent="0.15">
      <c r="U388" s="98"/>
      <c r="AE388" s="10"/>
      <c r="AF388" s="10"/>
    </row>
    <row r="389" spans="21:32" s="3" customFormat="1" ht="17.25" customHeight="1" x14ac:dyDescent="0.15">
      <c r="U389" s="98"/>
      <c r="AE389" s="10"/>
      <c r="AF389" s="10"/>
    </row>
    <row r="390" spans="21:32" s="3" customFormat="1" ht="17.25" customHeight="1" x14ac:dyDescent="0.15">
      <c r="U390" s="98"/>
      <c r="AE390" s="10"/>
      <c r="AF390" s="10"/>
    </row>
    <row r="391" spans="21:32" s="3" customFormat="1" ht="17.25" customHeight="1" x14ac:dyDescent="0.15">
      <c r="U391" s="98"/>
      <c r="AE391" s="10"/>
      <c r="AF391" s="10"/>
    </row>
    <row r="392" spans="21:32" s="3" customFormat="1" ht="17.25" customHeight="1" x14ac:dyDescent="0.15">
      <c r="U392" s="98"/>
      <c r="AE392" s="10"/>
      <c r="AF392" s="10"/>
    </row>
    <row r="393" spans="21:32" s="3" customFormat="1" ht="17.25" customHeight="1" x14ac:dyDescent="0.15">
      <c r="U393" s="98"/>
      <c r="AE393" s="10"/>
      <c r="AF393" s="10"/>
    </row>
    <row r="394" spans="21:32" s="3" customFormat="1" ht="17.25" customHeight="1" x14ac:dyDescent="0.15">
      <c r="U394" s="98"/>
      <c r="AE394" s="10"/>
      <c r="AF394" s="10"/>
    </row>
    <row r="395" spans="21:32" s="3" customFormat="1" ht="17.25" customHeight="1" x14ac:dyDescent="0.15">
      <c r="U395" s="98"/>
      <c r="AE395" s="10"/>
      <c r="AF395" s="10"/>
    </row>
    <row r="396" spans="21:32" s="3" customFormat="1" ht="17.25" customHeight="1" x14ac:dyDescent="0.15">
      <c r="U396" s="98"/>
      <c r="AE396" s="10"/>
      <c r="AF396" s="10"/>
    </row>
    <row r="397" spans="21:32" s="3" customFormat="1" ht="17.25" customHeight="1" x14ac:dyDescent="0.15">
      <c r="U397" s="98"/>
      <c r="AE397" s="10"/>
      <c r="AF397" s="10"/>
    </row>
    <row r="398" spans="21:32" s="3" customFormat="1" ht="17.25" customHeight="1" x14ac:dyDescent="0.15">
      <c r="U398" s="98"/>
      <c r="AE398" s="10"/>
      <c r="AF398" s="10"/>
    </row>
    <row r="399" spans="21:32" s="3" customFormat="1" ht="17.25" customHeight="1" x14ac:dyDescent="0.15">
      <c r="U399" s="98"/>
      <c r="AE399" s="10"/>
      <c r="AF399" s="10"/>
    </row>
    <row r="400" spans="21:32" s="3" customFormat="1" ht="17.25" customHeight="1" x14ac:dyDescent="0.15">
      <c r="U400" s="98"/>
      <c r="AE400" s="10"/>
      <c r="AF400" s="10"/>
    </row>
    <row r="401" spans="21:32" s="3" customFormat="1" ht="17.25" customHeight="1" x14ac:dyDescent="0.15">
      <c r="U401" s="98"/>
      <c r="AE401" s="10"/>
      <c r="AF401" s="10"/>
    </row>
    <row r="402" spans="21:32" s="3" customFormat="1" ht="17.25" customHeight="1" x14ac:dyDescent="0.15">
      <c r="U402" s="98"/>
      <c r="AE402" s="10"/>
      <c r="AF402" s="10"/>
    </row>
    <row r="403" spans="21:32" s="3" customFormat="1" ht="17.25" customHeight="1" x14ac:dyDescent="0.15">
      <c r="U403" s="98"/>
      <c r="AE403" s="10"/>
      <c r="AF403" s="10"/>
    </row>
    <row r="404" spans="21:32" s="3" customFormat="1" ht="17.25" customHeight="1" x14ac:dyDescent="0.15">
      <c r="U404" s="98"/>
      <c r="AE404" s="10"/>
      <c r="AF404" s="10"/>
    </row>
    <row r="405" spans="21:32" s="3" customFormat="1" ht="17.25" customHeight="1" x14ac:dyDescent="0.15">
      <c r="U405" s="98"/>
      <c r="AE405" s="10"/>
      <c r="AF405" s="10"/>
    </row>
    <row r="406" spans="21:32" s="3" customFormat="1" ht="17.25" customHeight="1" x14ac:dyDescent="0.15">
      <c r="U406" s="98"/>
      <c r="AE406" s="10"/>
      <c r="AF406" s="10"/>
    </row>
    <row r="407" spans="21:32" s="3" customFormat="1" ht="17.25" customHeight="1" x14ac:dyDescent="0.15">
      <c r="U407" s="98"/>
      <c r="AE407" s="10"/>
      <c r="AF407" s="10"/>
    </row>
    <row r="408" spans="21:32" s="3" customFormat="1" ht="17.25" customHeight="1" x14ac:dyDescent="0.15">
      <c r="U408" s="98"/>
      <c r="AE408" s="10"/>
      <c r="AF408" s="10"/>
    </row>
    <row r="409" spans="21:32" s="3" customFormat="1" ht="17.25" customHeight="1" x14ac:dyDescent="0.15">
      <c r="U409" s="98"/>
      <c r="AE409" s="10"/>
      <c r="AF409" s="10"/>
    </row>
    <row r="410" spans="21:32" s="3" customFormat="1" ht="17.25" customHeight="1" x14ac:dyDescent="0.15">
      <c r="U410" s="98"/>
      <c r="AE410" s="10"/>
      <c r="AF410" s="10"/>
    </row>
    <row r="411" spans="21:32" s="3" customFormat="1" ht="17.25" customHeight="1" x14ac:dyDescent="0.15">
      <c r="U411" s="98"/>
      <c r="AE411" s="10"/>
      <c r="AF411" s="10"/>
    </row>
    <row r="412" spans="21:32" s="3" customFormat="1" ht="17.25" customHeight="1" x14ac:dyDescent="0.15">
      <c r="U412" s="98"/>
      <c r="AE412" s="10"/>
      <c r="AF412" s="10"/>
    </row>
    <row r="413" spans="21:32" s="3" customFormat="1" ht="17.25" customHeight="1" x14ac:dyDescent="0.15">
      <c r="U413" s="98"/>
      <c r="AE413" s="10"/>
      <c r="AF413" s="10"/>
    </row>
    <row r="414" spans="21:32" s="3" customFormat="1" ht="17.25" customHeight="1" x14ac:dyDescent="0.15">
      <c r="U414" s="98"/>
      <c r="AE414" s="10"/>
      <c r="AF414" s="10"/>
    </row>
    <row r="415" spans="21:32" s="3" customFormat="1" ht="12" x14ac:dyDescent="0.15">
      <c r="U415" s="98"/>
      <c r="AE415" s="10"/>
      <c r="AF415" s="10"/>
    </row>
    <row r="416" spans="21:32" s="3" customFormat="1" ht="12" x14ac:dyDescent="0.15">
      <c r="U416" s="98"/>
      <c r="AE416" s="10"/>
      <c r="AF416" s="10"/>
    </row>
    <row r="417" spans="21:32" s="3" customFormat="1" ht="12" x14ac:dyDescent="0.15">
      <c r="U417" s="98"/>
      <c r="AE417" s="10"/>
      <c r="AF417" s="10"/>
    </row>
    <row r="418" spans="21:32" s="3" customFormat="1" ht="12" x14ac:dyDescent="0.15">
      <c r="U418" s="98"/>
      <c r="AE418" s="10"/>
      <c r="AF418" s="10"/>
    </row>
    <row r="419" spans="21:32" s="3" customFormat="1" ht="12" x14ac:dyDescent="0.15">
      <c r="U419" s="98"/>
      <c r="AE419" s="10"/>
      <c r="AF419" s="10"/>
    </row>
    <row r="420" spans="21:32" s="3" customFormat="1" ht="12" x14ac:dyDescent="0.15">
      <c r="U420" s="98"/>
      <c r="AE420" s="10"/>
      <c r="AF420" s="10"/>
    </row>
    <row r="421" spans="21:32" s="3" customFormat="1" ht="12" x14ac:dyDescent="0.15">
      <c r="U421" s="98"/>
      <c r="AE421" s="10"/>
      <c r="AF421" s="10"/>
    </row>
    <row r="422" spans="21:32" s="3" customFormat="1" ht="12" x14ac:dyDescent="0.15">
      <c r="U422" s="98"/>
      <c r="AE422" s="10"/>
      <c r="AF422" s="10"/>
    </row>
    <row r="423" spans="21:32" s="3" customFormat="1" ht="12" x14ac:dyDescent="0.15">
      <c r="U423" s="98"/>
      <c r="AE423" s="10"/>
      <c r="AF423" s="10"/>
    </row>
    <row r="424" spans="21:32" s="3" customFormat="1" ht="12" x14ac:dyDescent="0.15">
      <c r="U424" s="98"/>
      <c r="AE424" s="10"/>
      <c r="AF424" s="10"/>
    </row>
    <row r="425" spans="21:32" s="3" customFormat="1" ht="12" x14ac:dyDescent="0.15">
      <c r="U425" s="98"/>
      <c r="AE425" s="10"/>
      <c r="AF425" s="10"/>
    </row>
    <row r="426" spans="21:32" s="3" customFormat="1" ht="12" x14ac:dyDescent="0.15">
      <c r="U426" s="98"/>
      <c r="AE426" s="10"/>
      <c r="AF426" s="10"/>
    </row>
    <row r="427" spans="21:32" s="3" customFormat="1" ht="12" x14ac:dyDescent="0.15">
      <c r="U427" s="98"/>
      <c r="AE427" s="10"/>
      <c r="AF427" s="10"/>
    </row>
    <row r="428" spans="21:32" s="3" customFormat="1" ht="12" x14ac:dyDescent="0.15">
      <c r="U428" s="98"/>
      <c r="AE428" s="10"/>
      <c r="AF428" s="10"/>
    </row>
    <row r="429" spans="21:32" s="3" customFormat="1" ht="12" x14ac:dyDescent="0.15">
      <c r="U429" s="98"/>
      <c r="AE429" s="10"/>
      <c r="AF429" s="10"/>
    </row>
    <row r="430" spans="21:32" s="3" customFormat="1" ht="12" x14ac:dyDescent="0.15">
      <c r="U430" s="98"/>
      <c r="AE430" s="10"/>
      <c r="AF430" s="10"/>
    </row>
    <row r="431" spans="21:32" s="3" customFormat="1" ht="12" x14ac:dyDescent="0.15">
      <c r="U431" s="98"/>
      <c r="AE431" s="10"/>
      <c r="AF431" s="10"/>
    </row>
    <row r="432" spans="21:32" s="3" customFormat="1" ht="12" x14ac:dyDescent="0.15">
      <c r="U432" s="98"/>
      <c r="AE432" s="10"/>
      <c r="AF432" s="10"/>
    </row>
    <row r="433" spans="21:32" s="3" customFormat="1" ht="12" x14ac:dyDescent="0.15">
      <c r="U433" s="98"/>
      <c r="AE433" s="10"/>
      <c r="AF433" s="10"/>
    </row>
    <row r="434" spans="21:32" s="3" customFormat="1" ht="12" x14ac:dyDescent="0.15">
      <c r="U434" s="98"/>
      <c r="AE434" s="10"/>
      <c r="AF434" s="10"/>
    </row>
    <row r="435" spans="21:32" s="3" customFormat="1" ht="12" x14ac:dyDescent="0.15">
      <c r="U435" s="98"/>
      <c r="AE435" s="10"/>
      <c r="AF435" s="10"/>
    </row>
    <row r="436" spans="21:32" s="3" customFormat="1" ht="12" x14ac:dyDescent="0.15">
      <c r="U436" s="98"/>
      <c r="AE436" s="10"/>
      <c r="AF436" s="10"/>
    </row>
    <row r="437" spans="21:32" s="3" customFormat="1" ht="12" x14ac:dyDescent="0.15">
      <c r="U437" s="98"/>
      <c r="AE437" s="10"/>
      <c r="AF437" s="10"/>
    </row>
    <row r="438" spans="21:32" s="3" customFormat="1" ht="12" x14ac:dyDescent="0.15">
      <c r="U438" s="98"/>
      <c r="AE438" s="10"/>
      <c r="AF438" s="10"/>
    </row>
    <row r="439" spans="21:32" s="3" customFormat="1" ht="12" x14ac:dyDescent="0.15">
      <c r="U439" s="98"/>
      <c r="AE439" s="10"/>
      <c r="AF439" s="10"/>
    </row>
    <row r="440" spans="21:32" s="3" customFormat="1" ht="12" x14ac:dyDescent="0.15">
      <c r="U440" s="98"/>
      <c r="AE440" s="10"/>
      <c r="AF440" s="10"/>
    </row>
    <row r="441" spans="21:32" s="3" customFormat="1" ht="12" x14ac:dyDescent="0.15">
      <c r="U441" s="98"/>
      <c r="AE441" s="10"/>
      <c r="AF441" s="10"/>
    </row>
    <row r="442" spans="21:32" s="3" customFormat="1" ht="12" x14ac:dyDescent="0.15">
      <c r="U442" s="98"/>
      <c r="AE442" s="10"/>
      <c r="AF442" s="10"/>
    </row>
    <row r="443" spans="21:32" s="3" customFormat="1" ht="12" x14ac:dyDescent="0.15">
      <c r="U443" s="98"/>
      <c r="AE443" s="10"/>
      <c r="AF443" s="10"/>
    </row>
    <row r="444" spans="21:32" s="3" customFormat="1" ht="12" x14ac:dyDescent="0.15">
      <c r="U444" s="98"/>
      <c r="AE444" s="10"/>
      <c r="AF444" s="10"/>
    </row>
    <row r="445" spans="21:32" s="3" customFormat="1" ht="12" x14ac:dyDescent="0.15">
      <c r="U445" s="98"/>
      <c r="AE445" s="10"/>
      <c r="AF445" s="10"/>
    </row>
    <row r="446" spans="21:32" s="3" customFormat="1" ht="12" x14ac:dyDescent="0.15">
      <c r="U446" s="98"/>
      <c r="AE446" s="10"/>
      <c r="AF446" s="10"/>
    </row>
    <row r="447" spans="21:32" s="3" customFormat="1" ht="12" x14ac:dyDescent="0.15">
      <c r="U447" s="98"/>
      <c r="AE447" s="10"/>
      <c r="AF447" s="10"/>
    </row>
    <row r="448" spans="21:32" s="3" customFormat="1" ht="12" x14ac:dyDescent="0.15">
      <c r="U448" s="98"/>
      <c r="AE448" s="10"/>
      <c r="AF448" s="10"/>
    </row>
    <row r="449" spans="21:32" s="3" customFormat="1" ht="12" x14ac:dyDescent="0.15">
      <c r="U449" s="98"/>
      <c r="AE449" s="10"/>
      <c r="AF449" s="10"/>
    </row>
    <row r="450" spans="21:32" s="3" customFormat="1" ht="12" x14ac:dyDescent="0.15">
      <c r="U450" s="98"/>
      <c r="AE450" s="10"/>
      <c r="AF450" s="10"/>
    </row>
    <row r="451" spans="21:32" s="3" customFormat="1" ht="12" x14ac:dyDescent="0.15">
      <c r="U451" s="98"/>
      <c r="AE451" s="10"/>
      <c r="AF451" s="10"/>
    </row>
    <row r="452" spans="21:32" s="3" customFormat="1" ht="12" x14ac:dyDescent="0.15">
      <c r="U452" s="98"/>
      <c r="AE452" s="10"/>
      <c r="AF452" s="10"/>
    </row>
    <row r="453" spans="21:32" s="3" customFormat="1" ht="12" x14ac:dyDescent="0.15">
      <c r="U453" s="98"/>
      <c r="AE453" s="10"/>
      <c r="AF453" s="10"/>
    </row>
    <row r="454" spans="21:32" s="3" customFormat="1" ht="12" x14ac:dyDescent="0.15">
      <c r="U454" s="98"/>
      <c r="AE454" s="10"/>
      <c r="AF454" s="10"/>
    </row>
    <row r="455" spans="21:32" s="3" customFormat="1" ht="12" x14ac:dyDescent="0.15">
      <c r="U455" s="98"/>
      <c r="AE455" s="10"/>
      <c r="AF455" s="10"/>
    </row>
    <row r="456" spans="21:32" s="3" customFormat="1" ht="12" x14ac:dyDescent="0.15">
      <c r="U456" s="98"/>
      <c r="AE456" s="10"/>
      <c r="AF456" s="10"/>
    </row>
    <row r="457" spans="21:32" s="3" customFormat="1" ht="12" x14ac:dyDescent="0.15">
      <c r="U457" s="98"/>
      <c r="AE457" s="10"/>
      <c r="AF457" s="10"/>
    </row>
    <row r="458" spans="21:32" s="3" customFormat="1" ht="12" x14ac:dyDescent="0.15">
      <c r="U458" s="98"/>
      <c r="AE458" s="10"/>
      <c r="AF458" s="10"/>
    </row>
    <row r="459" spans="21:32" s="3" customFormat="1" ht="12" x14ac:dyDescent="0.15">
      <c r="U459" s="98"/>
      <c r="AE459" s="10"/>
      <c r="AF459" s="10"/>
    </row>
    <row r="460" spans="21:32" s="3" customFormat="1" ht="12" x14ac:dyDescent="0.15">
      <c r="U460" s="98"/>
      <c r="AE460" s="10"/>
      <c r="AF460" s="10"/>
    </row>
    <row r="461" spans="21:32" s="3" customFormat="1" ht="12" x14ac:dyDescent="0.15">
      <c r="U461" s="98"/>
      <c r="AE461" s="10"/>
      <c r="AF461" s="10"/>
    </row>
    <row r="462" spans="21:32" s="3" customFormat="1" ht="12" x14ac:dyDescent="0.15">
      <c r="U462" s="98"/>
      <c r="AE462" s="10"/>
      <c r="AF462" s="10"/>
    </row>
    <row r="463" spans="21:32" s="3" customFormat="1" ht="12" x14ac:dyDescent="0.15">
      <c r="U463" s="98"/>
    </row>
    <row r="464" spans="21:32" s="3" customFormat="1" ht="12" x14ac:dyDescent="0.15">
      <c r="U464" s="98"/>
    </row>
    <row r="465" spans="21:21" s="3" customFormat="1" ht="12" x14ac:dyDescent="0.15">
      <c r="U465" s="98"/>
    </row>
    <row r="466" spans="21:21" s="3" customFormat="1" ht="12" x14ac:dyDescent="0.15">
      <c r="U466" s="98"/>
    </row>
    <row r="467" spans="21:21" s="3" customFormat="1" ht="12" x14ac:dyDescent="0.15">
      <c r="U467" s="98"/>
    </row>
    <row r="468" spans="21:21" s="3" customFormat="1" ht="12" x14ac:dyDescent="0.15">
      <c r="U468" s="98"/>
    </row>
    <row r="469" spans="21:21" s="3" customFormat="1" ht="12" x14ac:dyDescent="0.15">
      <c r="U469" s="98"/>
    </row>
    <row r="470" spans="21:21" s="3" customFormat="1" ht="12" x14ac:dyDescent="0.15">
      <c r="U470" s="98"/>
    </row>
    <row r="471" spans="21:21" s="3" customFormat="1" ht="12" x14ac:dyDescent="0.15">
      <c r="U471" s="98"/>
    </row>
    <row r="472" spans="21:21" s="3" customFormat="1" ht="12" x14ac:dyDescent="0.15">
      <c r="U472" s="98"/>
    </row>
    <row r="473" spans="21:21" s="3" customFormat="1" ht="12" x14ac:dyDescent="0.15">
      <c r="U473" s="98"/>
    </row>
    <row r="474" spans="21:21" s="3" customFormat="1" ht="12" x14ac:dyDescent="0.15">
      <c r="U474" s="98"/>
    </row>
    <row r="475" spans="21:21" s="3" customFormat="1" ht="12" x14ac:dyDescent="0.15">
      <c r="U475" s="98"/>
    </row>
    <row r="476" spans="21:21" s="3" customFormat="1" ht="12" x14ac:dyDescent="0.15">
      <c r="U476" s="98"/>
    </row>
    <row r="477" spans="21:21" s="3" customFormat="1" ht="12" x14ac:dyDescent="0.15">
      <c r="U477" s="98"/>
    </row>
    <row r="478" spans="21:21" s="3" customFormat="1" ht="12" x14ac:dyDescent="0.15">
      <c r="U478" s="98"/>
    </row>
    <row r="479" spans="21:21" s="3" customFormat="1" ht="12" x14ac:dyDescent="0.15">
      <c r="U479" s="98"/>
    </row>
    <row r="480" spans="21:21" s="3" customFormat="1" ht="12" x14ac:dyDescent="0.15">
      <c r="U480" s="98"/>
    </row>
    <row r="481" spans="21:21" s="3" customFormat="1" ht="12" x14ac:dyDescent="0.15">
      <c r="U481" s="98"/>
    </row>
    <row r="482" spans="21:21" s="3" customFormat="1" ht="12" x14ac:dyDescent="0.15">
      <c r="U482" s="98"/>
    </row>
    <row r="483" spans="21:21" s="3" customFormat="1" ht="12" x14ac:dyDescent="0.15">
      <c r="U483" s="98"/>
    </row>
    <row r="484" spans="21:21" s="3" customFormat="1" ht="12" x14ac:dyDescent="0.15">
      <c r="U484" s="98"/>
    </row>
    <row r="485" spans="21:21" s="3" customFormat="1" ht="12" x14ac:dyDescent="0.15">
      <c r="U485" s="98"/>
    </row>
    <row r="486" spans="21:21" s="3" customFormat="1" ht="12" x14ac:dyDescent="0.15">
      <c r="U486" s="98"/>
    </row>
    <row r="487" spans="21:21" s="3" customFormat="1" ht="12" x14ac:dyDescent="0.15">
      <c r="U487" s="98"/>
    </row>
    <row r="488" spans="21:21" s="3" customFormat="1" ht="12" x14ac:dyDescent="0.15">
      <c r="U488" s="98"/>
    </row>
    <row r="489" spans="21:21" s="3" customFormat="1" ht="12" x14ac:dyDescent="0.15">
      <c r="U489" s="98"/>
    </row>
    <row r="490" spans="21:21" s="3" customFormat="1" ht="12" x14ac:dyDescent="0.15">
      <c r="U490" s="98"/>
    </row>
    <row r="491" spans="21:21" s="3" customFormat="1" ht="12" x14ac:dyDescent="0.15">
      <c r="U491" s="98"/>
    </row>
    <row r="492" spans="21:21" s="3" customFormat="1" ht="12" x14ac:dyDescent="0.15">
      <c r="U492" s="98"/>
    </row>
    <row r="493" spans="21:21" s="3" customFormat="1" ht="12" x14ac:dyDescent="0.15">
      <c r="U493" s="98"/>
    </row>
    <row r="494" spans="21:21" s="3" customFormat="1" ht="12" x14ac:dyDescent="0.15">
      <c r="U494" s="98"/>
    </row>
    <row r="495" spans="21:21" s="3" customFormat="1" ht="12" x14ac:dyDescent="0.15">
      <c r="U495" s="98"/>
    </row>
    <row r="496" spans="21:21" s="3" customFormat="1" ht="12" x14ac:dyDescent="0.15">
      <c r="U496" s="98"/>
    </row>
    <row r="497" spans="21:21" s="3" customFormat="1" ht="12" x14ac:dyDescent="0.15">
      <c r="U497" s="98"/>
    </row>
    <row r="498" spans="21:21" s="3" customFormat="1" ht="12" x14ac:dyDescent="0.15">
      <c r="U498" s="98"/>
    </row>
    <row r="499" spans="21:21" s="3" customFormat="1" ht="12" x14ac:dyDescent="0.15">
      <c r="U499" s="98"/>
    </row>
    <row r="500" spans="21:21" s="3" customFormat="1" ht="12" x14ac:dyDescent="0.15">
      <c r="U500" s="98"/>
    </row>
    <row r="501" spans="21:21" s="3" customFormat="1" ht="12" x14ac:dyDescent="0.15">
      <c r="U501" s="98"/>
    </row>
    <row r="502" spans="21:21" s="3" customFormat="1" ht="12" x14ac:dyDescent="0.15">
      <c r="U502" s="98"/>
    </row>
    <row r="503" spans="21:21" s="3" customFormat="1" ht="12" x14ac:dyDescent="0.15">
      <c r="U503" s="98"/>
    </row>
    <row r="504" spans="21:21" s="3" customFormat="1" ht="12" x14ac:dyDescent="0.15">
      <c r="U504" s="98"/>
    </row>
    <row r="505" spans="21:21" s="3" customFormat="1" ht="12" x14ac:dyDescent="0.15">
      <c r="U505" s="98"/>
    </row>
    <row r="506" spans="21:21" s="3" customFormat="1" ht="12" x14ac:dyDescent="0.15">
      <c r="U506" s="98"/>
    </row>
    <row r="507" spans="21:21" s="3" customFormat="1" ht="12" x14ac:dyDescent="0.15">
      <c r="U507" s="98"/>
    </row>
    <row r="508" spans="21:21" s="3" customFormat="1" ht="12" x14ac:dyDescent="0.15">
      <c r="U508" s="98"/>
    </row>
    <row r="509" spans="21:21" s="3" customFormat="1" ht="12" x14ac:dyDescent="0.15">
      <c r="U509" s="98"/>
    </row>
    <row r="510" spans="21:21" s="3" customFormat="1" ht="12" x14ac:dyDescent="0.15">
      <c r="U510" s="98"/>
    </row>
    <row r="511" spans="21:21" s="3" customFormat="1" ht="12" x14ac:dyDescent="0.15">
      <c r="U511" s="98"/>
    </row>
    <row r="512" spans="21:21" s="3" customFormat="1" ht="12" x14ac:dyDescent="0.15">
      <c r="U512" s="98"/>
    </row>
    <row r="513" spans="21:21" s="3" customFormat="1" ht="12" x14ac:dyDescent="0.15">
      <c r="U513" s="98"/>
    </row>
    <row r="514" spans="21:21" s="3" customFormat="1" ht="12" x14ac:dyDescent="0.15">
      <c r="U514" s="98"/>
    </row>
    <row r="515" spans="21:21" s="3" customFormat="1" ht="12" x14ac:dyDescent="0.15">
      <c r="U515" s="98"/>
    </row>
    <row r="516" spans="21:21" s="3" customFormat="1" ht="12" x14ac:dyDescent="0.15">
      <c r="U516" s="98"/>
    </row>
    <row r="517" spans="21:21" s="3" customFormat="1" ht="12" x14ac:dyDescent="0.15">
      <c r="U517" s="98"/>
    </row>
    <row r="518" spans="21:21" s="3" customFormat="1" ht="12" x14ac:dyDescent="0.15">
      <c r="U518" s="98"/>
    </row>
    <row r="519" spans="21:21" s="3" customFormat="1" ht="12" x14ac:dyDescent="0.15">
      <c r="U519" s="98"/>
    </row>
    <row r="520" spans="21:21" s="3" customFormat="1" ht="12" x14ac:dyDescent="0.15">
      <c r="U520" s="98"/>
    </row>
    <row r="521" spans="21:21" s="3" customFormat="1" ht="12" x14ac:dyDescent="0.15">
      <c r="U521" s="98"/>
    </row>
    <row r="522" spans="21:21" s="3" customFormat="1" ht="12" x14ac:dyDescent="0.15">
      <c r="U522" s="98"/>
    </row>
    <row r="523" spans="21:21" s="3" customFormat="1" ht="12" x14ac:dyDescent="0.15">
      <c r="U523" s="98"/>
    </row>
    <row r="524" spans="21:21" s="3" customFormat="1" ht="12" x14ac:dyDescent="0.15">
      <c r="U524" s="98"/>
    </row>
    <row r="525" spans="21:21" s="3" customFormat="1" ht="12" x14ac:dyDescent="0.15">
      <c r="U525" s="98"/>
    </row>
    <row r="526" spans="21:21" s="3" customFormat="1" ht="12" x14ac:dyDescent="0.15">
      <c r="U526" s="98"/>
    </row>
    <row r="527" spans="21:21" s="3" customFormat="1" ht="12" x14ac:dyDescent="0.15">
      <c r="U527" s="98"/>
    </row>
    <row r="528" spans="21:21" s="3" customFormat="1" ht="12" x14ac:dyDescent="0.15">
      <c r="U528" s="98"/>
    </row>
    <row r="529" spans="21:21" s="3" customFormat="1" ht="12" x14ac:dyDescent="0.15">
      <c r="U529" s="98"/>
    </row>
    <row r="530" spans="21:21" s="3" customFormat="1" ht="12" x14ac:dyDescent="0.15">
      <c r="U530" s="98"/>
    </row>
    <row r="531" spans="21:21" s="3" customFormat="1" ht="12" x14ac:dyDescent="0.15">
      <c r="U531" s="98"/>
    </row>
    <row r="532" spans="21:21" s="3" customFormat="1" ht="12" x14ac:dyDescent="0.15">
      <c r="U532" s="98"/>
    </row>
    <row r="533" spans="21:21" s="3" customFormat="1" ht="12" x14ac:dyDescent="0.15">
      <c r="U533" s="98"/>
    </row>
    <row r="534" spans="21:21" s="3" customFormat="1" ht="12" x14ac:dyDescent="0.15">
      <c r="U534" s="98"/>
    </row>
    <row r="535" spans="21:21" s="3" customFormat="1" ht="12" x14ac:dyDescent="0.15">
      <c r="U535" s="98"/>
    </row>
    <row r="536" spans="21:21" s="3" customFormat="1" ht="12" x14ac:dyDescent="0.15">
      <c r="U536" s="98"/>
    </row>
    <row r="537" spans="21:21" s="3" customFormat="1" ht="12" x14ac:dyDescent="0.15">
      <c r="U537" s="98"/>
    </row>
    <row r="538" spans="21:21" s="3" customFormat="1" ht="12" x14ac:dyDescent="0.15">
      <c r="U538" s="98"/>
    </row>
    <row r="539" spans="21:21" s="3" customFormat="1" ht="12" x14ac:dyDescent="0.15">
      <c r="U539" s="98"/>
    </row>
    <row r="540" spans="21:21" s="3" customFormat="1" ht="12" x14ac:dyDescent="0.15">
      <c r="U540" s="98"/>
    </row>
    <row r="541" spans="21:21" s="3" customFormat="1" ht="12" x14ac:dyDescent="0.15">
      <c r="U541" s="98"/>
    </row>
    <row r="542" spans="21:21" s="3" customFormat="1" ht="12" x14ac:dyDescent="0.15">
      <c r="U542" s="98"/>
    </row>
    <row r="543" spans="21:21" s="3" customFormat="1" ht="12" x14ac:dyDescent="0.15">
      <c r="U543" s="98"/>
    </row>
    <row r="544" spans="21:21" s="3" customFormat="1" ht="12" x14ac:dyDescent="0.15">
      <c r="U544" s="98"/>
    </row>
    <row r="545" spans="21:21" s="3" customFormat="1" ht="12" x14ac:dyDescent="0.15">
      <c r="U545" s="98"/>
    </row>
    <row r="546" spans="21:21" s="3" customFormat="1" ht="12" x14ac:dyDescent="0.15">
      <c r="U546" s="98"/>
    </row>
    <row r="547" spans="21:21" s="3" customFormat="1" ht="12" x14ac:dyDescent="0.15">
      <c r="U547" s="98"/>
    </row>
    <row r="548" spans="21:21" s="3" customFormat="1" ht="12" x14ac:dyDescent="0.15">
      <c r="U548" s="98"/>
    </row>
    <row r="549" spans="21:21" s="3" customFormat="1" ht="12" x14ac:dyDescent="0.15">
      <c r="U549" s="98"/>
    </row>
    <row r="550" spans="21:21" s="3" customFormat="1" ht="12" x14ac:dyDescent="0.15">
      <c r="U550" s="98"/>
    </row>
    <row r="551" spans="21:21" s="3" customFormat="1" ht="12" x14ac:dyDescent="0.15">
      <c r="U551" s="98"/>
    </row>
    <row r="552" spans="21:21" s="3" customFormat="1" ht="12" x14ac:dyDescent="0.15">
      <c r="U552" s="98"/>
    </row>
    <row r="553" spans="21:21" s="3" customFormat="1" ht="12" x14ac:dyDescent="0.15">
      <c r="U553" s="98"/>
    </row>
    <row r="554" spans="21:21" s="3" customFormat="1" ht="12" x14ac:dyDescent="0.15">
      <c r="U554" s="98"/>
    </row>
    <row r="555" spans="21:21" s="3" customFormat="1" ht="12" x14ac:dyDescent="0.15">
      <c r="U555" s="98"/>
    </row>
    <row r="556" spans="21:21" s="3" customFormat="1" ht="12" x14ac:dyDescent="0.15">
      <c r="U556" s="98"/>
    </row>
    <row r="557" spans="21:21" s="3" customFormat="1" ht="12" x14ac:dyDescent="0.15">
      <c r="U557" s="98"/>
    </row>
    <row r="558" spans="21:21" s="3" customFormat="1" ht="12" x14ac:dyDescent="0.15">
      <c r="U558" s="98"/>
    </row>
    <row r="559" spans="21:21" s="3" customFormat="1" ht="12" x14ac:dyDescent="0.15">
      <c r="U559" s="98"/>
    </row>
    <row r="560" spans="21:21" s="3" customFormat="1" ht="12" x14ac:dyDescent="0.15">
      <c r="U560" s="98"/>
    </row>
    <row r="561" spans="21:21" s="3" customFormat="1" ht="12" x14ac:dyDescent="0.15">
      <c r="U561" s="98"/>
    </row>
    <row r="562" spans="21:21" s="3" customFormat="1" ht="12" x14ac:dyDescent="0.15">
      <c r="U562" s="98"/>
    </row>
    <row r="563" spans="21:21" s="3" customFormat="1" ht="12" x14ac:dyDescent="0.15">
      <c r="U563" s="98"/>
    </row>
    <row r="564" spans="21:21" s="3" customFormat="1" ht="12" x14ac:dyDescent="0.15">
      <c r="U564" s="98"/>
    </row>
    <row r="565" spans="21:21" s="3" customFormat="1" ht="12" x14ac:dyDescent="0.15">
      <c r="U565" s="98"/>
    </row>
    <row r="566" spans="21:21" s="3" customFormat="1" ht="12" x14ac:dyDescent="0.15">
      <c r="U566" s="98"/>
    </row>
    <row r="567" spans="21:21" s="3" customFormat="1" ht="12" x14ac:dyDescent="0.15">
      <c r="U567" s="98"/>
    </row>
    <row r="568" spans="21:21" s="3" customFormat="1" ht="12" x14ac:dyDescent="0.15">
      <c r="U568" s="98"/>
    </row>
    <row r="569" spans="21:21" s="3" customFormat="1" ht="12" x14ac:dyDescent="0.15">
      <c r="U569" s="98"/>
    </row>
    <row r="570" spans="21:21" s="3" customFormat="1" ht="12" x14ac:dyDescent="0.15">
      <c r="U570" s="98"/>
    </row>
    <row r="571" spans="21:21" s="3" customFormat="1" ht="12" x14ac:dyDescent="0.15">
      <c r="U571" s="98"/>
    </row>
    <row r="572" spans="21:21" s="3" customFormat="1" ht="12" x14ac:dyDescent="0.15">
      <c r="U572" s="98"/>
    </row>
    <row r="573" spans="21:21" s="3" customFormat="1" ht="12" x14ac:dyDescent="0.15">
      <c r="U573" s="98"/>
    </row>
    <row r="574" spans="21:21" s="3" customFormat="1" ht="12" x14ac:dyDescent="0.15">
      <c r="U574" s="98"/>
    </row>
    <row r="575" spans="21:21" s="3" customFormat="1" ht="12" x14ac:dyDescent="0.15">
      <c r="U575" s="98"/>
    </row>
    <row r="576" spans="21:21" s="3" customFormat="1" ht="12" x14ac:dyDescent="0.15">
      <c r="U576" s="98"/>
    </row>
    <row r="577" spans="21:21" s="3" customFormat="1" ht="12" x14ac:dyDescent="0.15">
      <c r="U577" s="98"/>
    </row>
    <row r="578" spans="21:21" s="3" customFormat="1" ht="12" x14ac:dyDescent="0.15">
      <c r="U578" s="98"/>
    </row>
    <row r="579" spans="21:21" s="3" customFormat="1" ht="12" x14ac:dyDescent="0.15">
      <c r="U579" s="98"/>
    </row>
    <row r="580" spans="21:21" s="3" customFormat="1" ht="12" x14ac:dyDescent="0.15">
      <c r="U580" s="98"/>
    </row>
    <row r="581" spans="21:21" s="3" customFormat="1" ht="12" x14ac:dyDescent="0.15">
      <c r="U581" s="98"/>
    </row>
    <row r="582" spans="21:21" s="3" customFormat="1" ht="12" x14ac:dyDescent="0.15">
      <c r="U582" s="98"/>
    </row>
    <row r="583" spans="21:21" s="3" customFormat="1" ht="12" x14ac:dyDescent="0.15">
      <c r="U583" s="98"/>
    </row>
    <row r="584" spans="21:21" s="3" customFormat="1" ht="12" x14ac:dyDescent="0.15">
      <c r="U584" s="98"/>
    </row>
    <row r="585" spans="21:21" s="3" customFormat="1" ht="12" x14ac:dyDescent="0.15">
      <c r="U585" s="98"/>
    </row>
    <row r="586" spans="21:21" s="3" customFormat="1" ht="12" x14ac:dyDescent="0.15">
      <c r="U586" s="98"/>
    </row>
    <row r="587" spans="21:21" s="3" customFormat="1" ht="12" x14ac:dyDescent="0.15">
      <c r="U587" s="98"/>
    </row>
    <row r="588" spans="21:21" s="3" customFormat="1" ht="12" x14ac:dyDescent="0.15">
      <c r="U588" s="98"/>
    </row>
    <row r="589" spans="21:21" s="3" customFormat="1" ht="12" x14ac:dyDescent="0.15">
      <c r="U589" s="98"/>
    </row>
    <row r="590" spans="21:21" s="3" customFormat="1" ht="12" x14ac:dyDescent="0.15">
      <c r="U590" s="98"/>
    </row>
    <row r="591" spans="21:21" s="3" customFormat="1" ht="12" x14ac:dyDescent="0.15">
      <c r="U591" s="98"/>
    </row>
    <row r="592" spans="21:21" s="3" customFormat="1" ht="12" x14ac:dyDescent="0.15">
      <c r="U592" s="98"/>
    </row>
    <row r="593" spans="21:21" s="3" customFormat="1" ht="12" x14ac:dyDescent="0.15">
      <c r="U593" s="98"/>
    </row>
    <row r="594" spans="21:21" s="3" customFormat="1" ht="12" x14ac:dyDescent="0.15">
      <c r="U594" s="98"/>
    </row>
    <row r="595" spans="21:21" s="3" customFormat="1" ht="12" x14ac:dyDescent="0.15">
      <c r="U595" s="98"/>
    </row>
    <row r="596" spans="21:21" s="3" customFormat="1" ht="12" x14ac:dyDescent="0.15">
      <c r="U596" s="98"/>
    </row>
    <row r="597" spans="21:21" s="3" customFormat="1" ht="12" x14ac:dyDescent="0.15">
      <c r="U597" s="98"/>
    </row>
    <row r="598" spans="21:21" s="3" customFormat="1" ht="12" x14ac:dyDescent="0.15">
      <c r="U598" s="98"/>
    </row>
    <row r="599" spans="21:21" s="3" customFormat="1" ht="12" x14ac:dyDescent="0.15">
      <c r="U599" s="98"/>
    </row>
    <row r="600" spans="21:21" s="3" customFormat="1" ht="12" x14ac:dyDescent="0.15">
      <c r="U600" s="98"/>
    </row>
    <row r="601" spans="21:21" s="3" customFormat="1" ht="12" x14ac:dyDescent="0.15">
      <c r="U601" s="98"/>
    </row>
    <row r="602" spans="21:21" s="3" customFormat="1" ht="12" x14ac:dyDescent="0.15">
      <c r="U602" s="98"/>
    </row>
    <row r="603" spans="21:21" s="3" customFormat="1" ht="12" x14ac:dyDescent="0.15">
      <c r="U603" s="98"/>
    </row>
    <row r="604" spans="21:21" s="3" customFormat="1" ht="12" x14ac:dyDescent="0.15">
      <c r="U604" s="98"/>
    </row>
    <row r="605" spans="21:21" s="3" customFormat="1" ht="12" x14ac:dyDescent="0.15">
      <c r="U605" s="98"/>
    </row>
    <row r="606" spans="21:21" s="3" customFormat="1" ht="12" x14ac:dyDescent="0.15">
      <c r="U606" s="98"/>
    </row>
    <row r="607" spans="21:21" s="3" customFormat="1" ht="12" x14ac:dyDescent="0.15">
      <c r="U607" s="98"/>
    </row>
    <row r="608" spans="21:21" s="3" customFormat="1" ht="12" x14ac:dyDescent="0.15">
      <c r="U608" s="98"/>
    </row>
    <row r="609" spans="12:21" s="3" customFormat="1" ht="12" x14ac:dyDescent="0.15">
      <c r="U609" s="98"/>
    </row>
    <row r="610" spans="12:21" s="3" customFormat="1" ht="12" x14ac:dyDescent="0.15">
      <c r="L610" s="4"/>
      <c r="M610" s="4"/>
      <c r="N610" s="4"/>
      <c r="O610" s="4"/>
      <c r="P610" s="4"/>
      <c r="U610" s="98"/>
    </row>
    <row r="611" spans="12:21" s="3" customFormat="1" ht="12" x14ac:dyDescent="0.15">
      <c r="L611" s="4"/>
      <c r="M611" s="4"/>
      <c r="N611" s="4"/>
      <c r="O611" s="4"/>
      <c r="P611" s="4"/>
      <c r="U611" s="98"/>
    </row>
    <row r="612" spans="12:21" s="3" customFormat="1" ht="12" x14ac:dyDescent="0.15">
      <c r="L612" s="4"/>
      <c r="M612" s="4"/>
      <c r="N612" s="4"/>
      <c r="O612" s="4"/>
      <c r="P612" s="4"/>
      <c r="U612" s="98"/>
    </row>
    <row r="613" spans="12:21" s="3" customFormat="1" ht="12" x14ac:dyDescent="0.15">
      <c r="L613" s="4"/>
      <c r="M613" s="4"/>
      <c r="N613" s="4"/>
      <c r="O613" s="4"/>
      <c r="P613" s="4"/>
      <c r="U613" s="98"/>
    </row>
    <row r="614" spans="12:21" s="3" customFormat="1" ht="12" x14ac:dyDescent="0.15">
      <c r="L614" s="4"/>
      <c r="M614" s="4"/>
      <c r="N614" s="4"/>
      <c r="O614" s="4"/>
      <c r="P614" s="4"/>
      <c r="U614" s="98"/>
    </row>
    <row r="615" spans="12:21" s="3" customFormat="1" ht="12" x14ac:dyDescent="0.15">
      <c r="L615" s="4"/>
      <c r="M615" s="4"/>
      <c r="N615" s="4"/>
      <c r="O615" s="4"/>
      <c r="P615" s="4"/>
      <c r="U615" s="98"/>
    </row>
    <row r="616" spans="12:21" s="3" customFormat="1" ht="12" x14ac:dyDescent="0.15">
      <c r="L616" s="4"/>
      <c r="M616" s="4"/>
      <c r="N616" s="4"/>
      <c r="O616" s="4"/>
      <c r="P616" s="4"/>
      <c r="U616" s="98"/>
    </row>
    <row r="617" spans="12:21" s="3" customFormat="1" ht="12" x14ac:dyDescent="0.15">
      <c r="L617" s="4"/>
      <c r="M617" s="4"/>
      <c r="N617" s="4"/>
      <c r="O617" s="4"/>
      <c r="P617" s="4"/>
      <c r="U617" s="98"/>
    </row>
    <row r="618" spans="12:21" s="3" customFormat="1" ht="12" x14ac:dyDescent="0.15">
      <c r="L618" s="4"/>
      <c r="M618" s="4"/>
      <c r="N618" s="4"/>
      <c r="O618" s="4"/>
      <c r="P618" s="4"/>
      <c r="U618" s="98"/>
    </row>
    <row r="619" spans="12:21" s="3" customFormat="1" ht="12" x14ac:dyDescent="0.15">
      <c r="L619" s="4"/>
      <c r="M619" s="4"/>
      <c r="N619" s="4"/>
      <c r="O619" s="4"/>
      <c r="P619" s="4"/>
      <c r="U619" s="98"/>
    </row>
    <row r="620" spans="12:21" s="3" customFormat="1" ht="12" x14ac:dyDescent="0.15">
      <c r="L620" s="4"/>
      <c r="M620" s="4"/>
      <c r="N620" s="4"/>
      <c r="O620" s="4"/>
      <c r="P620" s="4"/>
      <c r="U620" s="98"/>
    </row>
    <row r="621" spans="12:21" s="3" customFormat="1" ht="12" x14ac:dyDescent="0.15">
      <c r="L621" s="4"/>
      <c r="M621" s="4"/>
      <c r="N621" s="4"/>
      <c r="O621" s="4"/>
      <c r="P621" s="4"/>
      <c r="U621" s="98"/>
    </row>
    <row r="622" spans="12:21" s="3" customFormat="1" ht="12" x14ac:dyDescent="0.15">
      <c r="L622" s="4"/>
      <c r="M622" s="4"/>
      <c r="N622" s="4"/>
      <c r="O622" s="4"/>
      <c r="P622" s="4"/>
      <c r="Q622" s="4"/>
      <c r="U622" s="98"/>
    </row>
    <row r="623" spans="12:21" s="3" customFormat="1" ht="12" x14ac:dyDescent="0.15">
      <c r="L623" s="4"/>
      <c r="M623" s="4"/>
      <c r="N623" s="4"/>
      <c r="O623" s="4"/>
      <c r="P623" s="4"/>
      <c r="Q623" s="4"/>
      <c r="U623" s="98"/>
    </row>
    <row r="624" spans="12:21" s="3" customFormat="1" ht="12" x14ac:dyDescent="0.15">
      <c r="L624" s="4"/>
      <c r="M624" s="4"/>
      <c r="N624" s="4"/>
      <c r="O624" s="4"/>
      <c r="P624" s="4"/>
      <c r="Q624" s="4"/>
      <c r="U624" s="98"/>
    </row>
    <row r="625" spans="11:21" s="3" customFormat="1" ht="12" x14ac:dyDescent="0.15">
      <c r="L625" s="4"/>
      <c r="M625" s="4"/>
      <c r="N625" s="4"/>
      <c r="O625" s="4"/>
      <c r="P625" s="4"/>
      <c r="Q625" s="4"/>
      <c r="U625" s="98"/>
    </row>
    <row r="626" spans="11:21" s="3" customFormat="1" ht="12" x14ac:dyDescent="0.15">
      <c r="L626" s="4"/>
      <c r="M626" s="4"/>
      <c r="N626" s="4"/>
      <c r="O626" s="4"/>
      <c r="P626" s="4"/>
      <c r="Q626" s="4"/>
      <c r="U626" s="98"/>
    </row>
    <row r="627" spans="11:21" s="3" customFormat="1" ht="12" x14ac:dyDescent="0.15">
      <c r="L627" s="4"/>
      <c r="M627" s="4"/>
      <c r="N627" s="4"/>
      <c r="O627" s="4"/>
      <c r="P627" s="4"/>
      <c r="Q627" s="4"/>
      <c r="U627" s="98"/>
    </row>
    <row r="628" spans="11:21" s="3" customFormat="1" ht="12" x14ac:dyDescent="0.15">
      <c r="L628" s="4"/>
      <c r="M628" s="4"/>
      <c r="N628" s="4"/>
      <c r="O628" s="4"/>
      <c r="P628" s="4"/>
      <c r="Q628" s="4"/>
      <c r="U628" s="98"/>
    </row>
    <row r="629" spans="11:21" s="3" customFormat="1" ht="12" x14ac:dyDescent="0.15">
      <c r="L629" s="4"/>
      <c r="M629" s="4"/>
      <c r="N629" s="4"/>
      <c r="O629" s="4"/>
      <c r="P629" s="4"/>
      <c r="Q629" s="4"/>
      <c r="U629" s="98"/>
    </row>
    <row r="630" spans="11:21" s="3" customFormat="1" ht="12" x14ac:dyDescent="0.15">
      <c r="L630" s="4"/>
      <c r="M630" s="4"/>
      <c r="N630" s="4"/>
      <c r="O630" s="4"/>
      <c r="P630" s="4"/>
      <c r="Q630" s="4"/>
      <c r="U630" s="98"/>
    </row>
    <row r="631" spans="11:21" s="3" customFormat="1" ht="12" x14ac:dyDescent="0.15">
      <c r="L631" s="4"/>
      <c r="M631" s="4"/>
      <c r="N631" s="4"/>
      <c r="O631" s="4"/>
      <c r="P631" s="4"/>
      <c r="Q631" s="4"/>
      <c r="U631" s="98"/>
    </row>
    <row r="632" spans="11:21" s="3" customFormat="1" ht="12" x14ac:dyDescent="0.15">
      <c r="L632" s="4"/>
      <c r="M632" s="4"/>
      <c r="N632" s="4"/>
      <c r="O632" s="4"/>
      <c r="P632" s="4"/>
      <c r="Q632" s="4"/>
      <c r="U632" s="98"/>
    </row>
    <row r="633" spans="11:21" s="3" customFormat="1" ht="12" x14ac:dyDescent="0.15">
      <c r="L633" s="4"/>
      <c r="M633" s="4"/>
      <c r="N633" s="4"/>
      <c r="O633" s="4"/>
      <c r="P633" s="4"/>
      <c r="Q633" s="4"/>
      <c r="U633" s="98"/>
    </row>
    <row r="634" spans="11:21" s="3" customFormat="1" ht="12" x14ac:dyDescent="0.15">
      <c r="L634" s="4"/>
      <c r="M634" s="4"/>
      <c r="N634" s="4"/>
      <c r="O634" s="4"/>
      <c r="P634" s="4"/>
      <c r="Q634" s="4"/>
      <c r="U634" s="98"/>
    </row>
    <row r="635" spans="11:21" s="3" customFormat="1" ht="12" x14ac:dyDescent="0.15">
      <c r="L635" s="4"/>
      <c r="M635" s="4"/>
      <c r="N635" s="4"/>
      <c r="O635" s="4"/>
      <c r="P635" s="4"/>
      <c r="Q635" s="4"/>
      <c r="U635" s="98"/>
    </row>
    <row r="636" spans="11:21" s="3" customFormat="1" ht="12" x14ac:dyDescent="0.15">
      <c r="L636" s="4"/>
      <c r="M636" s="4"/>
      <c r="N636" s="4"/>
      <c r="O636" s="4"/>
      <c r="P636" s="4"/>
      <c r="Q636" s="4"/>
      <c r="U636" s="98"/>
    </row>
    <row r="637" spans="11:21" s="3" customFormat="1" ht="12" x14ac:dyDescent="0.15">
      <c r="L637" s="4"/>
      <c r="M637" s="4"/>
      <c r="N637" s="4"/>
      <c r="O637" s="4"/>
      <c r="P637" s="4"/>
      <c r="Q637" s="4"/>
      <c r="U637" s="98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8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8" t="s">
        <v>137</v>
      </c>
      <c r="L1" s="270">
        <f>O1-Q1</f>
        <v>-4.8688926118072793</v>
      </c>
      <c r="M1" s="463" t="s">
        <v>136</v>
      </c>
      <c r="N1" s="463"/>
      <c r="O1" s="271">
        <f>단계양수시험!G41</f>
        <v>7.07</v>
      </c>
      <c r="P1" s="272" t="s">
        <v>125</v>
      </c>
      <c r="Q1" s="273">
        <f>G35</f>
        <v>11.93889261180728</v>
      </c>
      <c r="R1" s="274" t="s">
        <v>52</v>
      </c>
      <c r="S1" s="275">
        <v>8.4302601932679284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8"/>
      <c r="C2" s="56" t="str">
        <f>단계양수시험!C4</f>
        <v>노성면 장구리 436-3번지 농업용관정 개발을 위한 지하수 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17.657499799931369</v>
      </c>
      <c r="S2" s="3">
        <v>0</v>
      </c>
      <c r="T2" s="14">
        <f>B10</f>
        <v>200</v>
      </c>
      <c r="U2" s="14">
        <f>T2</f>
        <v>200</v>
      </c>
      <c r="V2" s="3">
        <f>S1</f>
        <v>8.4302601932679284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9.7472192707932734</v>
      </c>
      <c r="AB2" s="10">
        <f>1.6*U2/(4*PI()*V2)*LOG10((2.25*V2*Y2)/(W2*W2*X2))</f>
        <v>9.7472192707932734</v>
      </c>
      <c r="AC2" s="15">
        <v>0</v>
      </c>
      <c r="AD2" s="12">
        <f>Z2</f>
        <v>1</v>
      </c>
      <c r="AE2" s="10">
        <f>AB2-$O$3-N3</f>
        <v>4.2172200710678105</v>
      </c>
      <c r="AF2" s="10">
        <f>AB2</f>
        <v>9.7472192707932734</v>
      </c>
    </row>
    <row r="3" spans="1:37" s="3" customFormat="1" ht="21.6" customHeight="1" x14ac:dyDescent="0.15">
      <c r="A3" s="53" t="str">
        <f>단계양수시험!A5</f>
        <v>지 구 명</v>
      </c>
      <c r="B3" s="188"/>
      <c r="C3" s="56" t="str">
        <f>단계양수시험!C5</f>
        <v>노성지구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9" t="s">
        <v>182</v>
      </c>
      <c r="L3" s="13">
        <f t="shared" ref="L3:L10" si="1">P17</f>
        <v>1.39</v>
      </c>
      <c r="M3" s="62">
        <f>D10</f>
        <v>1</v>
      </c>
      <c r="N3" s="401"/>
      <c r="O3" s="400">
        <v>5.5299991997254629</v>
      </c>
      <c r="U3" s="14">
        <f>U2</f>
        <v>200</v>
      </c>
      <c r="V3" s="3">
        <f>V$2</f>
        <v>8.4302601932679284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10.656522864855319</v>
      </c>
      <c r="AB3" s="10">
        <f t="shared" ref="AB3:AB45" si="4">1.6*U3/(4*PI()*V3)*LOG10((2.25*V3*Y3)/(W3*W3*X3))</f>
        <v>10.656522864855319</v>
      </c>
      <c r="AC3" s="10">
        <f>AA69</f>
        <v>19.287498999656833</v>
      </c>
      <c r="AD3" s="12">
        <f t="shared" ref="AD3:AD66" si="5">Z3</f>
        <v>2</v>
      </c>
      <c r="AE3" s="10">
        <f t="shared" ref="AE3:AE16" si="6">AB3-$O$3-N4</f>
        <v>5.1265236651298558</v>
      </c>
      <c r="AF3" s="10">
        <f t="shared" ref="AF3:AF16" si="7">AB3</f>
        <v>10.656522864855319</v>
      </c>
    </row>
    <row r="4" spans="1:37" s="3" customFormat="1" ht="21.6" customHeight="1" x14ac:dyDescent="0.15">
      <c r="A4" s="53" t="str">
        <f>단계양수시험!A6</f>
        <v>위    치</v>
      </c>
      <c r="B4" s="188"/>
      <c r="C4" s="56" t="str">
        <f>단계양수시험!C6</f>
        <v>충청남도 논산시 노성면 장구리 436-6번지</v>
      </c>
      <c r="D4" s="58"/>
      <c r="E4" s="58"/>
      <c r="F4" s="189"/>
      <c r="G4" s="189"/>
      <c r="H4" s="189"/>
      <c r="I4" s="190"/>
      <c r="K4" s="409" t="s">
        <v>183</v>
      </c>
      <c r="L4" s="13">
        <f t="shared" si="1"/>
        <v>-0.53</v>
      </c>
      <c r="M4" s="62">
        <f t="shared" ref="M4:M13" si="8">D11</f>
        <v>2</v>
      </c>
      <c r="N4" s="29"/>
      <c r="O4" s="29"/>
      <c r="U4" s="14">
        <f t="shared" ref="U4:U67" si="9">U3</f>
        <v>200</v>
      </c>
      <c r="V4" s="3">
        <f t="shared" ref="V4:V67" si="10">V$2</f>
        <v>8.4302601932679284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11.188431369152585</v>
      </c>
      <c r="AB4" s="10">
        <f t="shared" si="4"/>
        <v>11.188431369152585</v>
      </c>
      <c r="AC4" s="10">
        <f>AB69</f>
        <v>19.287498999656833</v>
      </c>
      <c r="AD4" s="12">
        <f t="shared" si="5"/>
        <v>3</v>
      </c>
      <c r="AE4" s="10">
        <f t="shared" si="6"/>
        <v>5.6584321694271225</v>
      </c>
      <c r="AF4" s="10">
        <f t="shared" si="7"/>
        <v>11.188431369152585</v>
      </c>
    </row>
    <row r="5" spans="1:37" s="3" customFormat="1" ht="21.6" customHeight="1" x14ac:dyDescent="0.15">
      <c r="A5" s="53" t="str">
        <f>단계양수시험!A7</f>
        <v>조 사 자</v>
      </c>
      <c r="B5" s="188"/>
      <c r="C5" s="59" t="str">
        <f>단계양수시험!C7</f>
        <v>(주)동해엔지니어링</v>
      </c>
      <c r="E5" s="57"/>
      <c r="F5" s="194" t="s">
        <v>4</v>
      </c>
      <c r="G5" s="195">
        <f>입력표!I50</f>
        <v>0</v>
      </c>
      <c r="H5" s="196"/>
      <c r="I5" s="196"/>
      <c r="K5" s="409" t="s">
        <v>184</v>
      </c>
      <c r="L5" s="13">
        <f t="shared" si="1"/>
        <v>-2.83</v>
      </c>
      <c r="M5" s="62">
        <f t="shared" si="8"/>
        <v>3</v>
      </c>
      <c r="N5" s="29"/>
      <c r="O5" s="29"/>
      <c r="U5" s="14">
        <f t="shared" si="9"/>
        <v>200</v>
      </c>
      <c r="V5" s="3">
        <f t="shared" si="10"/>
        <v>8.4302601932679284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11.565826458917362</v>
      </c>
      <c r="AB5" s="10">
        <f t="shared" si="4"/>
        <v>11.565826458917362</v>
      </c>
      <c r="AC5" s="10">
        <f>AE69</f>
        <v>13.75749979993137</v>
      </c>
      <c r="AD5" s="12">
        <f t="shared" si="5"/>
        <v>4</v>
      </c>
      <c r="AE5" s="10">
        <f t="shared" si="6"/>
        <v>6.0358272591918993</v>
      </c>
      <c r="AF5" s="10">
        <f t="shared" si="7"/>
        <v>11.565826458917362</v>
      </c>
    </row>
    <row r="6" spans="1:37" s="3" customFormat="1" ht="21.6" customHeight="1" x14ac:dyDescent="0.15">
      <c r="A6" s="53" t="str">
        <f>단계양수시험!A8</f>
        <v>수중모타</v>
      </c>
      <c r="B6" s="188"/>
      <c r="C6" s="459">
        <f>단계양수시험!C8</f>
        <v>5</v>
      </c>
      <c r="D6" s="459"/>
      <c r="E6" s="460"/>
      <c r="F6" s="194" t="s">
        <v>6</v>
      </c>
      <c r="G6" s="195" t="str">
        <f>입력표!I51</f>
        <v>개발시 적정채수량으로 적용 =</v>
      </c>
      <c r="H6" s="196"/>
      <c r="I6" s="196"/>
      <c r="K6" s="404">
        <v>0.2</v>
      </c>
      <c r="L6" s="13">
        <f t="shared" si="1"/>
        <v>-5.28</v>
      </c>
      <c r="M6" s="62">
        <f t="shared" si="8"/>
        <v>4</v>
      </c>
      <c r="N6" s="29"/>
      <c r="O6" s="29"/>
      <c r="U6" s="14">
        <f t="shared" si="9"/>
        <v>200</v>
      </c>
      <c r="V6" s="3">
        <f t="shared" si="10"/>
        <v>8.4302601932679284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11.858556832627986</v>
      </c>
      <c r="AB6" s="10">
        <f t="shared" si="4"/>
        <v>11.858556832627986</v>
      </c>
      <c r="AD6" s="12">
        <f t="shared" si="5"/>
        <v>5</v>
      </c>
      <c r="AE6" s="10">
        <f t="shared" si="6"/>
        <v>6.3285576329025233</v>
      </c>
      <c r="AF6" s="10">
        <f t="shared" si="7"/>
        <v>11.858556832627986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83</v>
      </c>
      <c r="H7" s="189"/>
      <c r="I7" s="190"/>
      <c r="L7" s="13">
        <f t="shared" si="1"/>
        <v>-7.82</v>
      </c>
      <c r="M7" s="62">
        <f t="shared" si="8"/>
        <v>5</v>
      </c>
      <c r="N7" s="29"/>
      <c r="O7" s="29"/>
      <c r="U7" s="14">
        <f t="shared" si="9"/>
        <v>200</v>
      </c>
      <c r="V7" s="3">
        <f t="shared" si="10"/>
        <v>8.4302601932679284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12.76786042669003</v>
      </c>
      <c r="AB7" s="10">
        <f t="shared" si="4"/>
        <v>12.76786042669003</v>
      </c>
      <c r="AD7" s="12">
        <f t="shared" si="5"/>
        <v>10</v>
      </c>
      <c r="AE7" s="10">
        <f t="shared" si="6"/>
        <v>7.2378612269645668</v>
      </c>
      <c r="AF7" s="10">
        <f t="shared" si="7"/>
        <v>12.76786042669003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8"/>
      <c r="C8" s="201" t="s">
        <v>9</v>
      </c>
      <c r="D8" s="202">
        <f>단계양수시험!D10</f>
        <v>3.9</v>
      </c>
      <c r="E8" s="199"/>
      <c r="F8" s="200" t="s">
        <v>14</v>
      </c>
      <c r="G8" s="203">
        <f>F77</f>
        <v>17.657499799931369</v>
      </c>
      <c r="H8" s="196">
        <f>입력표!C40</f>
        <v>200</v>
      </c>
      <c r="I8" s="188"/>
      <c r="J8" s="9">
        <f>입력표!M50</f>
        <v>9.9</v>
      </c>
      <c r="K8" s="405">
        <f>G10-J11</f>
        <v>3.3079164770057652</v>
      </c>
      <c r="L8" s="13">
        <f t="shared" si="1"/>
        <v>-21.05</v>
      </c>
      <c r="M8" s="62">
        <f t="shared" si="8"/>
        <v>10</v>
      </c>
      <c r="N8" s="29"/>
      <c r="O8" s="29"/>
      <c r="U8" s="14">
        <f t="shared" si="9"/>
        <v>200</v>
      </c>
      <c r="V8" s="3">
        <f t="shared" si="10"/>
        <v>8.4302601932679284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13.299768930987298</v>
      </c>
      <c r="AB8" s="10">
        <f t="shared" si="4"/>
        <v>13.299768930987298</v>
      </c>
      <c r="AD8" s="12">
        <f t="shared" si="5"/>
        <v>15</v>
      </c>
      <c r="AE8" s="10">
        <f t="shared" si="6"/>
        <v>7.7697697312618352</v>
      </c>
      <c r="AF8" s="10">
        <f t="shared" si="7"/>
        <v>13.299768930987298</v>
      </c>
    </row>
    <row r="9" spans="1:37" s="3" customFormat="1" ht="21.6" customHeight="1" x14ac:dyDescent="0.15">
      <c r="A9" s="200" t="s">
        <v>10</v>
      </c>
      <c r="B9" s="185" t="s">
        <v>160</v>
      </c>
      <c r="C9" s="201" t="s">
        <v>11</v>
      </c>
      <c r="D9" s="461" t="s">
        <v>161</v>
      </c>
      <c r="E9" s="461"/>
      <c r="F9" s="185" t="s">
        <v>162</v>
      </c>
      <c r="G9" s="185" t="s">
        <v>163</v>
      </c>
      <c r="H9" s="462" t="s">
        <v>164</v>
      </c>
      <c r="I9" s="462"/>
      <c r="J9" s="9">
        <f>G8-D8</f>
        <v>13.757499799931368</v>
      </c>
      <c r="L9" s="13">
        <f t="shared" si="1"/>
        <v>-34.659999999999997</v>
      </c>
      <c r="M9" s="62">
        <f t="shared" si="8"/>
        <v>15</v>
      </c>
      <c r="N9" s="29"/>
      <c r="O9" s="29"/>
      <c r="U9" s="14">
        <f t="shared" si="9"/>
        <v>200</v>
      </c>
      <c r="V9" s="3">
        <f t="shared" si="10"/>
        <v>8.4302601932679284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13.677164020752073</v>
      </c>
      <c r="AB9" s="10">
        <f t="shared" si="4"/>
        <v>13.677164020752073</v>
      </c>
      <c r="AD9" s="12">
        <f t="shared" si="5"/>
        <v>20</v>
      </c>
      <c r="AE9" s="10">
        <f t="shared" si="6"/>
        <v>8.1471648210266103</v>
      </c>
      <c r="AF9" s="10">
        <f t="shared" si="7"/>
        <v>13.677164020752073</v>
      </c>
    </row>
    <row r="10" spans="1:37" s="3" customFormat="1" ht="21" customHeight="1" x14ac:dyDescent="0.15">
      <c r="A10" s="54">
        <v>1</v>
      </c>
      <c r="B10" s="61">
        <f>입력표!C26</f>
        <v>200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8.1172200710678108</v>
      </c>
      <c r="G10" s="284">
        <f>AE2</f>
        <v>4.2172200710678105</v>
      </c>
      <c r="H10" s="458">
        <v>43949.542361111111</v>
      </c>
      <c r="I10" s="458" t="s">
        <v>12</v>
      </c>
      <c r="J10" s="269">
        <f>J8-J9</f>
        <v>-3.857499799931368</v>
      </c>
      <c r="K10" s="9">
        <f>J10+P17</f>
        <v>-2.4674997999313684</v>
      </c>
      <c r="L10" s="13">
        <f t="shared" si="1"/>
        <v>-48.42</v>
      </c>
      <c r="M10" s="62">
        <f t="shared" si="8"/>
        <v>20</v>
      </c>
      <c r="N10" s="29"/>
      <c r="O10" s="29"/>
      <c r="U10" s="14">
        <f t="shared" si="9"/>
        <v>200</v>
      </c>
      <c r="V10" s="3">
        <f t="shared" si="10"/>
        <v>8.4302601932679284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13.969894394462699</v>
      </c>
      <c r="AB10" s="10">
        <f t="shared" si="4"/>
        <v>13.969894394462699</v>
      </c>
      <c r="AD10" s="12">
        <f t="shared" si="5"/>
        <v>25</v>
      </c>
      <c r="AE10" s="10">
        <f t="shared" si="6"/>
        <v>8.439895194737236</v>
      </c>
      <c r="AF10" s="10">
        <f t="shared" si="7"/>
        <v>13.969894394462699</v>
      </c>
    </row>
    <row r="11" spans="1:37" s="3" customFormat="1" ht="21" customHeight="1" x14ac:dyDescent="0.15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9.0265236651298562</v>
      </c>
      <c r="G11" s="187">
        <f>AE3</f>
        <v>5.1265236651298558</v>
      </c>
      <c r="H11" s="458"/>
      <c r="I11" s="458"/>
      <c r="J11" s="63">
        <f>G11-G10</f>
        <v>0.90930359406204531</v>
      </c>
      <c r="K11" s="9" t="s">
        <v>18</v>
      </c>
      <c r="M11" s="62">
        <f t="shared" si="8"/>
        <v>25</v>
      </c>
      <c r="N11" s="29"/>
      <c r="U11" s="14">
        <f t="shared" si="9"/>
        <v>200</v>
      </c>
      <c r="V11" s="3">
        <f t="shared" si="10"/>
        <v>8.4302601932679284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14.209072525049343</v>
      </c>
      <c r="AB11" s="10">
        <f t="shared" si="4"/>
        <v>14.209072525049343</v>
      </c>
      <c r="AD11" s="12">
        <f t="shared" si="5"/>
        <v>30</v>
      </c>
      <c r="AE11" s="10">
        <f t="shared" si="6"/>
        <v>8.6790733253238805</v>
      </c>
      <c r="AF11" s="10">
        <f t="shared" si="7"/>
        <v>14.209072525049343</v>
      </c>
    </row>
    <row r="12" spans="1:37" s="3" customFormat="1" ht="21" customHeight="1" x14ac:dyDescent="0.15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9.5584321694271228</v>
      </c>
      <c r="G12" s="187">
        <f t="shared" ref="G12:G74" si="16">AE4</f>
        <v>5.6584321694271225</v>
      </c>
      <c r="H12" s="458"/>
      <c r="I12" s="458"/>
      <c r="J12" s="63">
        <f t="shared" ref="J12:J47" si="17">G12-G11</f>
        <v>0.53190850429726666</v>
      </c>
      <c r="K12" s="9" t="s">
        <v>18</v>
      </c>
      <c r="M12" s="62">
        <f t="shared" si="8"/>
        <v>30</v>
      </c>
      <c r="N12" s="29"/>
      <c r="U12" s="14">
        <f t="shared" si="9"/>
        <v>200</v>
      </c>
      <c r="V12" s="3">
        <f t="shared" si="10"/>
        <v>8.4302601932679284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14.411294753062736</v>
      </c>
      <c r="AB12" s="10">
        <f t="shared" si="4"/>
        <v>14.411294753062736</v>
      </c>
      <c r="AD12" s="12">
        <f t="shared" si="5"/>
        <v>35</v>
      </c>
      <c r="AE12" s="10">
        <f t="shared" si="6"/>
        <v>8.8812955533372726</v>
      </c>
      <c r="AF12" s="10">
        <f t="shared" si="7"/>
        <v>14.411294753062736</v>
      </c>
    </row>
    <row r="13" spans="1:37" s="3" customFormat="1" ht="21" customHeight="1" x14ac:dyDescent="0.15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9.9358272591918997</v>
      </c>
      <c r="G13" s="187">
        <f t="shared" si="16"/>
        <v>6.0358272591918993</v>
      </c>
      <c r="H13" s="458"/>
      <c r="I13" s="458"/>
      <c r="J13" s="63">
        <f t="shared" si="17"/>
        <v>0.37739508976477687</v>
      </c>
      <c r="K13" s="9" t="s">
        <v>18</v>
      </c>
      <c r="M13" s="62">
        <f t="shared" si="8"/>
        <v>35</v>
      </c>
      <c r="N13" s="29"/>
      <c r="U13" s="14">
        <f t="shared" si="9"/>
        <v>200</v>
      </c>
      <c r="V13" s="3">
        <f t="shared" si="10"/>
        <v>8.4302601932679284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14.586467614814119</v>
      </c>
      <c r="AB13" s="10">
        <f t="shared" si="4"/>
        <v>14.586467614814119</v>
      </c>
      <c r="AD13" s="12">
        <f t="shared" si="5"/>
        <v>40</v>
      </c>
      <c r="AE13" s="10">
        <f t="shared" si="6"/>
        <v>9.0564684150886556</v>
      </c>
      <c r="AF13" s="10">
        <f t="shared" si="7"/>
        <v>14.586467614814119</v>
      </c>
    </row>
    <row r="14" spans="1:37" s="3" customFormat="1" ht="21" customHeight="1" x14ac:dyDescent="0.15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10.228557632902524</v>
      </c>
      <c r="G14" s="187">
        <f t="shared" si="16"/>
        <v>6.3285576329025233</v>
      </c>
      <c r="H14" s="458"/>
      <c r="I14" s="458"/>
      <c r="J14" s="63">
        <f t="shared" si="17"/>
        <v>0.29273037371062394</v>
      </c>
      <c r="K14" s="9" t="s">
        <v>18</v>
      </c>
      <c r="M14" s="62"/>
      <c r="N14" s="29"/>
      <c r="U14" s="14">
        <f t="shared" si="9"/>
        <v>200</v>
      </c>
      <c r="V14" s="3">
        <f t="shared" si="10"/>
        <v>8.4302601932679284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14.740981029346612</v>
      </c>
      <c r="AB14" s="10">
        <f t="shared" si="4"/>
        <v>14.740981029346612</v>
      </c>
      <c r="AD14" s="12">
        <f t="shared" si="5"/>
        <v>45</v>
      </c>
      <c r="AE14" s="10">
        <f t="shared" si="6"/>
        <v>9.210981829621149</v>
      </c>
      <c r="AF14" s="10">
        <f t="shared" si="7"/>
        <v>14.740981029346612</v>
      </c>
    </row>
    <row r="15" spans="1:37" s="3" customFormat="1" ht="21" customHeight="1" x14ac:dyDescent="0.15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11.137861226964567</v>
      </c>
      <c r="G15" s="187">
        <f t="shared" si="16"/>
        <v>7.2378612269645668</v>
      </c>
      <c r="H15" s="458"/>
      <c r="I15" s="458"/>
      <c r="J15" s="63">
        <f t="shared" si="17"/>
        <v>0.90930359406204353</v>
      </c>
      <c r="K15" s="9" t="s">
        <v>18</v>
      </c>
      <c r="M15" s="68"/>
      <c r="N15" s="403"/>
      <c r="U15" s="14">
        <f t="shared" si="9"/>
        <v>200</v>
      </c>
      <c r="V15" s="3">
        <f t="shared" si="10"/>
        <v>8.4302601932679284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14.879197988524743</v>
      </c>
      <c r="AB15" s="10">
        <f t="shared" si="4"/>
        <v>14.879197988524743</v>
      </c>
      <c r="AD15" s="12">
        <f t="shared" si="5"/>
        <v>50</v>
      </c>
      <c r="AE15" s="10">
        <f t="shared" si="6"/>
        <v>9.3491987887992796</v>
      </c>
      <c r="AF15" s="10">
        <f t="shared" si="7"/>
        <v>14.879197988524743</v>
      </c>
    </row>
    <row r="16" spans="1:37" s="3" customFormat="1" ht="21" customHeight="1" x14ac:dyDescent="0.15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11.669769731261836</v>
      </c>
      <c r="G16" s="187">
        <f t="shared" si="16"/>
        <v>7.7697697312618352</v>
      </c>
      <c r="H16" s="458"/>
      <c r="I16" s="458"/>
      <c r="J16" s="63">
        <f t="shared" si="17"/>
        <v>0.53190850429726844</v>
      </c>
      <c r="K16" s="65"/>
      <c r="M16" s="66"/>
      <c r="N16" s="15"/>
      <c r="P16" s="13"/>
      <c r="U16" s="14">
        <f t="shared" si="9"/>
        <v>200</v>
      </c>
      <c r="V16" s="3">
        <f t="shared" si="10"/>
        <v>8.4302601932679284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15.004230436866756</v>
      </c>
      <c r="AB16" s="10">
        <f t="shared" si="4"/>
        <v>15.004230436866756</v>
      </c>
      <c r="AD16" s="12">
        <f t="shared" si="5"/>
        <v>55</v>
      </c>
      <c r="AE16" s="10">
        <f t="shared" si="6"/>
        <v>9.4251512371412929</v>
      </c>
      <c r="AF16" s="10">
        <f t="shared" si="7"/>
        <v>15.004230436866756</v>
      </c>
    </row>
    <row r="17" spans="1:31" s="3" customFormat="1" ht="21" customHeight="1" x14ac:dyDescent="0.15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12.047164821026611</v>
      </c>
      <c r="G17" s="187">
        <f t="shared" si="16"/>
        <v>8.1471648210266103</v>
      </c>
      <c r="H17" s="458"/>
      <c r="I17" s="458"/>
      <c r="J17" s="63">
        <f t="shared" si="17"/>
        <v>0.37739508976477509</v>
      </c>
      <c r="K17" s="29">
        <f>D10</f>
        <v>1</v>
      </c>
      <c r="L17" s="3">
        <f>INT(B10/1440*10000)/10000</f>
        <v>0.13880000000000001</v>
      </c>
      <c r="M17" s="3">
        <f>K17*L17</f>
        <v>0.13880000000000001</v>
      </c>
      <c r="N17" s="3">
        <f>INT((D7/2/1000)^2*PI()*100000)/100000</f>
        <v>4.9079999999999999E-2</v>
      </c>
      <c r="O17" s="3">
        <f>INT(M17/N17*100)/100</f>
        <v>2.82</v>
      </c>
      <c r="P17" s="13">
        <f>INT((G10-O17)*100)/100</f>
        <v>1.39</v>
      </c>
      <c r="U17" s="14">
        <f t="shared" si="9"/>
        <v>200</v>
      </c>
      <c r="V17" s="3">
        <f t="shared" si="10"/>
        <v>8.4302601932679284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15.118376119111387</v>
      </c>
      <c r="AB17" s="10">
        <f t="shared" si="4"/>
        <v>15.118376119111387</v>
      </c>
      <c r="AD17" s="12">
        <f t="shared" si="5"/>
        <v>60</v>
      </c>
      <c r="AE17" s="10">
        <f t="shared" ref="AE17:AE48" si="18">AB17-$O$3</f>
        <v>9.5883769193859241</v>
      </c>
    </row>
    <row r="18" spans="1:31" s="3" customFormat="1" ht="21" customHeight="1" x14ac:dyDescent="0.15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12.339895194737236</v>
      </c>
      <c r="G18" s="187">
        <f t="shared" si="16"/>
        <v>8.439895194737236</v>
      </c>
      <c r="H18" s="458"/>
      <c r="I18" s="458"/>
      <c r="J18" s="63">
        <f t="shared" si="17"/>
        <v>0.29273037371062571</v>
      </c>
      <c r="K18" s="29">
        <f t="shared" ref="K18:K31" si="19">D11</f>
        <v>2</v>
      </c>
      <c r="L18" s="3">
        <f>L17</f>
        <v>0.13880000000000001</v>
      </c>
      <c r="M18" s="3">
        <f t="shared" ref="M18:M27" si="20">K18*L18</f>
        <v>0.27760000000000001</v>
      </c>
      <c r="N18" s="3">
        <f>N17</f>
        <v>4.9079999999999999E-2</v>
      </c>
      <c r="O18" s="3">
        <f>INT(M18/N18*100)/100</f>
        <v>5.65</v>
      </c>
      <c r="P18" s="13">
        <f t="shared" ref="P18:P27" si="21">INT((G11-O18)*100)/100</f>
        <v>-0.53</v>
      </c>
      <c r="U18" s="14">
        <f t="shared" si="9"/>
        <v>200</v>
      </c>
      <c r="V18" s="3">
        <f t="shared" si="10"/>
        <v>8.4302601932679284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15.411106492822011</v>
      </c>
      <c r="AB18" s="10">
        <f t="shared" si="4"/>
        <v>15.411106492822011</v>
      </c>
      <c r="AD18" s="12">
        <f t="shared" si="5"/>
        <v>75</v>
      </c>
      <c r="AE18" s="10">
        <f t="shared" si="18"/>
        <v>9.881107293096548</v>
      </c>
    </row>
    <row r="19" spans="1:31" s="3" customFormat="1" ht="21" customHeight="1" x14ac:dyDescent="0.15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12.579073325323881</v>
      </c>
      <c r="G19" s="187">
        <f t="shared" si="16"/>
        <v>8.6790733253238805</v>
      </c>
      <c r="H19" s="458"/>
      <c r="I19" s="458"/>
      <c r="J19" s="63">
        <f t="shared" si="17"/>
        <v>0.2391781305866445</v>
      </c>
      <c r="K19" s="29">
        <f t="shared" si="19"/>
        <v>3</v>
      </c>
      <c r="L19" s="3">
        <f>L18</f>
        <v>0.13880000000000001</v>
      </c>
      <c r="M19" s="3">
        <f t="shared" si="20"/>
        <v>0.41639999999999999</v>
      </c>
      <c r="N19" s="3">
        <f t="shared" ref="N19:N31" si="22">N18</f>
        <v>4.9079999999999999E-2</v>
      </c>
      <c r="O19" s="3">
        <f>INT(M19/N19*100)/100</f>
        <v>8.48</v>
      </c>
      <c r="P19" s="13">
        <f t="shared" si="21"/>
        <v>-2.83</v>
      </c>
      <c r="U19" s="14">
        <f t="shared" si="9"/>
        <v>200</v>
      </c>
      <c r="V19" s="3">
        <f t="shared" si="10"/>
        <v>8.4302601932679284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15.650284623408655</v>
      </c>
      <c r="AB19" s="10">
        <f t="shared" si="4"/>
        <v>15.650284623408655</v>
      </c>
      <c r="AD19" s="12">
        <f t="shared" si="5"/>
        <v>90</v>
      </c>
      <c r="AE19" s="10">
        <f t="shared" si="18"/>
        <v>10.120285423683193</v>
      </c>
    </row>
    <row r="20" spans="1:31" s="3" customFormat="1" ht="21" customHeight="1" x14ac:dyDescent="0.15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12.781295553337273</v>
      </c>
      <c r="G20" s="187">
        <f t="shared" si="16"/>
        <v>8.8812955533372726</v>
      </c>
      <c r="H20" s="458"/>
      <c r="I20" s="458"/>
      <c r="J20" s="63">
        <f t="shared" si="17"/>
        <v>0.20222222801339207</v>
      </c>
      <c r="K20" s="29">
        <f t="shared" si="19"/>
        <v>4</v>
      </c>
      <c r="L20" s="3">
        <f>L19</f>
        <v>0.13880000000000001</v>
      </c>
      <c r="M20" s="3">
        <f t="shared" si="20"/>
        <v>0.55520000000000003</v>
      </c>
      <c r="N20" s="3">
        <f>N19</f>
        <v>4.9079999999999999E-2</v>
      </c>
      <c r="O20" s="3">
        <f>INT(M20/N20*100)/100</f>
        <v>11.31</v>
      </c>
      <c r="P20" s="13">
        <f t="shared" si="21"/>
        <v>-5.28</v>
      </c>
      <c r="U20" s="14">
        <f t="shared" si="9"/>
        <v>200</v>
      </c>
      <c r="V20" s="3">
        <f t="shared" si="10"/>
        <v>8.4302601932679284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15.852506851422048</v>
      </c>
      <c r="AB20" s="10">
        <f t="shared" si="4"/>
        <v>15.852506851422048</v>
      </c>
      <c r="AD20" s="12">
        <f t="shared" si="5"/>
        <v>105</v>
      </c>
      <c r="AE20" s="10">
        <f t="shared" si="18"/>
        <v>10.322507651696585</v>
      </c>
    </row>
    <row r="21" spans="1:31" s="3" customFormat="1" ht="21" customHeight="1" x14ac:dyDescent="0.15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12.956468415088656</v>
      </c>
      <c r="G21" s="187">
        <f t="shared" si="16"/>
        <v>9.0564684150886556</v>
      </c>
      <c r="H21" s="458"/>
      <c r="I21" s="458"/>
      <c r="J21" s="63">
        <f t="shared" si="17"/>
        <v>0.17517286175138302</v>
      </c>
      <c r="K21" s="29">
        <f t="shared" si="19"/>
        <v>5</v>
      </c>
      <c r="L21" s="3">
        <f>L20</f>
        <v>0.13880000000000001</v>
      </c>
      <c r="M21" s="3">
        <f t="shared" si="20"/>
        <v>0.69400000000000006</v>
      </c>
      <c r="N21" s="3">
        <f t="shared" si="22"/>
        <v>4.9079999999999999E-2</v>
      </c>
      <c r="O21" s="3">
        <f>INT(M21/N21*100)/100</f>
        <v>14.14</v>
      </c>
      <c r="P21" s="13">
        <f t="shared" si="21"/>
        <v>-7.82</v>
      </c>
      <c r="U21" s="14">
        <f t="shared" si="9"/>
        <v>200</v>
      </c>
      <c r="V21" s="3">
        <f t="shared" si="10"/>
        <v>8.4302601932679284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16.027679713173431</v>
      </c>
      <c r="AB21" s="10">
        <f t="shared" si="4"/>
        <v>16.027679713173431</v>
      </c>
      <c r="AD21" s="12">
        <f t="shared" si="5"/>
        <v>120</v>
      </c>
      <c r="AE21" s="10">
        <f t="shared" si="18"/>
        <v>10.497680513447968</v>
      </c>
    </row>
    <row r="22" spans="1:31" s="3" customFormat="1" ht="21" customHeight="1" x14ac:dyDescent="0.15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13.110981829621149</v>
      </c>
      <c r="G22" s="187">
        <f t="shared" si="16"/>
        <v>9.210981829621149</v>
      </c>
      <c r="H22" s="458"/>
      <c r="I22" s="458"/>
      <c r="J22" s="63">
        <f t="shared" si="17"/>
        <v>0.15451341453249334</v>
      </c>
      <c r="K22" s="29">
        <f t="shared" si="19"/>
        <v>10</v>
      </c>
      <c r="L22" s="3">
        <f t="shared" ref="L22:L31" si="23">L21</f>
        <v>0.13880000000000001</v>
      </c>
      <c r="M22" s="3">
        <f t="shared" si="20"/>
        <v>1.3880000000000001</v>
      </c>
      <c r="N22" s="3">
        <f t="shared" si="22"/>
        <v>4.9079999999999999E-2</v>
      </c>
      <c r="O22" s="3">
        <f t="shared" ref="O22:O27" si="24">INT(M22/N22*100)/100</f>
        <v>28.28</v>
      </c>
      <c r="P22" s="13">
        <f t="shared" si="21"/>
        <v>-21.05</v>
      </c>
      <c r="U22" s="14">
        <f t="shared" si="9"/>
        <v>200</v>
      </c>
      <c r="V22" s="3">
        <f t="shared" si="10"/>
        <v>8.4302601932679284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16.229901941186824</v>
      </c>
      <c r="AB22" s="10">
        <f t="shared" si="4"/>
        <v>16.229901941186824</v>
      </c>
      <c r="AD22" s="12">
        <f t="shared" si="5"/>
        <v>140</v>
      </c>
      <c r="AE22" s="10">
        <f t="shared" si="18"/>
        <v>10.699902741461361</v>
      </c>
    </row>
    <row r="23" spans="1:31" s="3" customFormat="1" ht="21" customHeight="1" x14ac:dyDescent="0.15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13.24919878879928</v>
      </c>
      <c r="G23" s="187">
        <f t="shared" si="16"/>
        <v>9.3491987887992796</v>
      </c>
      <c r="H23" s="458"/>
      <c r="I23" s="458"/>
      <c r="J23" s="63">
        <f t="shared" si="17"/>
        <v>0.13821695917813059</v>
      </c>
      <c r="K23" s="29">
        <f t="shared" si="19"/>
        <v>15</v>
      </c>
      <c r="L23" s="3">
        <f t="shared" si="23"/>
        <v>0.13880000000000001</v>
      </c>
      <c r="M23" s="3">
        <f t="shared" si="20"/>
        <v>2.0820000000000003</v>
      </c>
      <c r="N23" s="3">
        <f t="shared" si="22"/>
        <v>4.9079999999999999E-2</v>
      </c>
      <c r="O23" s="3">
        <f t="shared" si="24"/>
        <v>42.42</v>
      </c>
      <c r="P23" s="13">
        <f t="shared" si="21"/>
        <v>-34.659999999999997</v>
      </c>
      <c r="U23" s="14">
        <f t="shared" si="9"/>
        <v>200</v>
      </c>
      <c r="V23" s="3">
        <f t="shared" si="10"/>
        <v>8.4302601932679284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16.405074802938206</v>
      </c>
      <c r="AB23" s="10">
        <f t="shared" si="4"/>
        <v>16.405074802938206</v>
      </c>
      <c r="AD23" s="12">
        <f t="shared" si="5"/>
        <v>160</v>
      </c>
      <c r="AE23" s="10">
        <f t="shared" si="18"/>
        <v>10.875075603212743</v>
      </c>
    </row>
    <row r="24" spans="1:31" s="3" customFormat="1" ht="21" customHeight="1" x14ac:dyDescent="0.15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13.325151237141293</v>
      </c>
      <c r="G24" s="187">
        <f t="shared" si="16"/>
        <v>9.4251512371412929</v>
      </c>
      <c r="H24" s="458"/>
      <c r="I24" s="458"/>
      <c r="J24" s="63">
        <f t="shared" si="17"/>
        <v>7.5952448342013312E-2</v>
      </c>
      <c r="K24" s="29">
        <f t="shared" si="19"/>
        <v>20</v>
      </c>
      <c r="L24" s="3">
        <f t="shared" si="23"/>
        <v>0.13880000000000001</v>
      </c>
      <c r="M24" s="3">
        <f t="shared" si="20"/>
        <v>2.7760000000000002</v>
      </c>
      <c r="N24" s="3">
        <f t="shared" si="22"/>
        <v>4.9079999999999999E-2</v>
      </c>
      <c r="O24" s="3">
        <f t="shared" si="24"/>
        <v>56.56</v>
      </c>
      <c r="P24" s="13">
        <f t="shared" si="21"/>
        <v>-48.42</v>
      </c>
      <c r="U24" s="14">
        <f t="shared" si="9"/>
        <v>200</v>
      </c>
      <c r="V24" s="3">
        <f t="shared" si="10"/>
        <v>8.4302601932679284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16.559588217470701</v>
      </c>
      <c r="AB24" s="10">
        <f t="shared" si="4"/>
        <v>16.559588217470701</v>
      </c>
      <c r="AD24" s="12">
        <f t="shared" si="5"/>
        <v>180</v>
      </c>
      <c r="AE24" s="10">
        <f t="shared" si="18"/>
        <v>11.029589017745238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13.488376919385924</v>
      </c>
      <c r="G25" s="187">
        <f t="shared" si="16"/>
        <v>9.5883769193859241</v>
      </c>
      <c r="H25" s="458"/>
      <c r="I25" s="458"/>
      <c r="J25" s="63">
        <f t="shared" si="17"/>
        <v>0.16322568224463119</v>
      </c>
      <c r="K25" s="29">
        <f t="shared" si="19"/>
        <v>25</v>
      </c>
      <c r="L25" s="3">
        <f t="shared" si="23"/>
        <v>0.13880000000000001</v>
      </c>
      <c r="M25" s="3">
        <f t="shared" si="20"/>
        <v>3.47</v>
      </c>
      <c r="N25" s="3">
        <f t="shared" si="22"/>
        <v>4.9079999999999999E-2</v>
      </c>
      <c r="O25" s="3">
        <f t="shared" si="24"/>
        <v>70.7</v>
      </c>
      <c r="P25" s="13">
        <f t="shared" si="21"/>
        <v>-62.27</v>
      </c>
      <c r="U25" s="14">
        <f t="shared" si="9"/>
        <v>200</v>
      </c>
      <c r="V25" s="3">
        <f t="shared" si="10"/>
        <v>8.4302601932679284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16.936983307235476</v>
      </c>
      <c r="AB25" s="10">
        <f t="shared" si="4"/>
        <v>16.936983307235476</v>
      </c>
      <c r="AD25" s="12">
        <f t="shared" si="5"/>
        <v>240</v>
      </c>
      <c r="AE25" s="10">
        <f t="shared" si="18"/>
        <v>11.406984107510013</v>
      </c>
    </row>
    <row r="26" spans="1:31" s="3" customFormat="1" ht="21" customHeight="1" x14ac:dyDescent="0.15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13.781107293096548</v>
      </c>
      <c r="G26" s="187">
        <f t="shared" si="16"/>
        <v>9.881107293096548</v>
      </c>
      <c r="H26" s="458"/>
      <c r="I26" s="458"/>
      <c r="J26" s="63">
        <f t="shared" si="17"/>
        <v>0.29273037371062394</v>
      </c>
      <c r="K26" s="29">
        <f t="shared" si="19"/>
        <v>30</v>
      </c>
      <c r="L26" s="3">
        <f t="shared" si="23"/>
        <v>0.13880000000000001</v>
      </c>
      <c r="M26" s="3">
        <f t="shared" si="20"/>
        <v>4.1640000000000006</v>
      </c>
      <c r="N26" s="3">
        <f t="shared" si="22"/>
        <v>4.9079999999999999E-2</v>
      </c>
      <c r="O26" s="3">
        <f t="shared" si="24"/>
        <v>84.84</v>
      </c>
      <c r="P26" s="13">
        <f t="shared" si="21"/>
        <v>-76.17</v>
      </c>
      <c r="U26" s="14">
        <f t="shared" si="9"/>
        <v>200</v>
      </c>
      <c r="V26" s="3">
        <f t="shared" si="10"/>
        <v>8.4302601932679284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17.229713680946102</v>
      </c>
      <c r="AB26" s="10">
        <f t="shared" si="4"/>
        <v>17.229713680946102</v>
      </c>
      <c r="AD26" s="12">
        <f t="shared" si="5"/>
        <v>300</v>
      </c>
      <c r="AE26" s="10">
        <f t="shared" si="18"/>
        <v>11.699714481220639</v>
      </c>
    </row>
    <row r="27" spans="1:31" s="3" customFormat="1" ht="21" customHeight="1" x14ac:dyDescent="0.15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14.020285423683193</v>
      </c>
      <c r="G27" s="187">
        <f t="shared" si="16"/>
        <v>10.120285423683193</v>
      </c>
      <c r="H27" s="458"/>
      <c r="I27" s="458"/>
      <c r="J27" s="63">
        <f t="shared" si="17"/>
        <v>0.2391781305866445</v>
      </c>
      <c r="K27" s="29">
        <f t="shared" si="19"/>
        <v>35</v>
      </c>
      <c r="L27" s="3">
        <f t="shared" si="23"/>
        <v>0.13880000000000001</v>
      </c>
      <c r="M27" s="3">
        <f t="shared" si="20"/>
        <v>4.8580000000000005</v>
      </c>
      <c r="N27" s="3">
        <f t="shared" si="22"/>
        <v>4.9079999999999999E-2</v>
      </c>
      <c r="O27" s="3">
        <f t="shared" si="24"/>
        <v>98.98</v>
      </c>
      <c r="P27" s="13">
        <f t="shared" si="21"/>
        <v>-90.1</v>
      </c>
      <c r="U27" s="14">
        <f t="shared" si="9"/>
        <v>200</v>
      </c>
      <c r="V27" s="3">
        <f t="shared" si="10"/>
        <v>8.4302601932679284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17.468891811532743</v>
      </c>
      <c r="AB27" s="10">
        <f t="shared" si="4"/>
        <v>17.468891811532743</v>
      </c>
      <c r="AD27" s="12">
        <f t="shared" si="5"/>
        <v>360</v>
      </c>
      <c r="AE27" s="10">
        <f t="shared" si="18"/>
        <v>11.93889261180728</v>
      </c>
    </row>
    <row r="28" spans="1:31" s="3" customFormat="1" ht="21" customHeight="1" x14ac:dyDescent="0.15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14.222507651696585</v>
      </c>
      <c r="G28" s="187">
        <f t="shared" si="16"/>
        <v>10.322507651696585</v>
      </c>
      <c r="H28" s="458"/>
      <c r="I28" s="458"/>
      <c r="J28" s="63">
        <f t="shared" si="17"/>
        <v>0.20222222801339207</v>
      </c>
      <c r="K28" s="29">
        <f t="shared" si="19"/>
        <v>40</v>
      </c>
      <c r="L28" s="3">
        <f t="shared" si="23"/>
        <v>0.13880000000000001</v>
      </c>
      <c r="M28" s="3">
        <f>K28*L28</f>
        <v>5.5520000000000005</v>
      </c>
      <c r="N28" s="3">
        <f t="shared" si="22"/>
        <v>4.9079999999999999E-2</v>
      </c>
      <c r="O28" s="3">
        <f>INT(M28/N28*100)/100</f>
        <v>113.12</v>
      </c>
      <c r="P28" s="13">
        <f>INT((G21-O28)*100)/100</f>
        <v>-104.07</v>
      </c>
      <c r="U28" s="14">
        <f t="shared" si="9"/>
        <v>200</v>
      </c>
      <c r="V28" s="3">
        <f t="shared" si="10"/>
        <v>8.4302601932679284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17.671114039546136</v>
      </c>
      <c r="AB28" s="10">
        <f t="shared" si="4"/>
        <v>17.671114039546136</v>
      </c>
      <c r="AD28" s="12">
        <f t="shared" si="5"/>
        <v>420</v>
      </c>
      <c r="AE28" s="10">
        <f t="shared" si="18"/>
        <v>12.141114839820673</v>
      </c>
    </row>
    <row r="29" spans="1:31" s="3" customFormat="1" ht="21" customHeight="1" x14ac:dyDescent="0.15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14.397680513447968</v>
      </c>
      <c r="G29" s="187">
        <f t="shared" si="16"/>
        <v>10.497680513447968</v>
      </c>
      <c r="H29" s="458"/>
      <c r="I29" s="458"/>
      <c r="J29" s="63">
        <f t="shared" si="17"/>
        <v>0.17517286175138302</v>
      </c>
      <c r="K29" s="29">
        <f t="shared" si="19"/>
        <v>45</v>
      </c>
      <c r="L29" s="3">
        <f t="shared" si="23"/>
        <v>0.13880000000000001</v>
      </c>
      <c r="M29" s="3">
        <f>K29*L29</f>
        <v>6.2460000000000004</v>
      </c>
      <c r="N29" s="3">
        <f t="shared" si="22"/>
        <v>4.9079999999999999E-2</v>
      </c>
      <c r="O29" s="3">
        <f>INT(M29/N29*100)/100</f>
        <v>127.26</v>
      </c>
      <c r="P29" s="13">
        <f>INT((G22-O29)*100)/100</f>
        <v>-118.05</v>
      </c>
      <c r="U29" s="14">
        <f t="shared" si="9"/>
        <v>200</v>
      </c>
      <c r="V29" s="3">
        <f t="shared" si="10"/>
        <v>8.4302601932679284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17.846286901297518</v>
      </c>
      <c r="AB29" s="10">
        <f t="shared" si="4"/>
        <v>17.846286901297518</v>
      </c>
      <c r="AD29" s="12">
        <f t="shared" si="5"/>
        <v>480</v>
      </c>
      <c r="AE29" s="10">
        <f t="shared" si="18"/>
        <v>12.316287701572055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14.599902741461362</v>
      </c>
      <c r="G30" s="187">
        <f t="shared" si="16"/>
        <v>10.699902741461361</v>
      </c>
      <c r="H30" s="458"/>
      <c r="I30" s="458"/>
      <c r="J30" s="63">
        <f t="shared" si="17"/>
        <v>0.20222222801339385</v>
      </c>
      <c r="K30" s="29">
        <f t="shared" si="19"/>
        <v>50</v>
      </c>
      <c r="L30" s="3">
        <f t="shared" si="23"/>
        <v>0.13880000000000001</v>
      </c>
      <c r="M30" s="3">
        <f>K30*L30</f>
        <v>6.94</v>
      </c>
      <c r="N30" s="3">
        <f t="shared" si="22"/>
        <v>4.9079999999999999E-2</v>
      </c>
      <c r="O30" s="3">
        <f>INT(M30/N30*100)/100</f>
        <v>141.4</v>
      </c>
      <c r="P30" s="13">
        <f>INT((G23-O30)*100)/100</f>
        <v>-132.06</v>
      </c>
      <c r="U30" s="14">
        <f t="shared" si="9"/>
        <v>200</v>
      </c>
      <c r="V30" s="3">
        <f t="shared" si="10"/>
        <v>8.4302601932679284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18.000800315830013</v>
      </c>
      <c r="AB30" s="10">
        <f t="shared" si="4"/>
        <v>18.000800315830013</v>
      </c>
      <c r="AD30" s="12">
        <f t="shared" si="5"/>
        <v>540</v>
      </c>
      <c r="AE30" s="10">
        <f t="shared" si="18"/>
        <v>12.47080111610455</v>
      </c>
    </row>
    <row r="31" spans="1:31" s="3" customFormat="1" ht="21" customHeight="1" x14ac:dyDescent="0.15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14.775075603212743</v>
      </c>
      <c r="G31" s="187">
        <f t="shared" si="16"/>
        <v>10.875075603212743</v>
      </c>
      <c r="H31" s="458"/>
      <c r="I31" s="458"/>
      <c r="J31" s="63">
        <f t="shared" si="17"/>
        <v>0.17517286175138125</v>
      </c>
      <c r="K31" s="29">
        <f t="shared" si="19"/>
        <v>55</v>
      </c>
      <c r="L31" s="3">
        <f t="shared" si="23"/>
        <v>0.13880000000000001</v>
      </c>
      <c r="M31" s="3">
        <f>K31*L31</f>
        <v>7.6340000000000003</v>
      </c>
      <c r="N31" s="3">
        <f t="shared" si="22"/>
        <v>4.9079999999999999E-2</v>
      </c>
      <c r="O31" s="3">
        <f>INT(M31/N31*100)/100</f>
        <v>155.54</v>
      </c>
      <c r="P31" s="13">
        <f>INT((G24-O31)*100)/100</f>
        <v>-146.12</v>
      </c>
      <c r="U31" s="14">
        <f t="shared" si="9"/>
        <v>200</v>
      </c>
      <c r="V31" s="3">
        <f t="shared" si="10"/>
        <v>8.4302601932679284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18.139017275008143</v>
      </c>
      <c r="AB31" s="10">
        <f t="shared" si="4"/>
        <v>18.139017275008143</v>
      </c>
      <c r="AD31" s="12">
        <f t="shared" si="5"/>
        <v>600</v>
      </c>
      <c r="AE31" s="10">
        <f t="shared" si="18"/>
        <v>12.60901807528268</v>
      </c>
    </row>
    <row r="32" spans="1:31" s="3" customFormat="1" ht="21" customHeight="1" x14ac:dyDescent="0.15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14.929589017745238</v>
      </c>
      <c r="G32" s="187">
        <f t="shared" si="16"/>
        <v>11.029589017745238</v>
      </c>
      <c r="H32" s="458"/>
      <c r="I32" s="458"/>
      <c r="J32" s="63">
        <f t="shared" si="17"/>
        <v>0.15451341453249512</v>
      </c>
      <c r="K32" s="65" t="s">
        <v>18</v>
      </c>
      <c r="N32" s="67"/>
      <c r="U32" s="14">
        <f t="shared" si="9"/>
        <v>200</v>
      </c>
      <c r="V32" s="3">
        <f t="shared" si="10"/>
        <v>8.4302601932679284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18.264049723350155</v>
      </c>
      <c r="AB32" s="10">
        <f t="shared" si="4"/>
        <v>18.264049723350155</v>
      </c>
      <c r="AD32" s="12">
        <f t="shared" si="5"/>
        <v>660</v>
      </c>
      <c r="AE32" s="10">
        <f t="shared" si="18"/>
        <v>12.734050523624692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15.306984107510013</v>
      </c>
      <c r="G33" s="187">
        <f t="shared" si="16"/>
        <v>11.406984107510013</v>
      </c>
      <c r="H33" s="458"/>
      <c r="I33" s="458"/>
      <c r="J33" s="63">
        <f t="shared" si="17"/>
        <v>0.37739508976477509</v>
      </c>
      <c r="K33" s="9" t="s">
        <v>18</v>
      </c>
      <c r="N33" s="67"/>
      <c r="U33" s="14">
        <f t="shared" si="9"/>
        <v>200</v>
      </c>
      <c r="V33" s="3">
        <f t="shared" si="10"/>
        <v>8.4302601932679284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18.378195405594788</v>
      </c>
      <c r="AB33" s="10">
        <f t="shared" si="4"/>
        <v>18.378195405594788</v>
      </c>
      <c r="AD33" s="12">
        <f t="shared" si="5"/>
        <v>720</v>
      </c>
      <c r="AE33" s="10">
        <f t="shared" si="18"/>
        <v>12.848196205869325</v>
      </c>
    </row>
    <row r="34" spans="1:31" s="3" customFormat="1" ht="21" customHeight="1" x14ac:dyDescent="0.15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15.599714481220639</v>
      </c>
      <c r="G34" s="187">
        <f t="shared" si="16"/>
        <v>11.699714481220639</v>
      </c>
      <c r="H34" s="458"/>
      <c r="I34" s="458"/>
      <c r="J34" s="63">
        <f t="shared" si="17"/>
        <v>0.29273037371062571</v>
      </c>
      <c r="K34" s="9" t="s">
        <v>18</v>
      </c>
      <c r="O34" s="67"/>
      <c r="U34" s="14">
        <f t="shared" si="9"/>
        <v>200</v>
      </c>
      <c r="V34" s="3">
        <f t="shared" si="10"/>
        <v>8.4302601932679284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18.483199254427021</v>
      </c>
      <c r="AB34" s="10">
        <f t="shared" si="4"/>
        <v>18.483199254427021</v>
      </c>
      <c r="AD34" s="12">
        <f t="shared" si="5"/>
        <v>780</v>
      </c>
      <c r="AE34" s="10">
        <f t="shared" si="18"/>
        <v>12.953200054701558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15.83889261180728</v>
      </c>
      <c r="G35" s="187">
        <f t="shared" si="16"/>
        <v>11.93889261180728</v>
      </c>
      <c r="H35" s="458"/>
      <c r="I35" s="458"/>
      <c r="J35" s="63">
        <f t="shared" si="17"/>
        <v>0.23917813058664095</v>
      </c>
      <c r="K35" s="9" t="s">
        <v>18</v>
      </c>
      <c r="N35" s="67"/>
      <c r="U35" s="14">
        <f t="shared" si="9"/>
        <v>200</v>
      </c>
      <c r="V35" s="3">
        <f t="shared" si="10"/>
        <v>8.4302601932679284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18.580417633608178</v>
      </c>
      <c r="AB35" s="10">
        <f t="shared" si="4"/>
        <v>18.580417633608178</v>
      </c>
      <c r="AD35" s="12">
        <f t="shared" si="5"/>
        <v>840</v>
      </c>
      <c r="AE35" s="10">
        <f t="shared" si="18"/>
        <v>13.050418433882715</v>
      </c>
    </row>
    <row r="36" spans="1:31" s="3" customFormat="1" ht="21" customHeight="1" x14ac:dyDescent="0.15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16.041114839820672</v>
      </c>
      <c r="G36" s="187">
        <f t="shared" si="16"/>
        <v>12.141114839820673</v>
      </c>
      <c r="H36" s="458"/>
      <c r="I36" s="458"/>
      <c r="J36" s="63">
        <f t="shared" si="17"/>
        <v>0.20222222801339385</v>
      </c>
      <c r="K36" s="9" t="s">
        <v>18</v>
      </c>
      <c r="U36" s="14">
        <f t="shared" si="9"/>
        <v>200</v>
      </c>
      <c r="V36" s="3">
        <f t="shared" si="10"/>
        <v>8.4302601932679284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18.670925779305414</v>
      </c>
      <c r="AB36" s="10">
        <f t="shared" si="4"/>
        <v>18.670925779305414</v>
      </c>
      <c r="AD36" s="12">
        <f t="shared" si="5"/>
        <v>900</v>
      </c>
      <c r="AE36" s="10">
        <f t="shared" si="18"/>
        <v>13.140926579579951</v>
      </c>
    </row>
    <row r="37" spans="1:31" s="3" customFormat="1" ht="21" customHeight="1" x14ac:dyDescent="0.15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16.216287701572053</v>
      </c>
      <c r="G37" s="187">
        <f t="shared" si="16"/>
        <v>12.316287701572055</v>
      </c>
      <c r="H37" s="458"/>
      <c r="I37" s="458"/>
      <c r="J37" s="63">
        <f t="shared" si="17"/>
        <v>0.17517286175138125</v>
      </c>
      <c r="K37" s="9" t="s">
        <v>18</v>
      </c>
      <c r="U37" s="14">
        <f t="shared" si="9"/>
        <v>200</v>
      </c>
      <c r="V37" s="3">
        <f t="shared" si="10"/>
        <v>8.4302601932679284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18.755590495359563</v>
      </c>
      <c r="AB37" s="10">
        <f t="shared" si="4"/>
        <v>18.755590495359563</v>
      </c>
      <c r="AC37" s="3">
        <v>37</v>
      </c>
      <c r="AD37" s="12">
        <f t="shared" si="5"/>
        <v>960</v>
      </c>
      <c r="AE37" s="10">
        <f t="shared" si="18"/>
        <v>13.2255912956341</v>
      </c>
    </row>
    <row r="38" spans="1:31" s="3" customFormat="1" ht="21" customHeight="1" x14ac:dyDescent="0.15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16.370801116104548</v>
      </c>
      <c r="G38" s="187">
        <f t="shared" si="16"/>
        <v>12.47080111610455</v>
      </c>
      <c r="H38" s="458"/>
      <c r="I38" s="458"/>
      <c r="J38" s="63">
        <f t="shared" si="17"/>
        <v>0.15451341453249512</v>
      </c>
      <c r="K38" s="9" t="s">
        <v>18</v>
      </c>
      <c r="U38" s="14">
        <f t="shared" si="9"/>
        <v>200</v>
      </c>
      <c r="V38" s="3">
        <f t="shared" si="10"/>
        <v>8.4302601932679284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18.835120771255376</v>
      </c>
      <c r="AB38" s="10">
        <f t="shared" si="4"/>
        <v>18.835120771255376</v>
      </c>
      <c r="AC38" s="29" t="s">
        <v>28</v>
      </c>
      <c r="AD38" s="12">
        <f t="shared" si="5"/>
        <v>1020</v>
      </c>
      <c r="AE38" s="10">
        <f t="shared" si="18"/>
        <v>13.305121571529913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16.509018075282679</v>
      </c>
      <c r="G39" s="187">
        <f t="shared" si="16"/>
        <v>12.60901807528268</v>
      </c>
      <c r="H39" s="458"/>
      <c r="I39" s="458"/>
      <c r="J39" s="63">
        <f t="shared" si="17"/>
        <v>0.13821695917813059</v>
      </c>
      <c r="K39" s="9" t="s">
        <v>18</v>
      </c>
      <c r="U39" s="14">
        <f t="shared" si="9"/>
        <v>200</v>
      </c>
      <c r="V39" s="3">
        <f t="shared" si="10"/>
        <v>8.4302601932679284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18.910103909892058</v>
      </c>
      <c r="AB39" s="10">
        <f t="shared" si="4"/>
        <v>18.910103909892058</v>
      </c>
      <c r="AC39" s="393">
        <v>39</v>
      </c>
      <c r="AD39" s="12">
        <f t="shared" si="5"/>
        <v>1080</v>
      </c>
      <c r="AE39" s="10">
        <f t="shared" si="18"/>
        <v>13.380104710166595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16.63405052362469</v>
      </c>
      <c r="G40" s="187">
        <f t="shared" si="16"/>
        <v>12.734050523624692</v>
      </c>
      <c r="H40" s="458">
        <v>43950</v>
      </c>
      <c r="I40" s="458"/>
      <c r="J40" s="63">
        <f t="shared" si="17"/>
        <v>0.12503244834201155</v>
      </c>
      <c r="K40" s="9" t="s">
        <v>18</v>
      </c>
      <c r="U40" s="14">
        <f t="shared" si="9"/>
        <v>200</v>
      </c>
      <c r="V40" s="3">
        <f t="shared" si="10"/>
        <v>8.4302601932679284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18.981031874400681</v>
      </c>
      <c r="AB40" s="10">
        <f t="shared" si="4"/>
        <v>18.981031874400681</v>
      </c>
      <c r="AC40" s="393">
        <v>40</v>
      </c>
      <c r="AD40" s="12">
        <f t="shared" si="5"/>
        <v>1140</v>
      </c>
      <c r="AE40" s="10">
        <f t="shared" si="18"/>
        <v>13.451032674675218</v>
      </c>
    </row>
    <row r="41" spans="1:31" s="3" customFormat="1" ht="21" customHeight="1" x14ac:dyDescent="0.15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16.748196205869323</v>
      </c>
      <c r="G41" s="187">
        <f t="shared" si="16"/>
        <v>12.848196205869325</v>
      </c>
      <c r="H41" s="458"/>
      <c r="I41" s="458"/>
      <c r="J41" s="63">
        <f t="shared" si="17"/>
        <v>0.11414568224463295</v>
      </c>
      <c r="K41" s="9" t="s">
        <v>18</v>
      </c>
      <c r="U41" s="390">
        <f t="shared" si="9"/>
        <v>200</v>
      </c>
      <c r="V41" s="389">
        <f t="shared" si="10"/>
        <v>8.4302601932679284</v>
      </c>
      <c r="W41" s="389">
        <f t="shared" si="11"/>
        <v>0.125</v>
      </c>
      <c r="X41" s="389">
        <f t="shared" si="12"/>
        <v>5.0000000000000001E-4</v>
      </c>
      <c r="Y41" s="389">
        <f t="shared" si="2"/>
        <v>0.83333333333333337</v>
      </c>
      <c r="Z41" s="391">
        <f t="shared" si="13"/>
        <v>1200</v>
      </c>
      <c r="AA41" s="392">
        <f t="shared" si="27"/>
        <v>19.048320869070189</v>
      </c>
      <c r="AB41" s="10">
        <f t="shared" si="4"/>
        <v>19.048320869070189</v>
      </c>
      <c r="AC41" s="394">
        <v>41</v>
      </c>
      <c r="AD41" s="12">
        <f t="shared" si="5"/>
        <v>1200</v>
      </c>
      <c r="AE41" s="10">
        <f t="shared" si="18"/>
        <v>13.518321669344726</v>
      </c>
    </row>
    <row r="42" spans="1:31" s="3" customFormat="1" ht="21" customHeight="1" x14ac:dyDescent="0.15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16.853200054701556</v>
      </c>
      <c r="G42" s="187">
        <f t="shared" si="16"/>
        <v>12.953200054701558</v>
      </c>
      <c r="H42" s="458"/>
      <c r="I42" s="458"/>
      <c r="J42" s="63">
        <f t="shared" si="17"/>
        <v>0.1050038488322329</v>
      </c>
      <c r="K42" s="9" t="s">
        <v>18</v>
      </c>
      <c r="U42" s="14">
        <f t="shared" si="9"/>
        <v>200</v>
      </c>
      <c r="V42" s="3">
        <f t="shared" si="10"/>
        <v>8.4302601932679284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19.112326137905448</v>
      </c>
      <c r="AB42" s="10">
        <f t="shared" si="4"/>
        <v>19.112326137905448</v>
      </c>
      <c r="AC42" s="393">
        <v>42</v>
      </c>
      <c r="AD42" s="12">
        <f t="shared" si="5"/>
        <v>1260</v>
      </c>
      <c r="AE42" s="10">
        <f t="shared" si="18"/>
        <v>13.582326938179985</v>
      </c>
    </row>
    <row r="43" spans="1:31" s="3" customFormat="1" ht="21" customHeight="1" x14ac:dyDescent="0.15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16.950418433882714</v>
      </c>
      <c r="G43" s="187">
        <f t="shared" si="16"/>
        <v>13.050418433882715</v>
      </c>
      <c r="H43" s="458"/>
      <c r="I43" s="458"/>
      <c r="J43" s="63">
        <f t="shared" si="17"/>
        <v>9.7218379181157388E-2</v>
      </c>
      <c r="K43" s="9" t="s">
        <v>18</v>
      </c>
      <c r="U43" s="390">
        <f t="shared" si="9"/>
        <v>200</v>
      </c>
      <c r="V43" s="389">
        <f t="shared" si="10"/>
        <v>8.4302601932679284</v>
      </c>
      <c r="W43" s="389">
        <f t="shared" si="11"/>
        <v>0.125</v>
      </c>
      <c r="X43" s="389">
        <f t="shared" si="12"/>
        <v>5.0000000000000001E-4</v>
      </c>
      <c r="Y43" s="389">
        <f t="shared" si="2"/>
        <v>0.91666666666666663</v>
      </c>
      <c r="Z43" s="391">
        <f t="shared" si="28"/>
        <v>1320</v>
      </c>
      <c r="AA43" s="392">
        <f t="shared" si="27"/>
        <v>19.1733533174122</v>
      </c>
      <c r="AB43" s="10">
        <f t="shared" si="4"/>
        <v>19.1733533174122</v>
      </c>
      <c r="AC43" s="394">
        <v>43</v>
      </c>
      <c r="AD43" s="12">
        <f t="shared" si="5"/>
        <v>1320</v>
      </c>
      <c r="AE43" s="10">
        <f t="shared" si="18"/>
        <v>13.643354117686737</v>
      </c>
    </row>
    <row r="44" spans="1:31" s="3" customFormat="1" ht="21" customHeight="1" x14ac:dyDescent="0.15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17.040926579579949</v>
      </c>
      <c r="G44" s="187">
        <f t="shared" si="16"/>
        <v>13.140926579579951</v>
      </c>
      <c r="H44" s="458"/>
      <c r="I44" s="458"/>
      <c r="J44" s="63">
        <f t="shared" si="17"/>
        <v>9.050814569723542E-2</v>
      </c>
      <c r="K44" s="9" t="s">
        <v>18</v>
      </c>
      <c r="U44" s="14">
        <f t="shared" si="9"/>
        <v>200</v>
      </c>
      <c r="V44" s="3">
        <f t="shared" si="10"/>
        <v>8.4302601932679284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19.231667263716361</v>
      </c>
      <c r="AB44" s="10">
        <f t="shared" si="4"/>
        <v>19.231667263716361</v>
      </c>
      <c r="AC44" s="393">
        <v>44</v>
      </c>
      <c r="AD44" s="12">
        <f t="shared" si="5"/>
        <v>1380</v>
      </c>
      <c r="AE44" s="10">
        <f t="shared" si="18"/>
        <v>13.701668063990898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17.125591295634099</v>
      </c>
      <c r="G45" s="187">
        <f t="shared" si="16"/>
        <v>13.2255912956341</v>
      </c>
      <c r="H45" s="458"/>
      <c r="I45" s="458"/>
      <c r="J45" s="63">
        <f t="shared" si="17"/>
        <v>8.466471605414938E-2</v>
      </c>
      <c r="K45" s="9" t="s">
        <v>18</v>
      </c>
      <c r="U45" s="390">
        <f t="shared" si="9"/>
        <v>200</v>
      </c>
      <c r="V45" s="389">
        <f t="shared" si="10"/>
        <v>8.4302601932679284</v>
      </c>
      <c r="W45" s="389">
        <f t="shared" si="11"/>
        <v>0.125</v>
      </c>
      <c r="X45" s="389">
        <f t="shared" si="12"/>
        <v>5.0000000000000001E-4</v>
      </c>
      <c r="Y45" s="389">
        <f t="shared" si="2"/>
        <v>1</v>
      </c>
      <c r="Z45" s="391">
        <f t="shared" si="28"/>
        <v>1440</v>
      </c>
      <c r="AA45" s="392">
        <f t="shared" si="27"/>
        <v>19.287498999656833</v>
      </c>
      <c r="AB45" s="10">
        <f t="shared" si="4"/>
        <v>19.287498999656833</v>
      </c>
      <c r="AC45" s="394">
        <v>45</v>
      </c>
      <c r="AD45" s="12">
        <f t="shared" si="5"/>
        <v>1440</v>
      </c>
      <c r="AE45" s="10">
        <f t="shared" si="18"/>
        <v>13.75749979993137</v>
      </c>
    </row>
    <row r="46" spans="1:31" s="3" customFormat="1" ht="21" customHeight="1" x14ac:dyDescent="0.15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17.205121571529912</v>
      </c>
      <c r="G46" s="187">
        <f t="shared" si="16"/>
        <v>13.305121571529913</v>
      </c>
      <c r="H46" s="458"/>
      <c r="I46" s="458"/>
      <c r="J46" s="63">
        <f t="shared" si="17"/>
        <v>7.9530275895812963E-2</v>
      </c>
      <c r="K46" s="9" t="s">
        <v>18</v>
      </c>
      <c r="U46" s="14">
        <f t="shared" si="9"/>
        <v>200</v>
      </c>
      <c r="V46" s="3">
        <f t="shared" si="10"/>
        <v>8.4302601932679284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19.287498999656833</v>
      </c>
      <c r="AB46" s="10">
        <f t="shared" ref="AB46:AB47" si="30">AB45</f>
        <v>19.287498999656833</v>
      </c>
      <c r="AC46" s="393">
        <v>46</v>
      </c>
      <c r="AD46" s="343">
        <f t="shared" si="5"/>
        <v>1500</v>
      </c>
      <c r="AE46" s="345">
        <f t="shared" si="18"/>
        <v>13.75749979993137</v>
      </c>
    </row>
    <row r="47" spans="1:31" s="3" customFormat="1" ht="21" customHeight="1" x14ac:dyDescent="0.15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17.280104710166594</v>
      </c>
      <c r="G47" s="187">
        <f t="shared" si="16"/>
        <v>13.380104710166595</v>
      </c>
      <c r="H47" s="458"/>
      <c r="I47" s="458"/>
      <c r="J47" s="63">
        <f t="shared" si="17"/>
        <v>7.4983138636682156E-2</v>
      </c>
      <c r="K47" s="9" t="s">
        <v>18</v>
      </c>
      <c r="U47" s="14">
        <f t="shared" si="9"/>
        <v>200</v>
      </c>
      <c r="V47" s="3">
        <f t="shared" si="10"/>
        <v>8.4302601932679284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19.287498999656833</v>
      </c>
      <c r="AB47" s="10">
        <f t="shared" si="30"/>
        <v>19.287498999656833</v>
      </c>
      <c r="AD47" s="12">
        <f t="shared" si="5"/>
        <v>1560</v>
      </c>
      <c r="AE47" s="10">
        <f t="shared" si="18"/>
        <v>13.75749979993137</v>
      </c>
    </row>
    <row r="48" spans="1:31" s="3" customFormat="1" ht="21" customHeight="1" x14ac:dyDescent="0.15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17.351032674675217</v>
      </c>
      <c r="G48" s="187">
        <f t="shared" si="16"/>
        <v>13.451032674675218</v>
      </c>
      <c r="H48" s="458"/>
      <c r="I48" s="458"/>
      <c r="J48" s="3" t="s">
        <v>18</v>
      </c>
      <c r="K48" s="9" t="s">
        <v>18</v>
      </c>
      <c r="U48" s="14">
        <f t="shared" si="9"/>
        <v>200</v>
      </c>
      <c r="V48" s="3">
        <f t="shared" si="10"/>
        <v>8.4302601932679284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19.287498999656833</v>
      </c>
      <c r="AB48" s="10">
        <f t="shared" ref="AB48:AB52" si="32">AB47</f>
        <v>19.287498999656833</v>
      </c>
      <c r="AD48" s="12">
        <f t="shared" si="5"/>
        <v>1620</v>
      </c>
      <c r="AE48" s="10">
        <f t="shared" si="18"/>
        <v>13.75749979993137</v>
      </c>
    </row>
    <row r="49" spans="1:31" s="3" customFormat="1" ht="21" customHeight="1" x14ac:dyDescent="0.15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17.418321669344724</v>
      </c>
      <c r="G49" s="187">
        <f t="shared" si="16"/>
        <v>13.518321669344726</v>
      </c>
      <c r="H49" s="458"/>
      <c r="I49" s="458"/>
      <c r="J49" s="3" t="s">
        <v>18</v>
      </c>
      <c r="K49" s="9" t="s">
        <v>18</v>
      </c>
      <c r="U49" s="14">
        <f t="shared" si="9"/>
        <v>200</v>
      </c>
      <c r="V49" s="3">
        <f t="shared" si="10"/>
        <v>8.4302601932679284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19.287498999656833</v>
      </c>
      <c r="AB49" s="10">
        <f t="shared" si="32"/>
        <v>19.287498999656833</v>
      </c>
      <c r="AD49" s="12">
        <f t="shared" si="5"/>
        <v>1680</v>
      </c>
      <c r="AE49" s="10">
        <f t="shared" ref="AE49:AE69" si="33">AB49-$O$3</f>
        <v>13.75749979993137</v>
      </c>
    </row>
    <row r="50" spans="1:31" s="3" customFormat="1" ht="21" customHeight="1" x14ac:dyDescent="0.15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17.482326938179984</v>
      </c>
      <c r="G50" s="187">
        <f t="shared" si="16"/>
        <v>13.582326938179985</v>
      </c>
      <c r="H50" s="458"/>
      <c r="I50" s="458"/>
      <c r="J50" s="3" t="s">
        <v>18</v>
      </c>
      <c r="K50" s="9" t="s">
        <v>18</v>
      </c>
      <c r="U50" s="14">
        <f t="shared" si="9"/>
        <v>200</v>
      </c>
      <c r="V50" s="3">
        <f t="shared" si="10"/>
        <v>8.4302601932679284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19.287498999656833</v>
      </c>
      <c r="AB50" s="10">
        <f t="shared" si="32"/>
        <v>19.287498999656833</v>
      </c>
      <c r="AD50" s="12">
        <f t="shared" si="5"/>
        <v>1740</v>
      </c>
      <c r="AE50" s="10">
        <f t="shared" si="33"/>
        <v>13.75749979993137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17.543354117686736</v>
      </c>
      <c r="G51" s="187">
        <f t="shared" si="16"/>
        <v>13.643354117686737</v>
      </c>
      <c r="H51" s="458"/>
      <c r="I51" s="458"/>
      <c r="J51" s="3" t="s">
        <v>18</v>
      </c>
      <c r="K51" s="9" t="s">
        <v>18</v>
      </c>
      <c r="U51" s="14">
        <f t="shared" si="9"/>
        <v>200</v>
      </c>
      <c r="V51" s="3">
        <f t="shared" si="10"/>
        <v>8.4302601932679284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19.287498999656833</v>
      </c>
      <c r="AB51" s="10">
        <f t="shared" si="32"/>
        <v>19.287498999656833</v>
      </c>
      <c r="AD51" s="12">
        <f t="shared" si="5"/>
        <v>1800</v>
      </c>
      <c r="AE51" s="10">
        <f t="shared" si="33"/>
        <v>13.75749979993137</v>
      </c>
    </row>
    <row r="52" spans="1:31" s="3" customFormat="1" ht="21" customHeight="1" x14ac:dyDescent="0.15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17.601668063990896</v>
      </c>
      <c r="G52" s="187">
        <f t="shared" si="16"/>
        <v>13.701668063990898</v>
      </c>
      <c r="H52" s="458"/>
      <c r="I52" s="458"/>
      <c r="J52" s="3" t="s">
        <v>18</v>
      </c>
      <c r="K52" s="9" t="s">
        <v>18</v>
      </c>
      <c r="U52" s="14">
        <f t="shared" si="9"/>
        <v>200</v>
      </c>
      <c r="V52" s="3">
        <f t="shared" si="10"/>
        <v>8.4302601932679284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19.287498999656833</v>
      </c>
      <c r="AB52" s="10">
        <f t="shared" si="32"/>
        <v>19.287498999656833</v>
      </c>
      <c r="AD52" s="12">
        <f t="shared" si="5"/>
        <v>1860</v>
      </c>
      <c r="AE52" s="10">
        <f t="shared" si="33"/>
        <v>13.75749979993137</v>
      </c>
    </row>
    <row r="53" spans="1:31" s="3" customFormat="1" ht="21" customHeight="1" x14ac:dyDescent="0.15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17.657499799931369</v>
      </c>
      <c r="G53" s="187">
        <f t="shared" si="16"/>
        <v>13.75749979993137</v>
      </c>
      <c r="H53" s="458"/>
      <c r="I53" s="458"/>
      <c r="J53" s="3" t="s">
        <v>18</v>
      </c>
      <c r="K53" s="9" t="s">
        <v>18</v>
      </c>
      <c r="U53" s="14">
        <f t="shared" si="9"/>
        <v>200</v>
      </c>
      <c r="V53" s="3">
        <f t="shared" si="10"/>
        <v>8.4302601932679284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19.287498999656833</v>
      </c>
      <c r="AB53" s="10">
        <f t="shared" ref="AB53:AB69" si="34">AB52</f>
        <v>19.287498999656833</v>
      </c>
      <c r="AD53" s="12">
        <f t="shared" si="5"/>
        <v>1920</v>
      </c>
      <c r="AE53" s="10">
        <f t="shared" si="33"/>
        <v>13.75749979993137</v>
      </c>
    </row>
    <row r="54" spans="1:31" s="3" customFormat="1" ht="21" customHeight="1" x14ac:dyDescent="0.15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17.657499799931369</v>
      </c>
      <c r="G54" s="187">
        <f t="shared" si="16"/>
        <v>13.75749979993137</v>
      </c>
      <c r="H54" s="458"/>
      <c r="I54" s="458"/>
      <c r="J54" s="3" t="s">
        <v>18</v>
      </c>
      <c r="K54" s="9" t="s">
        <v>18</v>
      </c>
      <c r="U54" s="14">
        <f t="shared" si="9"/>
        <v>200</v>
      </c>
      <c r="V54" s="3">
        <f t="shared" si="10"/>
        <v>8.4302601932679284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19.287498999656833</v>
      </c>
      <c r="AB54" s="10">
        <f t="shared" si="34"/>
        <v>19.287498999656833</v>
      </c>
      <c r="AD54" s="12">
        <f t="shared" si="5"/>
        <v>1980</v>
      </c>
      <c r="AE54" s="10">
        <f t="shared" si="33"/>
        <v>13.75749979993137</v>
      </c>
    </row>
    <row r="55" spans="1:31" s="3" customFormat="1" ht="21" customHeight="1" x14ac:dyDescent="0.15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17.657499799931369</v>
      </c>
      <c r="G55" s="187">
        <f t="shared" si="16"/>
        <v>13.75749979993137</v>
      </c>
      <c r="H55" s="458"/>
      <c r="I55" s="458"/>
      <c r="J55" s="3" t="s">
        <v>18</v>
      </c>
      <c r="K55" s="9" t="s">
        <v>18</v>
      </c>
      <c r="U55" s="14">
        <f t="shared" si="9"/>
        <v>200</v>
      </c>
      <c r="V55" s="3">
        <f t="shared" si="10"/>
        <v>8.4302601932679284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19.287498999656833</v>
      </c>
      <c r="AB55" s="10">
        <f t="shared" si="34"/>
        <v>19.287498999656833</v>
      </c>
      <c r="AD55" s="12">
        <f t="shared" si="5"/>
        <v>2040</v>
      </c>
      <c r="AE55" s="10">
        <f t="shared" si="33"/>
        <v>13.75749979993137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17.657499799931369</v>
      </c>
      <c r="G56" s="187">
        <f t="shared" si="16"/>
        <v>13.75749979993137</v>
      </c>
      <c r="H56" s="458"/>
      <c r="I56" s="458"/>
      <c r="J56" s="3" t="s">
        <v>18</v>
      </c>
      <c r="K56" s="9" t="s">
        <v>18</v>
      </c>
      <c r="U56" s="14">
        <f t="shared" si="9"/>
        <v>200</v>
      </c>
      <c r="V56" s="3">
        <f t="shared" si="10"/>
        <v>8.4302601932679284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19.287498999656833</v>
      </c>
      <c r="AB56" s="10">
        <f t="shared" si="34"/>
        <v>19.287498999656833</v>
      </c>
      <c r="AD56" s="12">
        <f t="shared" si="5"/>
        <v>2100</v>
      </c>
      <c r="AE56" s="10">
        <f t="shared" si="33"/>
        <v>13.75749979993137</v>
      </c>
    </row>
    <row r="57" spans="1:31" s="3" customFormat="1" ht="21.6" customHeight="1" x14ac:dyDescent="0.15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17.657499799931369</v>
      </c>
      <c r="G57" s="187">
        <f t="shared" si="16"/>
        <v>13.75749979993137</v>
      </c>
      <c r="H57" s="458"/>
      <c r="I57" s="458"/>
      <c r="J57" s="3" t="s">
        <v>18</v>
      </c>
      <c r="K57" s="9" t="s">
        <v>18</v>
      </c>
      <c r="U57" s="14">
        <f t="shared" si="9"/>
        <v>200</v>
      </c>
      <c r="V57" s="3">
        <f t="shared" si="10"/>
        <v>8.4302601932679284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19.287498999656833</v>
      </c>
      <c r="AB57" s="10">
        <f t="shared" si="34"/>
        <v>19.287498999656833</v>
      </c>
      <c r="AD57" s="12">
        <f t="shared" si="5"/>
        <v>2160</v>
      </c>
      <c r="AE57" s="10">
        <f t="shared" si="33"/>
        <v>13.75749979993137</v>
      </c>
    </row>
    <row r="58" spans="1:31" s="3" customFormat="1" ht="21.6" customHeight="1" x14ac:dyDescent="0.15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17.657499799931369</v>
      </c>
      <c r="G58" s="187">
        <f t="shared" si="16"/>
        <v>13.75749979993137</v>
      </c>
      <c r="H58" s="458"/>
      <c r="I58" s="458"/>
      <c r="J58" s="3" t="s">
        <v>18</v>
      </c>
      <c r="K58" s="9" t="s">
        <v>18</v>
      </c>
      <c r="U58" s="14">
        <f t="shared" si="9"/>
        <v>200</v>
      </c>
      <c r="V58" s="3">
        <f t="shared" si="10"/>
        <v>8.4302601932679284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19.287498999656833</v>
      </c>
      <c r="AB58" s="10">
        <f t="shared" si="34"/>
        <v>19.287498999656833</v>
      </c>
      <c r="AD58" s="12">
        <f t="shared" si="5"/>
        <v>2220</v>
      </c>
      <c r="AE58" s="10">
        <f t="shared" si="33"/>
        <v>13.75749979993137</v>
      </c>
    </row>
    <row r="59" spans="1:31" s="3" customFormat="1" ht="21.6" customHeight="1" x14ac:dyDescent="0.15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17.657499799931369</v>
      </c>
      <c r="G59" s="187">
        <f t="shared" si="16"/>
        <v>13.75749979993137</v>
      </c>
      <c r="H59" s="458"/>
      <c r="I59" s="458"/>
      <c r="J59" s="3" t="s">
        <v>18</v>
      </c>
      <c r="K59" s="9" t="s">
        <v>18</v>
      </c>
      <c r="U59" s="14">
        <f t="shared" si="9"/>
        <v>200</v>
      </c>
      <c r="V59" s="3">
        <f t="shared" si="10"/>
        <v>8.4302601932679284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19.287498999656833</v>
      </c>
      <c r="AB59" s="10">
        <f t="shared" si="34"/>
        <v>19.287498999656833</v>
      </c>
      <c r="AD59" s="12">
        <f t="shared" si="5"/>
        <v>2280</v>
      </c>
      <c r="AE59" s="10">
        <f t="shared" si="33"/>
        <v>13.75749979993137</v>
      </c>
    </row>
    <row r="60" spans="1:31" s="3" customFormat="1" ht="21.6" customHeight="1" x14ac:dyDescent="0.15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17.657499799931369</v>
      </c>
      <c r="G60" s="187">
        <f t="shared" si="16"/>
        <v>13.75749979993137</v>
      </c>
      <c r="H60" s="458"/>
      <c r="I60" s="458"/>
      <c r="J60" s="3" t="s">
        <v>18</v>
      </c>
      <c r="K60" s="9" t="s">
        <v>18</v>
      </c>
      <c r="U60" s="14">
        <f t="shared" si="9"/>
        <v>200</v>
      </c>
      <c r="V60" s="3">
        <f t="shared" si="10"/>
        <v>8.4302601932679284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19.287498999656833</v>
      </c>
      <c r="AB60" s="10">
        <f t="shared" si="34"/>
        <v>19.287498999656833</v>
      </c>
      <c r="AD60" s="12">
        <f t="shared" si="5"/>
        <v>2340</v>
      </c>
      <c r="AE60" s="10">
        <f t="shared" si="33"/>
        <v>13.75749979993137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17.657499799931369</v>
      </c>
      <c r="G61" s="187">
        <f t="shared" si="16"/>
        <v>13.75749979993137</v>
      </c>
      <c r="H61" s="458"/>
      <c r="I61" s="458"/>
      <c r="J61" s="3" t="s">
        <v>18</v>
      </c>
      <c r="K61" s="9" t="s">
        <v>18</v>
      </c>
      <c r="U61" s="14">
        <f t="shared" si="9"/>
        <v>200</v>
      </c>
      <c r="V61" s="3">
        <f t="shared" si="10"/>
        <v>8.4302601932679284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19.287498999656833</v>
      </c>
      <c r="AB61" s="10">
        <f t="shared" si="34"/>
        <v>19.287498999656833</v>
      </c>
      <c r="AD61" s="12">
        <f t="shared" si="5"/>
        <v>2400</v>
      </c>
      <c r="AE61" s="10">
        <f t="shared" si="33"/>
        <v>13.75749979993137</v>
      </c>
    </row>
    <row r="62" spans="1:31" s="3" customFormat="1" ht="21.6" customHeight="1" x14ac:dyDescent="0.15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17.657499799931369</v>
      </c>
      <c r="G62" s="187">
        <f t="shared" si="16"/>
        <v>13.75749979993137</v>
      </c>
      <c r="H62" s="458"/>
      <c r="I62" s="458"/>
      <c r="J62" s="3" t="s">
        <v>18</v>
      </c>
      <c r="K62" s="9" t="s">
        <v>18</v>
      </c>
      <c r="U62" s="14">
        <f t="shared" si="9"/>
        <v>200</v>
      </c>
      <c r="V62" s="3">
        <f t="shared" si="10"/>
        <v>8.4302601932679284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19.287498999656833</v>
      </c>
      <c r="AB62" s="10">
        <f t="shared" si="34"/>
        <v>19.287498999656833</v>
      </c>
      <c r="AD62" s="12">
        <f t="shared" si="5"/>
        <v>2460</v>
      </c>
      <c r="AE62" s="10">
        <f t="shared" si="33"/>
        <v>13.75749979993137</v>
      </c>
    </row>
    <row r="63" spans="1:31" s="3" customFormat="1" ht="21.6" customHeight="1" x14ac:dyDescent="0.15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17.657499799931369</v>
      </c>
      <c r="G63" s="187">
        <f t="shared" si="16"/>
        <v>13.75749979993137</v>
      </c>
      <c r="H63" s="458"/>
      <c r="I63" s="458"/>
      <c r="J63" s="3" t="s">
        <v>18</v>
      </c>
      <c r="K63" s="9" t="s">
        <v>18</v>
      </c>
      <c r="U63" s="14">
        <f t="shared" si="9"/>
        <v>200</v>
      </c>
      <c r="V63" s="3">
        <f t="shared" si="10"/>
        <v>8.4302601932679284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19.287498999656833</v>
      </c>
      <c r="AB63" s="10">
        <f t="shared" si="34"/>
        <v>19.287498999656833</v>
      </c>
      <c r="AD63" s="12">
        <f t="shared" si="5"/>
        <v>2520</v>
      </c>
      <c r="AE63" s="10">
        <f t="shared" si="33"/>
        <v>13.75749979993137</v>
      </c>
    </row>
    <row r="64" spans="1:31" s="3" customFormat="1" ht="21.6" customHeight="1" x14ac:dyDescent="0.15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17.657499799931369</v>
      </c>
      <c r="G64" s="187">
        <f t="shared" si="16"/>
        <v>13.75749979993137</v>
      </c>
      <c r="H64" s="458">
        <v>43951</v>
      </c>
      <c r="I64" s="458"/>
      <c r="J64" s="3" t="s">
        <v>18</v>
      </c>
      <c r="K64" s="9" t="s">
        <v>18</v>
      </c>
      <c r="U64" s="14">
        <f t="shared" si="9"/>
        <v>200</v>
      </c>
      <c r="V64" s="3">
        <f t="shared" si="10"/>
        <v>8.4302601932679284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19.287498999656833</v>
      </c>
      <c r="AB64" s="10">
        <f t="shared" si="34"/>
        <v>19.287498999656833</v>
      </c>
      <c r="AD64" s="12">
        <f t="shared" si="5"/>
        <v>2580</v>
      </c>
      <c r="AE64" s="10">
        <f t="shared" si="33"/>
        <v>13.75749979993137</v>
      </c>
    </row>
    <row r="65" spans="1:31" s="3" customFormat="1" ht="21.6" customHeight="1" x14ac:dyDescent="0.15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17.657499799931369</v>
      </c>
      <c r="G65" s="187">
        <f t="shared" si="16"/>
        <v>13.75749979993137</v>
      </c>
      <c r="H65" s="458"/>
      <c r="I65" s="458"/>
      <c r="J65" s="3" t="s">
        <v>18</v>
      </c>
      <c r="K65" s="9" t="s">
        <v>18</v>
      </c>
      <c r="U65" s="14">
        <f t="shared" si="9"/>
        <v>200</v>
      </c>
      <c r="V65" s="3">
        <f t="shared" si="10"/>
        <v>8.4302601932679284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19.287498999656833</v>
      </c>
      <c r="AB65" s="10">
        <f t="shared" si="34"/>
        <v>19.287498999656833</v>
      </c>
      <c r="AD65" s="12">
        <f t="shared" si="5"/>
        <v>2640</v>
      </c>
      <c r="AE65" s="10">
        <f t="shared" si="33"/>
        <v>13.75749979993137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17.657499799931369</v>
      </c>
      <c r="G66" s="187">
        <f t="shared" si="16"/>
        <v>13.75749979993137</v>
      </c>
      <c r="H66" s="458"/>
      <c r="I66" s="458"/>
      <c r="J66" s="3" t="s">
        <v>18</v>
      </c>
      <c r="K66" s="9" t="s">
        <v>18</v>
      </c>
      <c r="U66" s="14">
        <f t="shared" si="9"/>
        <v>200</v>
      </c>
      <c r="V66" s="3">
        <f t="shared" si="10"/>
        <v>8.4302601932679284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19.287498999656833</v>
      </c>
      <c r="AB66" s="10">
        <f t="shared" si="34"/>
        <v>19.287498999656833</v>
      </c>
      <c r="AD66" s="12">
        <f t="shared" si="5"/>
        <v>2700</v>
      </c>
      <c r="AE66" s="10">
        <f t="shared" si="33"/>
        <v>13.75749979993137</v>
      </c>
    </row>
    <row r="67" spans="1:31" s="3" customFormat="1" ht="21.6" customHeight="1" x14ac:dyDescent="0.15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17.657499799931369</v>
      </c>
      <c r="G67" s="187">
        <f t="shared" si="16"/>
        <v>13.75749979993137</v>
      </c>
      <c r="H67" s="458"/>
      <c r="I67" s="458"/>
      <c r="J67" s="3" t="s">
        <v>18</v>
      </c>
      <c r="K67" s="9" t="s">
        <v>18</v>
      </c>
      <c r="U67" s="14">
        <f t="shared" si="9"/>
        <v>200</v>
      </c>
      <c r="V67" s="3">
        <f t="shared" si="10"/>
        <v>8.4302601932679284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19.287498999656833</v>
      </c>
      <c r="AB67" s="10">
        <f t="shared" si="34"/>
        <v>19.287498999656833</v>
      </c>
      <c r="AD67" s="12">
        <f>Z67</f>
        <v>2760</v>
      </c>
      <c r="AE67" s="10">
        <f t="shared" si="33"/>
        <v>13.75749979993137</v>
      </c>
    </row>
    <row r="68" spans="1:31" s="3" customFormat="1" ht="21.6" customHeight="1" x14ac:dyDescent="0.15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17.657499799931369</v>
      </c>
      <c r="G68" s="187">
        <f t="shared" si="16"/>
        <v>13.75749979993137</v>
      </c>
      <c r="H68" s="458"/>
      <c r="I68" s="458"/>
      <c r="J68" s="3" t="s">
        <v>18</v>
      </c>
      <c r="K68" s="9" t="s">
        <v>18</v>
      </c>
      <c r="U68" s="14">
        <f>U67</f>
        <v>200</v>
      </c>
      <c r="V68" s="3">
        <f t="shared" ref="V68:V83" si="39">V$2</f>
        <v>8.4302601932679284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19.287498999656833</v>
      </c>
      <c r="AB68" s="10">
        <f t="shared" si="34"/>
        <v>19.287498999656833</v>
      </c>
      <c r="AD68" s="12">
        <f>Z68</f>
        <v>2820</v>
      </c>
      <c r="AE68" s="10">
        <f t="shared" si="33"/>
        <v>13.75749979993137</v>
      </c>
    </row>
    <row r="69" spans="1:31" s="3" customFormat="1" ht="21.6" customHeight="1" x14ac:dyDescent="0.15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17.657499799931369</v>
      </c>
      <c r="G69" s="187">
        <f t="shared" si="16"/>
        <v>13.75749979993137</v>
      </c>
      <c r="H69" s="458"/>
      <c r="I69" s="458"/>
      <c r="J69" s="3" t="s">
        <v>18</v>
      </c>
      <c r="K69" s="9" t="s">
        <v>18</v>
      </c>
      <c r="U69" s="14">
        <f>U68</f>
        <v>200</v>
      </c>
      <c r="V69" s="3">
        <f t="shared" si="39"/>
        <v>8.4302601932679284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19.287498999656833</v>
      </c>
      <c r="AB69" s="10">
        <f t="shared" si="34"/>
        <v>19.287498999656833</v>
      </c>
      <c r="AD69" s="12">
        <f>Z69</f>
        <v>2880</v>
      </c>
      <c r="AE69" s="10">
        <f t="shared" si="33"/>
        <v>13.75749979993137</v>
      </c>
    </row>
    <row r="70" spans="1:31" s="3" customFormat="1" ht="21.6" customHeight="1" x14ac:dyDescent="0.15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17.657499799931369</v>
      </c>
      <c r="G70" s="187">
        <f t="shared" si="16"/>
        <v>13.75749979993137</v>
      </c>
      <c r="H70" s="458"/>
      <c r="I70" s="458"/>
      <c r="J70" s="3" t="s">
        <v>18</v>
      </c>
      <c r="K70" s="9" t="s">
        <v>18</v>
      </c>
      <c r="U70" s="14"/>
      <c r="V70" s="3">
        <f t="shared" si="39"/>
        <v>8.4302601932679284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17.657499799931369</v>
      </c>
      <c r="G71" s="187">
        <f t="shared" si="16"/>
        <v>13.75749979993137</v>
      </c>
      <c r="H71" s="458"/>
      <c r="I71" s="458"/>
      <c r="J71" s="3" t="s">
        <v>18</v>
      </c>
      <c r="K71" s="9" t="s">
        <v>18</v>
      </c>
      <c r="U71" s="14"/>
      <c r="V71" s="3">
        <f t="shared" si="39"/>
        <v>8.4302601932679284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 x14ac:dyDescent="0.15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17.657499799931369</v>
      </c>
      <c r="G72" s="187">
        <f t="shared" si="16"/>
        <v>13.75749979993137</v>
      </c>
      <c r="H72" s="458"/>
      <c r="I72" s="458"/>
      <c r="J72" s="3" t="s">
        <v>18</v>
      </c>
      <c r="K72" s="9" t="s">
        <v>18</v>
      </c>
      <c r="U72" s="14"/>
      <c r="V72" s="3">
        <f t="shared" si="39"/>
        <v>8.4302601932679284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 x14ac:dyDescent="0.15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17.657499799931369</v>
      </c>
      <c r="G73" s="187">
        <f t="shared" si="16"/>
        <v>13.75749979993137</v>
      </c>
      <c r="H73" s="458"/>
      <c r="I73" s="458"/>
      <c r="J73" s="3" t="s">
        <v>18</v>
      </c>
      <c r="K73" s="9" t="s">
        <v>18</v>
      </c>
      <c r="U73" s="14"/>
      <c r="V73" s="3">
        <f t="shared" si="39"/>
        <v>8.4302601932679284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 x14ac:dyDescent="0.15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17.657499799931369</v>
      </c>
      <c r="G74" s="187">
        <f t="shared" si="16"/>
        <v>13.75749979993137</v>
      </c>
      <c r="H74" s="458"/>
      <c r="I74" s="458"/>
      <c r="J74" s="3" t="s">
        <v>18</v>
      </c>
      <c r="K74" s="9" t="s">
        <v>18</v>
      </c>
      <c r="U74" s="14"/>
      <c r="V74" s="3">
        <f t="shared" si="39"/>
        <v>8.4302601932679284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 x14ac:dyDescent="0.15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17.657499799931369</v>
      </c>
      <c r="G75" s="187">
        <f>AE67</f>
        <v>13.75749979993137</v>
      </c>
      <c r="H75" s="458"/>
      <c r="I75" s="458"/>
      <c r="J75" s="3" t="s">
        <v>18</v>
      </c>
      <c r="K75" s="9" t="s">
        <v>18</v>
      </c>
      <c r="U75" s="14"/>
      <c r="V75" s="3">
        <f t="shared" si="39"/>
        <v>8.4302601932679284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 x14ac:dyDescent="0.15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17.657499799931369</v>
      </c>
      <c r="G76" s="187">
        <f>AE68</f>
        <v>13.75749979993137</v>
      </c>
      <c r="H76" s="458"/>
      <c r="I76" s="458"/>
      <c r="J76" s="3" t="s">
        <v>18</v>
      </c>
      <c r="K76" s="9" t="s">
        <v>18</v>
      </c>
      <c r="U76" s="14"/>
      <c r="V76" s="3">
        <f t="shared" si="39"/>
        <v>8.4302601932679284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17.657499799931369</v>
      </c>
      <c r="G77" s="187">
        <f>AE69</f>
        <v>13.75749979993137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39"/>
        <v>8.4302601932679284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>
        <f>G78+D$8</f>
        <v>13.431120999638791</v>
      </c>
      <c r="G78" s="187">
        <f>H114</f>
        <v>9.5311209996387909</v>
      </c>
      <c r="H78" s="458" t="s">
        <v>250</v>
      </c>
      <c r="I78" s="458"/>
      <c r="J78" s="3" t="s">
        <v>18</v>
      </c>
      <c r="K78" s="9"/>
      <c r="U78" s="14"/>
      <c r="V78" s="3">
        <f t="shared" si="39"/>
        <v>8.4302601932679284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>
        <f t="shared" ref="F79:F101" si="43">G79+D$8</f>
        <v>12.710241184465797</v>
      </c>
      <c r="G79" s="187">
        <f>H115</f>
        <v>8.8102411844657968</v>
      </c>
      <c r="H79" s="458"/>
      <c r="I79" s="458"/>
      <c r="J79" s="3" t="s">
        <v>18</v>
      </c>
      <c r="K79" s="9" t="s">
        <v>18</v>
      </c>
      <c r="U79" s="14"/>
      <c r="V79" s="3">
        <f t="shared" si="39"/>
        <v>8.4302601932679284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>
        <f t="shared" si="43"/>
        <v>12.04388462085404</v>
      </c>
      <c r="G80" s="187">
        <f>H116</f>
        <v>8.1438846208540401</v>
      </c>
      <c r="H80" s="458"/>
      <c r="I80" s="458"/>
      <c r="J80" s="3" t="s">
        <v>18</v>
      </c>
      <c r="K80" s="9" t="s">
        <v>18</v>
      </c>
      <c r="U80" s="14"/>
      <c r="V80" s="3">
        <f t="shared" si="39"/>
        <v>8.4302601932679284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>
        <f t="shared" si="43"/>
        <v>11.427927479979015</v>
      </c>
      <c r="G81" s="187">
        <f>H117</f>
        <v>7.5279274799790148</v>
      </c>
      <c r="H81" s="458"/>
      <c r="I81" s="458"/>
      <c r="J81" s="3" t="s">
        <v>18</v>
      </c>
      <c r="K81" s="9" t="s">
        <v>18</v>
      </c>
      <c r="U81" s="14"/>
      <c r="V81" s="3">
        <f t="shared" si="39"/>
        <v>8.4302601932679284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>
        <f t="shared" si="43"/>
        <v>10.858557835987648</v>
      </c>
      <c r="G82" s="187">
        <f>H118</f>
        <v>6.9585578359876488</v>
      </c>
      <c r="H82" s="458"/>
      <c r="I82" s="458"/>
      <c r="J82" s="3" t="s">
        <v>18</v>
      </c>
      <c r="K82" s="9" t="s">
        <v>18</v>
      </c>
      <c r="U82" s="14"/>
      <c r="V82" s="3">
        <f t="shared" si="39"/>
        <v>8.4302601932679284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>
        <f t="shared" si="43"/>
        <v>9.3960501242760373</v>
      </c>
      <c r="G83" s="187">
        <f>H121</f>
        <v>5.4960501242760369</v>
      </c>
      <c r="H83" s="458"/>
      <c r="I83" s="458"/>
      <c r="J83" s="3" t="s">
        <v>18</v>
      </c>
      <c r="K83" s="9" t="s">
        <v>18</v>
      </c>
      <c r="U83" s="14"/>
      <c r="V83" s="3">
        <f t="shared" si="39"/>
        <v>8.4302601932679284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>
        <f t="shared" si="43"/>
        <v>9.115307194737797</v>
      </c>
      <c r="G84" s="187">
        <f>H124</f>
        <v>5.2153071947377967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>
        <f t="shared" si="43"/>
        <v>8.3562292366096482</v>
      </c>
      <c r="G85" s="187">
        <f>H126</f>
        <v>4.4562292366096488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>
        <f t="shared" si="43"/>
        <v>8.0191853874572381</v>
      </c>
      <c r="G86" s="187">
        <f t="shared" ref="G86:G92" si="44">H127</f>
        <v>4.1191853874572377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>
        <f t="shared" si="43"/>
        <v>7.7076336192144463</v>
      </c>
      <c r="G87" s="187">
        <f t="shared" si="44"/>
        <v>3.8076336192144464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 x14ac:dyDescent="0.15">
      <c r="A88" s="54"/>
      <c r="B88" s="54"/>
      <c r="C88" s="55"/>
      <c r="D88" s="186">
        <v>35</v>
      </c>
      <c r="E88" s="255">
        <f t="shared" si="42"/>
        <v>2.4305555555555556E-2</v>
      </c>
      <c r="F88" s="187">
        <f t="shared" si="43"/>
        <v>7.6091103785047123</v>
      </c>
      <c r="G88" s="187">
        <f t="shared" si="44"/>
        <v>3.7091103785047124</v>
      </c>
      <c r="H88" s="458"/>
      <c r="I88" s="458"/>
      <c r="K88" s="9"/>
      <c r="U88" s="14"/>
      <c r="Z88" s="12"/>
      <c r="AA88" s="263"/>
    </row>
    <row r="89" spans="1:31" s="3" customFormat="1" ht="20.45" customHeight="1" x14ac:dyDescent="0.15">
      <c r="A89" s="54"/>
      <c r="B89" s="54"/>
      <c r="C89" s="55"/>
      <c r="D89" s="186">
        <v>40</v>
      </c>
      <c r="E89" s="255">
        <f t="shared" si="42"/>
        <v>2.7777777777777776E-2</v>
      </c>
      <c r="F89" s="187">
        <f t="shared" si="43"/>
        <v>7.5131364452995051</v>
      </c>
      <c r="G89" s="187">
        <f t="shared" si="44"/>
        <v>3.6131364452995047</v>
      </c>
      <c r="H89" s="458"/>
      <c r="I89" s="458"/>
      <c r="K89" s="9"/>
      <c r="U89" s="14"/>
      <c r="Z89" s="12"/>
      <c r="AA89" s="263"/>
    </row>
    <row r="90" spans="1:31" s="3" customFormat="1" ht="20.45" customHeight="1" x14ac:dyDescent="0.15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>
        <f t="shared" si="43"/>
        <v>7.4196458557845402</v>
      </c>
      <c r="G90" s="187">
        <f t="shared" si="44"/>
        <v>3.5196458557845403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 x14ac:dyDescent="0.15">
      <c r="A91" s="54"/>
      <c r="B91" s="54"/>
      <c r="C91" s="55"/>
      <c r="D91" s="186">
        <v>50</v>
      </c>
      <c r="E91" s="255">
        <f t="shared" si="42"/>
        <v>3.4722222222222224E-2</v>
      </c>
      <c r="F91" s="187">
        <f t="shared" si="43"/>
        <v>7.3285743529717209</v>
      </c>
      <c r="G91" s="187">
        <f t="shared" si="44"/>
        <v>3.428574352971721</v>
      </c>
      <c r="H91" s="458"/>
      <c r="I91" s="458"/>
      <c r="K91" s="9"/>
      <c r="U91" s="14"/>
      <c r="Z91" s="12"/>
      <c r="AA91" s="263"/>
    </row>
    <row r="92" spans="1:31" s="3" customFormat="1" ht="20.45" customHeight="1" x14ac:dyDescent="0.15">
      <c r="A92" s="54"/>
      <c r="B92" s="54"/>
      <c r="C92" s="55"/>
      <c r="D92" s="186">
        <v>55</v>
      </c>
      <c r="E92" s="255">
        <f t="shared" si="42"/>
        <v>3.8194444444444448E-2</v>
      </c>
      <c r="F92" s="187">
        <f t="shared" si="43"/>
        <v>7.2398593425346753</v>
      </c>
      <c r="G92" s="187">
        <f t="shared" si="44"/>
        <v>3.3398593425346759</v>
      </c>
      <c r="H92" s="458"/>
      <c r="I92" s="458"/>
      <c r="K92" s="9"/>
      <c r="U92" s="14"/>
      <c r="Z92" s="12"/>
      <c r="AA92" s="263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>
        <f t="shared" si="43"/>
        <v>7.1534398497870821</v>
      </c>
      <c r="G93" s="187">
        <f>H134</f>
        <v>3.2534398497870827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 x14ac:dyDescent="0.15">
      <c r="A94" s="54"/>
      <c r="B94" s="54"/>
      <c r="C94" s="55"/>
      <c r="D94" s="186">
        <v>75</v>
      </c>
      <c r="E94" s="255">
        <f t="shared" si="42"/>
        <v>5.2083333333333336E-2</v>
      </c>
      <c r="F94" s="187">
        <f t="shared" si="43"/>
        <v>7.0692564777741671</v>
      </c>
      <c r="G94" s="187">
        <f>H135</f>
        <v>3.1692564777741672</v>
      </c>
      <c r="H94" s="458"/>
      <c r="I94" s="458"/>
      <c r="K94" s="9"/>
      <c r="U94" s="14"/>
      <c r="Z94" s="12"/>
      <c r="AA94" s="263"/>
    </row>
    <row r="95" spans="1:31" s="3" customFormat="1" ht="20.45" customHeight="1" x14ac:dyDescent="0.15">
      <c r="A95" s="54"/>
      <c r="B95" s="54"/>
      <c r="C95" s="55"/>
      <c r="D95" s="186">
        <v>90</v>
      </c>
      <c r="E95" s="255">
        <f t="shared" si="42"/>
        <v>6.25E-2</v>
      </c>
      <c r="F95" s="187">
        <f t="shared" si="43"/>
        <v>6.9872513664486071</v>
      </c>
      <c r="G95" s="187">
        <f>H136</f>
        <v>3.0872513664486068</v>
      </c>
      <c r="H95" s="458"/>
      <c r="I95" s="458"/>
      <c r="K95" s="9"/>
      <c r="U95" s="14"/>
      <c r="Z95" s="12"/>
      <c r="AA95" s="263"/>
    </row>
    <row r="96" spans="1:31" s="3" customFormat="1" ht="20.45" customHeight="1" x14ac:dyDescent="0.15">
      <c r="A96" s="54"/>
      <c r="B96" s="54"/>
      <c r="C96" s="55"/>
      <c r="D96" s="186">
        <v>105</v>
      </c>
      <c r="E96" s="255">
        <f t="shared" si="42"/>
        <v>7.2916666666666671E-2</v>
      </c>
      <c r="F96" s="187">
        <f t="shared" si="43"/>
        <v>6.9073681529027553</v>
      </c>
      <c r="G96" s="187">
        <f>H137</f>
        <v>3.0073681529027554</v>
      </c>
      <c r="H96" s="458"/>
      <c r="I96" s="458"/>
      <c r="K96" s="9"/>
      <c r="U96" s="14"/>
      <c r="Z96" s="12"/>
      <c r="AA96" s="263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>
        <f t="shared" si="43"/>
        <v>6.679907920438616</v>
      </c>
      <c r="G97" s="187">
        <f>H138</f>
        <v>2.7799079204386161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 x14ac:dyDescent="0.15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>
        <f t="shared" si="43"/>
        <v>6.6079772767406091</v>
      </c>
      <c r="G98" s="187">
        <f>H140</f>
        <v>2.7079772767406087</v>
      </c>
      <c r="H98" s="458"/>
      <c r="I98" s="458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>
        <f t="shared" si="43"/>
        <v>6.2138363785860893</v>
      </c>
      <c r="G99" s="187">
        <f>H142</f>
        <v>2.3138363785860894</v>
      </c>
      <c r="H99" s="458"/>
      <c r="I99" s="458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 x14ac:dyDescent="0.15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>
        <f t="shared" si="43"/>
        <v>5.8770619321120767</v>
      </c>
      <c r="G100" s="187">
        <f>H144</f>
        <v>1.977061932112077</v>
      </c>
      <c r="H100" s="458"/>
      <c r="I100" s="458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5.5893043603175014</v>
      </c>
      <c r="G101" s="248">
        <f>H146</f>
        <v>1.6893043603175018</v>
      </c>
      <c r="H101" s="458"/>
      <c r="I101" s="458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 x14ac:dyDescent="0.15">
      <c r="D104" s="16"/>
      <c r="Z104" s="12"/>
      <c r="AA104" s="263"/>
    </row>
    <row r="105" spans="1:27" s="3" customFormat="1" ht="17.25" customHeight="1" x14ac:dyDescent="0.15">
      <c r="D105" s="16"/>
      <c r="Z105" s="12"/>
      <c r="AA105" s="263"/>
    </row>
    <row r="106" spans="1:27" s="3" customFormat="1" ht="17.25" customHeight="1" x14ac:dyDescent="0.15">
      <c r="Z106" s="12"/>
      <c r="AA106" s="263"/>
    </row>
    <row r="107" spans="1:27" s="3" customFormat="1" ht="17.25" customHeight="1" x14ac:dyDescent="0.15">
      <c r="Z107" s="12"/>
      <c r="AA107" s="263"/>
    </row>
    <row r="108" spans="1:27" s="3" customFormat="1" ht="17.25" customHeight="1" x14ac:dyDescent="0.15">
      <c r="Z108" s="12"/>
      <c r="AA108" s="263"/>
    </row>
    <row r="109" spans="1:27" s="3" customFormat="1" ht="17.25" customHeight="1" x14ac:dyDescent="0.15">
      <c r="Z109" s="12"/>
      <c r="AA109" s="263"/>
    </row>
    <row r="110" spans="1:27" s="3" customFormat="1" ht="17.25" customHeight="1" x14ac:dyDescent="0.15">
      <c r="C110" s="29">
        <v>3</v>
      </c>
      <c r="D110" s="34">
        <f>G77</f>
        <v>13.75749979993137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13.75749979993137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6">D111^E111</f>
        <v>12.067367512686078</v>
      </c>
      <c r="Z111" s="12"/>
      <c r="AA111" s="263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13.75749979993137</v>
      </c>
      <c r="E112" s="15">
        <f t="shared" ref="E112:E141" si="48">C112/100</f>
        <v>0.92</v>
      </c>
      <c r="F112" s="250"/>
      <c r="G112" s="3">
        <v>2</v>
      </c>
      <c r="H112" s="252">
        <f t="shared" si="46"/>
        <v>11.154660427916157</v>
      </c>
      <c r="I112" s="13">
        <f>H111-H112</f>
        <v>0.91270708476992013</v>
      </c>
      <c r="Z112" s="12"/>
      <c r="AA112" s="263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13.75749979993137</v>
      </c>
      <c r="E113" s="15">
        <f t="shared" si="48"/>
        <v>0.89</v>
      </c>
      <c r="F113" s="54" t="s">
        <v>18</v>
      </c>
      <c r="G113" s="3">
        <v>3</v>
      </c>
      <c r="H113" s="252">
        <f t="shared" si="46"/>
        <v>10.310985318986326</v>
      </c>
      <c r="I113" s="13">
        <f t="shared" ref="I113:I146" si="50">H112-H113</f>
        <v>0.84367510892983155</v>
      </c>
      <c r="Z113" s="12"/>
      <c r="AA113" s="263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13.75749979993137</v>
      </c>
      <c r="E114" s="15">
        <f t="shared" si="48"/>
        <v>0.86</v>
      </c>
      <c r="F114" s="250">
        <v>1</v>
      </c>
      <c r="G114" s="36">
        <v>4</v>
      </c>
      <c r="H114" s="253">
        <f t="shared" si="46"/>
        <v>9.5311209996387909</v>
      </c>
      <c r="I114" s="13">
        <f t="shared" si="50"/>
        <v>0.77986431934753497</v>
      </c>
      <c r="Z114" s="12"/>
      <c r="AA114" s="263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13.75749979993137</v>
      </c>
      <c r="E115" s="15">
        <f t="shared" si="48"/>
        <v>0.83</v>
      </c>
      <c r="F115" s="250">
        <v>2</v>
      </c>
      <c r="G115" s="36">
        <v>5</v>
      </c>
      <c r="H115" s="253">
        <f t="shared" si="46"/>
        <v>8.8102411844657968</v>
      </c>
      <c r="I115" s="13">
        <f t="shared" si="50"/>
        <v>0.72087981517299404</v>
      </c>
      <c r="Z115" s="12"/>
      <c r="AA115" s="263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13.75749979993137</v>
      </c>
      <c r="E116" s="15">
        <f t="shared" si="48"/>
        <v>0.8</v>
      </c>
      <c r="F116" s="250">
        <v>3</v>
      </c>
      <c r="G116" s="36">
        <v>6</v>
      </c>
      <c r="H116" s="253">
        <f t="shared" si="46"/>
        <v>8.1438846208540401</v>
      </c>
      <c r="I116" s="13">
        <f t="shared" si="50"/>
        <v>0.66635656361175677</v>
      </c>
      <c r="Z116" s="12"/>
      <c r="AA116" s="263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13.75749979993137</v>
      </c>
      <c r="E117" s="15">
        <f t="shared" si="48"/>
        <v>0.77</v>
      </c>
      <c r="F117" s="250">
        <v>4</v>
      </c>
      <c r="G117" s="36">
        <v>7</v>
      </c>
      <c r="H117" s="253">
        <f t="shared" si="46"/>
        <v>7.5279274799790148</v>
      </c>
      <c r="I117" s="13">
        <f t="shared" si="50"/>
        <v>0.61595714087502529</v>
      </c>
      <c r="Z117" s="12"/>
      <c r="AA117" s="263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13.75749979993137</v>
      </c>
      <c r="E118" s="15">
        <f t="shared" si="48"/>
        <v>0.74</v>
      </c>
      <c r="F118" s="250">
        <v>5</v>
      </c>
      <c r="G118" s="36">
        <v>8</v>
      </c>
      <c r="H118" s="253">
        <f t="shared" si="46"/>
        <v>6.9585578359876488</v>
      </c>
      <c r="I118" s="13">
        <f t="shared" si="50"/>
        <v>0.56936964399136603</v>
      </c>
      <c r="Z118" s="12"/>
      <c r="AA118" s="263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13.75749979993137</v>
      </c>
      <c r="E119" s="15">
        <f t="shared" si="48"/>
        <v>0.71</v>
      </c>
      <c r="F119" s="54"/>
      <c r="G119" s="3">
        <v>9</v>
      </c>
      <c r="H119" s="254">
        <f t="shared" si="46"/>
        <v>6.4322520754304735</v>
      </c>
      <c r="I119" s="13">
        <f t="shared" si="50"/>
        <v>0.52630576055717526</v>
      </c>
      <c r="Z119" s="12"/>
      <c r="AA119" s="263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13.75749979993137</v>
      </c>
      <c r="E120" s="15">
        <f t="shared" si="48"/>
        <v>0.68</v>
      </c>
      <c r="F120" s="54" t="s">
        <v>18</v>
      </c>
      <c r="G120" s="3">
        <v>10</v>
      </c>
      <c r="H120" s="252">
        <f t="shared" si="46"/>
        <v>5.9457530909502507</v>
      </c>
      <c r="I120" s="13">
        <f t="shared" si="50"/>
        <v>0.48649898448022277</v>
      </c>
      <c r="Z120" s="12"/>
      <c r="AA120" s="263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13.75749979993137</v>
      </c>
      <c r="E121" s="15">
        <f t="shared" si="48"/>
        <v>0.65</v>
      </c>
      <c r="F121" s="250">
        <v>10</v>
      </c>
      <c r="G121" s="36">
        <v>12</v>
      </c>
      <c r="H121" s="253">
        <f t="shared" si="46"/>
        <v>5.4960501242760369</v>
      </c>
      <c r="I121" s="13">
        <f t="shared" si="50"/>
        <v>0.44970296667421383</v>
      </c>
      <c r="Z121" s="12"/>
      <c r="AA121" s="263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13.75749979993137</v>
      </c>
      <c r="E122" s="15">
        <f t="shared" si="48"/>
        <v>0.62</v>
      </c>
      <c r="F122" s="54"/>
      <c r="G122" s="3">
        <v>14</v>
      </c>
      <c r="H122" s="252">
        <f t="shared" si="46"/>
        <v>5.0803601337786164</v>
      </c>
      <c r="I122" s="13">
        <f t="shared" si="50"/>
        <v>0.4156899904974205</v>
      </c>
      <c r="Z122" s="12"/>
      <c r="AA122" s="263"/>
    </row>
    <row r="123" spans="1:27" s="3" customFormat="1" ht="17.25" hidden="1" customHeight="1" x14ac:dyDescent="0.15">
      <c r="C123" s="3">
        <v>37</v>
      </c>
      <c r="D123" s="35">
        <f t="shared" si="49"/>
        <v>13.75749979993137</v>
      </c>
      <c r="E123" s="15">
        <f t="shared" si="48"/>
        <v>0.37</v>
      </c>
      <c r="F123" s="54"/>
      <c r="G123" s="3">
        <v>15</v>
      </c>
      <c r="H123" s="252">
        <f t="shared" si="46"/>
        <v>2.6379078520652781</v>
      </c>
      <c r="I123" s="13">
        <f t="shared" si="50"/>
        <v>2.4424522817133383</v>
      </c>
      <c r="Z123" s="12"/>
      <c r="AA123" s="263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13.75749979993137</v>
      </c>
      <c r="E124" s="15">
        <f t="shared" si="48"/>
        <v>0.63</v>
      </c>
      <c r="F124" s="250">
        <v>15</v>
      </c>
      <c r="G124" s="36">
        <v>16</v>
      </c>
      <c r="H124" s="253">
        <f t="shared" si="46"/>
        <v>5.2153071947377967</v>
      </c>
      <c r="I124" s="13">
        <f t="shared" si="50"/>
        <v>-2.5773993426725186</v>
      </c>
      <c r="Z124" s="12"/>
      <c r="AA124" s="263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13.75749979993137</v>
      </c>
      <c r="E125" s="15">
        <f t="shared" si="48"/>
        <v>0.6</v>
      </c>
      <c r="F125" s="54"/>
      <c r="G125" s="3">
        <v>18</v>
      </c>
      <c r="H125" s="252">
        <f t="shared" si="46"/>
        <v>4.8208510036186789</v>
      </c>
      <c r="I125" s="13">
        <f t="shared" si="50"/>
        <v>0.39445619111911778</v>
      </c>
      <c r="Z125" s="12"/>
      <c r="AA125" s="263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13.75749979993137</v>
      </c>
      <c r="E126" s="15">
        <f t="shared" si="48"/>
        <v>0.56999999999999995</v>
      </c>
      <c r="F126" s="250">
        <v>20</v>
      </c>
      <c r="G126" s="36">
        <v>20</v>
      </c>
      <c r="H126" s="253">
        <f t="shared" si="46"/>
        <v>4.4562292366096488</v>
      </c>
      <c r="I126" s="13">
        <f t="shared" si="50"/>
        <v>0.36462176700903015</v>
      </c>
      <c r="Z126" s="12"/>
      <c r="AA126" s="263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13.75749979993137</v>
      </c>
      <c r="E127" s="15">
        <f t="shared" si="48"/>
        <v>0.54</v>
      </c>
      <c r="F127" s="250">
        <v>25</v>
      </c>
      <c r="G127" s="36">
        <v>25</v>
      </c>
      <c r="H127" s="253">
        <f t="shared" si="46"/>
        <v>4.1191853874572377</v>
      </c>
      <c r="I127" s="13">
        <f t="shared" si="50"/>
        <v>0.33704384915241103</v>
      </c>
      <c r="Z127" s="12"/>
      <c r="AA127" s="263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13.75749979993137</v>
      </c>
      <c r="E128" s="15">
        <f t="shared" si="48"/>
        <v>0.51</v>
      </c>
      <c r="F128" s="250">
        <v>30</v>
      </c>
      <c r="G128" s="36">
        <v>30</v>
      </c>
      <c r="H128" s="253">
        <f t="shared" si="46"/>
        <v>3.8076336192144464</v>
      </c>
      <c r="I128" s="13">
        <f t="shared" si="50"/>
        <v>0.31155176824279129</v>
      </c>
      <c r="Z128" s="12"/>
      <c r="AA128" s="263"/>
    </row>
    <row r="129" spans="1:27" s="3" customFormat="1" ht="17.25" customHeight="1" x14ac:dyDescent="0.15">
      <c r="C129" s="3">
        <v>50</v>
      </c>
      <c r="D129" s="35">
        <f t="shared" si="49"/>
        <v>13.75749979993137</v>
      </c>
      <c r="E129" s="15">
        <f t="shared" si="48"/>
        <v>0.5</v>
      </c>
      <c r="F129" s="250">
        <v>35</v>
      </c>
      <c r="G129" s="36">
        <v>35</v>
      </c>
      <c r="H129" s="253">
        <f t="shared" si="46"/>
        <v>3.7091103785047124</v>
      </c>
      <c r="I129" s="13">
        <f t="shared" si="50"/>
        <v>9.8523240709734061E-2</v>
      </c>
      <c r="Z129" s="12"/>
      <c r="AA129" s="263"/>
    </row>
    <row r="130" spans="1:27" s="3" customFormat="1" ht="17.25" customHeight="1" x14ac:dyDescent="0.15">
      <c r="C130" s="3">
        <v>49</v>
      </c>
      <c r="D130" s="35">
        <f t="shared" si="49"/>
        <v>13.75749979993137</v>
      </c>
      <c r="E130" s="15">
        <f t="shared" si="48"/>
        <v>0.49</v>
      </c>
      <c r="F130" s="250">
        <v>40</v>
      </c>
      <c r="G130" s="36">
        <v>40</v>
      </c>
      <c r="H130" s="253">
        <f t="shared" si="46"/>
        <v>3.6131364452995047</v>
      </c>
      <c r="I130" s="13">
        <f t="shared" si="50"/>
        <v>9.597393320520764E-2</v>
      </c>
      <c r="Z130" s="12"/>
      <c r="AA130" s="263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13.75749979993137</v>
      </c>
      <c r="E131" s="15">
        <f t="shared" si="48"/>
        <v>0.48</v>
      </c>
      <c r="F131" s="250">
        <v>45</v>
      </c>
      <c r="G131" s="36">
        <v>45</v>
      </c>
      <c r="H131" s="253">
        <f t="shared" si="46"/>
        <v>3.5196458557845403</v>
      </c>
      <c r="I131" s="13">
        <f t="shared" si="50"/>
        <v>9.3490589514964473E-2</v>
      </c>
      <c r="Z131" s="12"/>
      <c r="AA131" s="263"/>
    </row>
    <row r="132" spans="1:27" s="3" customFormat="1" ht="17.25" customHeight="1" x14ac:dyDescent="0.15">
      <c r="C132" s="3">
        <v>47</v>
      </c>
      <c r="D132" s="35">
        <f t="shared" si="49"/>
        <v>13.75749979993137</v>
      </c>
      <c r="E132" s="15">
        <f t="shared" si="48"/>
        <v>0.47</v>
      </c>
      <c r="F132" s="250">
        <v>50</v>
      </c>
      <c r="G132" s="36">
        <v>50</v>
      </c>
      <c r="H132" s="253">
        <f t="shared" si="46"/>
        <v>3.428574352971721</v>
      </c>
      <c r="I132" s="13">
        <f t="shared" si="50"/>
        <v>9.1071502812819283E-2</v>
      </c>
      <c r="Z132" s="12"/>
      <c r="AA132" s="263"/>
    </row>
    <row r="133" spans="1:27" s="3" customFormat="1" ht="17.25" customHeight="1" x14ac:dyDescent="0.15">
      <c r="C133" s="3">
        <v>46</v>
      </c>
      <c r="D133" s="35">
        <f t="shared" si="49"/>
        <v>13.75749979993137</v>
      </c>
      <c r="E133" s="15">
        <f t="shared" si="48"/>
        <v>0.46</v>
      </c>
      <c r="F133" s="250">
        <v>55</v>
      </c>
      <c r="G133" s="36">
        <v>55</v>
      </c>
      <c r="H133" s="253">
        <f t="shared" si="46"/>
        <v>3.3398593425346759</v>
      </c>
      <c r="I133" s="13">
        <f t="shared" si="50"/>
        <v>8.8715010437045105E-2</v>
      </c>
      <c r="Z133" s="12"/>
      <c r="AA133" s="263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13.75749979993137</v>
      </c>
      <c r="E134" s="15">
        <f t="shared" si="48"/>
        <v>0.45</v>
      </c>
      <c r="F134" s="250">
        <v>60</v>
      </c>
      <c r="G134" s="36">
        <v>60</v>
      </c>
      <c r="H134" s="253">
        <f t="shared" si="46"/>
        <v>3.2534398497870827</v>
      </c>
      <c r="I134" s="13">
        <f t="shared" si="50"/>
        <v>8.6419492747593196E-2</v>
      </c>
      <c r="Z134" s="12"/>
      <c r="AA134" s="263"/>
    </row>
    <row r="135" spans="1:27" s="3" customFormat="1" ht="17.25" customHeight="1" x14ac:dyDescent="0.15">
      <c r="C135" s="3">
        <v>44</v>
      </c>
      <c r="D135" s="35">
        <f t="shared" si="49"/>
        <v>13.75749979993137</v>
      </c>
      <c r="E135" s="15">
        <f t="shared" si="48"/>
        <v>0.44</v>
      </c>
      <c r="F135" s="250">
        <v>75</v>
      </c>
      <c r="G135" s="36">
        <v>75</v>
      </c>
      <c r="H135" s="253">
        <f t="shared" si="46"/>
        <v>3.1692564777741672</v>
      </c>
      <c r="I135" s="13">
        <f t="shared" si="50"/>
        <v>8.4183372012915481E-2</v>
      </c>
      <c r="Z135" s="12"/>
      <c r="AA135" s="263"/>
    </row>
    <row r="136" spans="1:27" s="3" customFormat="1" ht="17.25" customHeight="1" x14ac:dyDescent="0.15">
      <c r="C136" s="3">
        <v>43</v>
      </c>
      <c r="D136" s="35">
        <f t="shared" si="49"/>
        <v>13.75749979993137</v>
      </c>
      <c r="E136" s="15">
        <f t="shared" si="48"/>
        <v>0.43</v>
      </c>
      <c r="F136" s="250">
        <v>90</v>
      </c>
      <c r="G136" s="36">
        <v>90</v>
      </c>
      <c r="H136" s="253">
        <f t="shared" si="46"/>
        <v>3.0872513664486068</v>
      </c>
      <c r="I136" s="13">
        <f t="shared" si="50"/>
        <v>8.2005111325560431E-2</v>
      </c>
      <c r="Z136" s="12"/>
      <c r="AA136" s="263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13.75749979993137</v>
      </c>
      <c r="E137" s="15">
        <f t="shared" si="48"/>
        <v>0.42</v>
      </c>
      <c r="F137" s="250">
        <v>105</v>
      </c>
      <c r="G137" s="36">
        <v>105</v>
      </c>
      <c r="H137" s="253">
        <f t="shared" si="46"/>
        <v>3.0073681529027554</v>
      </c>
      <c r="I137" s="13">
        <f t="shared" si="50"/>
        <v>7.9883213545851373E-2</v>
      </c>
      <c r="Z137" s="12"/>
      <c r="AA137" s="263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13.75749979993137</v>
      </c>
      <c r="E138" s="15">
        <f t="shared" si="48"/>
        <v>0.39</v>
      </c>
      <c r="F138" s="250">
        <v>120</v>
      </c>
      <c r="G138" s="36">
        <v>120</v>
      </c>
      <c r="H138" s="253">
        <f t="shared" si="46"/>
        <v>2.7799079204386161</v>
      </c>
      <c r="I138" s="13">
        <f t="shared" si="50"/>
        <v>0.22746023246413927</v>
      </c>
      <c r="Z138" s="12"/>
      <c r="AA138" s="263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13.75749979993137</v>
      </c>
      <c r="E139" s="15">
        <f t="shared" si="48"/>
        <v>0.36</v>
      </c>
      <c r="F139" s="54"/>
      <c r="G139" s="3">
        <v>150</v>
      </c>
      <c r="H139" s="252">
        <f t="shared" si="46"/>
        <v>2.5696514870180698</v>
      </c>
      <c r="I139" s="13">
        <f t="shared" si="50"/>
        <v>0.21025643342054634</v>
      </c>
      <c r="Z139" s="12"/>
      <c r="AA139" s="263"/>
    </row>
    <row r="140" spans="1:27" s="3" customFormat="1" ht="17.25" customHeight="1" x14ac:dyDescent="0.15">
      <c r="C140" s="3">
        <v>38</v>
      </c>
      <c r="D140" s="35">
        <f t="shared" si="49"/>
        <v>13.75749979993137</v>
      </c>
      <c r="E140" s="15">
        <f t="shared" si="48"/>
        <v>0.38</v>
      </c>
      <c r="F140" s="250">
        <v>180</v>
      </c>
      <c r="G140" s="36">
        <v>180</v>
      </c>
      <c r="H140" s="253">
        <f t="shared" si="46"/>
        <v>2.7079772767406087</v>
      </c>
      <c r="I140" s="13">
        <f t="shared" si="50"/>
        <v>-0.13832578972253895</v>
      </c>
      <c r="Z140" s="12"/>
      <c r="AA140" s="263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13.75749979993137</v>
      </c>
      <c r="E141" s="15">
        <f t="shared" si="48"/>
        <v>0.35</v>
      </c>
      <c r="F141" s="54"/>
      <c r="G141" s="3">
        <v>210</v>
      </c>
      <c r="H141" s="252">
        <f t="shared" si="46"/>
        <v>2.5031612683378812</v>
      </c>
      <c r="I141" s="13">
        <f t="shared" si="50"/>
        <v>0.20481600840272751</v>
      </c>
      <c r="Z141" s="12"/>
      <c r="AA141" s="263"/>
    </row>
    <row r="142" spans="1:27" s="3" customFormat="1" ht="17.25" customHeight="1" x14ac:dyDescent="0.15">
      <c r="C142" s="3">
        <f t="shared" si="52"/>
        <v>32</v>
      </c>
      <c r="D142" s="35">
        <f t="shared" si="49"/>
        <v>13.75749979993137</v>
      </c>
      <c r="E142" s="15">
        <f>C142/100</f>
        <v>0.32</v>
      </c>
      <c r="F142" s="250">
        <v>240</v>
      </c>
      <c r="G142" s="36">
        <v>240</v>
      </c>
      <c r="H142" s="253">
        <f t="shared" si="46"/>
        <v>2.3138363785860894</v>
      </c>
      <c r="I142" s="13">
        <f t="shared" si="50"/>
        <v>0.18932488975179185</v>
      </c>
      <c r="Z142" s="12"/>
      <c r="AA142" s="263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13.75749979993137</v>
      </c>
      <c r="E143" s="15">
        <f>C143/100</f>
        <v>0.28999999999999998</v>
      </c>
      <c r="F143" s="54"/>
      <c r="G143" s="3">
        <v>270</v>
      </c>
      <c r="H143" s="252">
        <f t="shared" si="46"/>
        <v>2.1388309473258107</v>
      </c>
      <c r="I143" s="13">
        <f t="shared" si="50"/>
        <v>0.17500543126027868</v>
      </c>
      <c r="Z143" s="12"/>
      <c r="AA143" s="263"/>
    </row>
    <row r="144" spans="1:27" s="3" customFormat="1" ht="17.25" customHeight="1" x14ac:dyDescent="0.15">
      <c r="C144" s="3">
        <f t="shared" si="52"/>
        <v>26</v>
      </c>
      <c r="D144" s="35">
        <f t="shared" si="49"/>
        <v>13.75749979993137</v>
      </c>
      <c r="E144" s="15">
        <f>C144/100</f>
        <v>0.26</v>
      </c>
      <c r="F144" s="250">
        <v>300</v>
      </c>
      <c r="G144" s="36">
        <v>300</v>
      </c>
      <c r="H144" s="253">
        <f t="shared" si="46"/>
        <v>1.977061932112077</v>
      </c>
      <c r="I144" s="13">
        <f t="shared" si="50"/>
        <v>0.16176901521373366</v>
      </c>
      <c r="Z144" s="12"/>
      <c r="AA144" s="263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13.75749979993137</v>
      </c>
      <c r="E145" s="15">
        <f>C145/100</f>
        <v>0.23</v>
      </c>
      <c r="F145" s="54"/>
      <c r="G145" s="3">
        <v>330</v>
      </c>
      <c r="H145" s="252">
        <f t="shared" si="46"/>
        <v>1.8275282056741766</v>
      </c>
      <c r="I145" s="13">
        <f t="shared" si="50"/>
        <v>0.14953372643790042</v>
      </c>
      <c r="Z145" s="12"/>
      <c r="AA145" s="263"/>
    </row>
    <row r="146" spans="3:27" s="3" customFormat="1" ht="17.25" customHeight="1" x14ac:dyDescent="0.15">
      <c r="C146" s="3">
        <f t="shared" si="52"/>
        <v>20</v>
      </c>
      <c r="D146" s="35">
        <f t="shared" si="49"/>
        <v>13.75749979993137</v>
      </c>
      <c r="E146" s="15">
        <f>C146/100</f>
        <v>0.2</v>
      </c>
      <c r="F146" s="250">
        <v>360</v>
      </c>
      <c r="G146" s="36">
        <v>360</v>
      </c>
      <c r="H146" s="253">
        <f t="shared" si="46"/>
        <v>1.6893043603175018</v>
      </c>
      <c r="I146" s="13">
        <f t="shared" si="50"/>
        <v>0.13822384535667487</v>
      </c>
      <c r="Z146" s="12"/>
      <c r="AA146" s="263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 x14ac:dyDescent="0.15">
      <c r="AA228" s="263"/>
    </row>
    <row r="229" spans="3:27" s="3" customFormat="1" ht="17.25" customHeight="1" x14ac:dyDescent="0.15">
      <c r="AA229" s="263"/>
    </row>
    <row r="230" spans="3:27" s="3" customFormat="1" ht="17.25" customHeight="1" x14ac:dyDescent="0.15">
      <c r="AA230" s="263"/>
    </row>
    <row r="231" spans="3:27" s="3" customFormat="1" ht="17.25" customHeight="1" x14ac:dyDescent="0.15">
      <c r="AA231" s="263"/>
    </row>
    <row r="232" spans="3:27" s="3" customFormat="1" ht="17.25" customHeight="1" x14ac:dyDescent="0.15">
      <c r="AA232" s="263"/>
    </row>
    <row r="233" spans="3:27" s="3" customFormat="1" ht="17.25" customHeight="1" x14ac:dyDescent="0.15">
      <c r="AA233" s="263"/>
    </row>
    <row r="234" spans="3:27" s="3" customFormat="1" ht="17.25" customHeight="1" x14ac:dyDescent="0.15">
      <c r="AA234" s="263"/>
    </row>
    <row r="235" spans="3:27" s="3" customFormat="1" ht="17.25" customHeight="1" x14ac:dyDescent="0.15">
      <c r="AA235" s="263"/>
    </row>
    <row r="236" spans="3:27" s="3" customFormat="1" ht="17.25" customHeight="1" x14ac:dyDescent="0.15">
      <c r="AA236" s="263"/>
    </row>
    <row r="237" spans="3:27" s="3" customFormat="1" ht="17.25" customHeight="1" x14ac:dyDescent="0.15">
      <c r="AA237" s="263"/>
    </row>
    <row r="238" spans="3:27" s="3" customFormat="1" ht="17.25" customHeight="1" x14ac:dyDescent="0.15">
      <c r="AA238" s="263"/>
    </row>
    <row r="239" spans="3:27" s="3" customFormat="1" ht="17.25" customHeight="1" x14ac:dyDescent="0.15">
      <c r="AA239" s="263"/>
    </row>
    <row r="240" spans="3:27" s="3" customFormat="1" ht="17.25" customHeight="1" x14ac:dyDescent="0.15">
      <c r="AA240" s="263"/>
    </row>
    <row r="241" spans="27:27" s="3" customFormat="1" ht="17.25" customHeight="1" x14ac:dyDescent="0.15">
      <c r="AA241" s="263"/>
    </row>
    <row r="242" spans="27:27" s="3" customFormat="1" ht="17.25" customHeight="1" x14ac:dyDescent="0.15">
      <c r="AA242" s="263"/>
    </row>
    <row r="243" spans="27:27" s="3" customFormat="1" ht="17.25" customHeight="1" x14ac:dyDescent="0.15">
      <c r="AA243" s="263"/>
    </row>
    <row r="244" spans="27:27" s="3" customFormat="1" ht="17.25" customHeight="1" x14ac:dyDescent="0.15">
      <c r="AA244" s="263"/>
    </row>
    <row r="245" spans="27:27" s="3" customFormat="1" ht="17.25" customHeight="1" x14ac:dyDescent="0.15">
      <c r="AA245" s="263"/>
    </row>
    <row r="246" spans="27:27" s="3" customFormat="1" ht="17.25" customHeight="1" x14ac:dyDescent="0.15">
      <c r="AA246" s="263"/>
    </row>
    <row r="247" spans="27:27" s="3" customFormat="1" ht="17.25" customHeight="1" x14ac:dyDescent="0.15">
      <c r="AA247" s="263"/>
    </row>
    <row r="248" spans="27:27" s="3" customFormat="1" ht="17.25" customHeight="1" x14ac:dyDescent="0.15">
      <c r="AA248" s="263"/>
    </row>
    <row r="249" spans="27:27" s="3" customFormat="1" ht="17.25" customHeight="1" x14ac:dyDescent="0.15">
      <c r="AA249" s="263"/>
    </row>
    <row r="250" spans="27:27" s="3" customFormat="1" ht="17.25" customHeight="1" x14ac:dyDescent="0.15">
      <c r="AA250" s="263"/>
    </row>
    <row r="251" spans="27:27" s="3" customFormat="1" ht="17.25" customHeight="1" x14ac:dyDescent="0.15">
      <c r="AA251" s="263"/>
    </row>
    <row r="252" spans="27:27" s="3" customFormat="1" ht="17.25" customHeight="1" x14ac:dyDescent="0.15">
      <c r="AA252" s="263"/>
    </row>
    <row r="253" spans="27:27" s="3" customFormat="1" ht="17.25" customHeight="1" x14ac:dyDescent="0.15">
      <c r="AA253" s="263"/>
    </row>
    <row r="254" spans="27:27" s="3" customFormat="1" ht="17.25" customHeight="1" x14ac:dyDescent="0.15">
      <c r="AA254" s="263"/>
    </row>
    <row r="255" spans="27:27" s="3" customFormat="1" ht="17.25" customHeight="1" x14ac:dyDescent="0.15">
      <c r="AA255" s="263"/>
    </row>
    <row r="256" spans="27:27" s="3" customFormat="1" ht="17.25" customHeight="1" x14ac:dyDescent="0.15">
      <c r="AA256" s="263"/>
    </row>
    <row r="257" spans="27:27" s="3" customFormat="1" ht="17.25" customHeight="1" x14ac:dyDescent="0.15">
      <c r="AA257" s="263"/>
    </row>
    <row r="258" spans="27:27" s="3" customFormat="1" ht="17.25" customHeight="1" x14ac:dyDescent="0.15">
      <c r="AA258" s="263"/>
    </row>
    <row r="259" spans="27:27" s="3" customFormat="1" ht="17.25" customHeight="1" x14ac:dyDescent="0.15">
      <c r="AA259" s="263"/>
    </row>
    <row r="260" spans="27:27" s="3" customFormat="1" ht="17.25" customHeight="1" x14ac:dyDescent="0.15">
      <c r="AA260" s="263"/>
    </row>
    <row r="261" spans="27:27" s="3" customFormat="1" ht="17.25" customHeight="1" x14ac:dyDescent="0.15">
      <c r="AA261" s="263"/>
    </row>
    <row r="262" spans="27:27" s="3" customFormat="1" ht="17.25" customHeight="1" x14ac:dyDescent="0.15">
      <c r="AA262" s="263"/>
    </row>
    <row r="263" spans="27:27" s="3" customFormat="1" ht="17.25" customHeight="1" x14ac:dyDescent="0.15">
      <c r="AA263" s="263"/>
    </row>
    <row r="264" spans="27:27" s="3" customFormat="1" ht="17.25" customHeight="1" x14ac:dyDescent="0.15">
      <c r="AA264" s="263"/>
    </row>
    <row r="265" spans="27:27" s="3" customFormat="1" ht="17.25" customHeight="1" x14ac:dyDescent="0.15">
      <c r="AA265" s="263"/>
    </row>
    <row r="266" spans="27:27" s="3" customFormat="1" ht="17.25" customHeight="1" x14ac:dyDescent="0.15">
      <c r="AA266" s="263"/>
    </row>
    <row r="267" spans="27:27" s="3" customFormat="1" ht="17.25" customHeight="1" x14ac:dyDescent="0.15">
      <c r="AA267" s="263"/>
    </row>
    <row r="268" spans="27:27" s="3" customFormat="1" ht="17.25" customHeight="1" x14ac:dyDescent="0.15">
      <c r="AA268" s="263"/>
    </row>
    <row r="269" spans="27:27" s="3" customFormat="1" ht="17.25" customHeight="1" x14ac:dyDescent="0.15">
      <c r="AA269" s="263"/>
    </row>
    <row r="270" spans="27:27" s="3" customFormat="1" ht="17.25" customHeight="1" x14ac:dyDescent="0.15">
      <c r="AA270" s="263"/>
    </row>
    <row r="271" spans="27:27" s="3" customFormat="1" ht="17.25" customHeight="1" x14ac:dyDescent="0.15">
      <c r="AA271" s="263"/>
    </row>
    <row r="272" spans="27:27" s="3" customFormat="1" ht="17.25" customHeight="1" x14ac:dyDescent="0.15">
      <c r="AA272" s="263"/>
    </row>
    <row r="273" spans="27:27" s="3" customFormat="1" ht="17.25" customHeight="1" x14ac:dyDescent="0.15">
      <c r="AA273" s="263"/>
    </row>
    <row r="274" spans="27:27" s="3" customFormat="1" ht="17.25" customHeight="1" x14ac:dyDescent="0.15">
      <c r="AA274" s="263"/>
    </row>
    <row r="275" spans="27:27" s="3" customFormat="1" ht="17.25" customHeight="1" x14ac:dyDescent="0.15">
      <c r="AA275" s="263"/>
    </row>
    <row r="276" spans="27:27" s="3" customFormat="1" ht="17.25" customHeight="1" x14ac:dyDescent="0.15">
      <c r="AA276" s="263"/>
    </row>
    <row r="277" spans="27:27" s="3" customFormat="1" ht="17.25" customHeight="1" x14ac:dyDescent="0.15">
      <c r="AA277" s="263"/>
    </row>
    <row r="278" spans="27:27" s="3" customFormat="1" ht="17.25" customHeight="1" x14ac:dyDescent="0.15">
      <c r="AA278" s="263"/>
    </row>
    <row r="279" spans="27:27" s="3" customFormat="1" ht="17.25" customHeight="1" x14ac:dyDescent="0.15">
      <c r="AA279" s="263"/>
    </row>
    <row r="280" spans="27:27" s="3" customFormat="1" ht="17.25" customHeight="1" x14ac:dyDescent="0.15">
      <c r="AA280" s="263"/>
    </row>
    <row r="281" spans="27:27" s="3" customFormat="1" ht="17.25" customHeight="1" x14ac:dyDescent="0.15">
      <c r="AA281" s="263"/>
    </row>
    <row r="282" spans="27:27" s="3" customFormat="1" ht="17.25" customHeight="1" x14ac:dyDescent="0.15">
      <c r="AA282" s="263"/>
    </row>
    <row r="283" spans="27:27" s="3" customFormat="1" ht="17.25" customHeight="1" x14ac:dyDescent="0.15">
      <c r="AA283" s="263"/>
    </row>
    <row r="284" spans="27:27" s="3" customFormat="1" ht="17.25" customHeight="1" x14ac:dyDescent="0.15">
      <c r="AA284" s="263"/>
    </row>
    <row r="285" spans="27:27" s="3" customFormat="1" ht="17.25" customHeight="1" x14ac:dyDescent="0.15">
      <c r="AA285" s="263"/>
    </row>
    <row r="286" spans="27:27" s="3" customFormat="1" ht="17.25" customHeight="1" x14ac:dyDescent="0.15">
      <c r="AA286" s="263"/>
    </row>
    <row r="287" spans="27:27" s="3" customFormat="1" ht="17.25" customHeight="1" x14ac:dyDescent="0.15">
      <c r="AA287" s="263"/>
    </row>
    <row r="288" spans="27:27" s="3" customFormat="1" ht="17.25" customHeight="1" x14ac:dyDescent="0.15">
      <c r="AA288" s="263"/>
    </row>
    <row r="289" spans="27:27" s="3" customFormat="1" ht="17.25" customHeight="1" x14ac:dyDescent="0.15">
      <c r="AA289" s="263"/>
    </row>
    <row r="290" spans="27:27" s="3" customFormat="1" ht="17.25" customHeight="1" x14ac:dyDescent="0.15">
      <c r="AA290" s="263"/>
    </row>
    <row r="291" spans="27:27" s="3" customFormat="1" ht="17.25" customHeight="1" x14ac:dyDescent="0.15">
      <c r="AA291" s="263"/>
    </row>
    <row r="292" spans="27:27" s="3" customFormat="1" ht="17.25" customHeight="1" x14ac:dyDescent="0.15">
      <c r="AA292" s="263"/>
    </row>
    <row r="293" spans="27:27" s="3" customFormat="1" ht="17.25" customHeight="1" x14ac:dyDescent="0.15">
      <c r="AA293" s="263"/>
    </row>
    <row r="294" spans="27:27" s="3" customFormat="1" ht="17.25" customHeight="1" x14ac:dyDescent="0.15">
      <c r="AA294" s="263"/>
    </row>
    <row r="295" spans="27:27" s="3" customFormat="1" ht="17.25" customHeight="1" x14ac:dyDescent="0.15">
      <c r="AA295" s="263"/>
    </row>
    <row r="296" spans="27:27" s="3" customFormat="1" ht="17.25" customHeight="1" x14ac:dyDescent="0.15">
      <c r="AA296" s="263"/>
    </row>
    <row r="297" spans="27:27" s="3" customFormat="1" ht="17.25" customHeight="1" x14ac:dyDescent="0.15">
      <c r="AA297" s="263"/>
    </row>
    <row r="298" spans="27:27" s="3" customFormat="1" ht="17.25" customHeight="1" x14ac:dyDescent="0.15">
      <c r="AA298" s="263"/>
    </row>
    <row r="299" spans="27:27" s="3" customFormat="1" ht="17.25" customHeight="1" x14ac:dyDescent="0.15">
      <c r="AA299" s="263"/>
    </row>
    <row r="300" spans="27:27" s="3" customFormat="1" ht="17.25" customHeight="1" x14ac:dyDescent="0.15">
      <c r="AA300" s="263"/>
    </row>
    <row r="301" spans="27:27" s="3" customFormat="1" ht="17.25" customHeight="1" x14ac:dyDescent="0.15">
      <c r="AA301" s="263"/>
    </row>
    <row r="302" spans="27:27" s="3" customFormat="1" ht="17.25" customHeight="1" x14ac:dyDescent="0.15">
      <c r="AA302" s="263"/>
    </row>
    <row r="303" spans="27:27" s="3" customFormat="1" ht="17.25" customHeight="1" x14ac:dyDescent="0.15">
      <c r="AA303" s="263"/>
    </row>
    <row r="304" spans="27:27" s="3" customFormat="1" ht="17.25" customHeight="1" x14ac:dyDescent="0.15">
      <c r="AA304" s="263"/>
    </row>
    <row r="305" spans="27:27" s="3" customFormat="1" ht="17.25" customHeight="1" x14ac:dyDescent="0.15">
      <c r="AA305" s="263"/>
    </row>
    <row r="306" spans="27:27" s="3" customFormat="1" ht="17.25" customHeight="1" x14ac:dyDescent="0.15">
      <c r="AA306" s="263"/>
    </row>
    <row r="307" spans="27:27" s="3" customFormat="1" ht="17.25" customHeight="1" x14ac:dyDescent="0.15">
      <c r="AA307" s="263"/>
    </row>
    <row r="308" spans="27:27" s="3" customFormat="1" ht="17.25" customHeight="1" x14ac:dyDescent="0.15">
      <c r="AA308" s="263"/>
    </row>
    <row r="309" spans="27:27" s="3" customFormat="1" ht="17.25" customHeight="1" x14ac:dyDescent="0.15">
      <c r="AA309" s="263"/>
    </row>
    <row r="310" spans="27:27" s="3" customFormat="1" ht="17.25" customHeight="1" x14ac:dyDescent="0.15">
      <c r="AA310" s="263"/>
    </row>
    <row r="311" spans="27:27" s="3" customFormat="1" ht="17.25" customHeight="1" x14ac:dyDescent="0.15">
      <c r="AA311" s="263"/>
    </row>
    <row r="312" spans="27:27" s="3" customFormat="1" ht="17.25" customHeight="1" x14ac:dyDescent="0.15">
      <c r="AA312" s="263"/>
    </row>
    <row r="313" spans="27:27" s="3" customFormat="1" ht="17.25" customHeight="1" x14ac:dyDescent="0.15">
      <c r="AA313" s="263"/>
    </row>
    <row r="314" spans="27:27" s="3" customFormat="1" ht="17.25" customHeight="1" x14ac:dyDescent="0.15">
      <c r="AA314" s="263"/>
    </row>
    <row r="315" spans="27:27" s="3" customFormat="1" ht="17.25" customHeight="1" x14ac:dyDescent="0.15">
      <c r="AA315" s="263"/>
    </row>
    <row r="316" spans="27:27" s="3" customFormat="1" ht="17.25" customHeight="1" x14ac:dyDescent="0.15">
      <c r="AA316" s="263"/>
    </row>
    <row r="317" spans="27:27" s="3" customFormat="1" ht="17.25" customHeight="1" x14ac:dyDescent="0.15">
      <c r="AA317" s="263"/>
    </row>
    <row r="318" spans="27:27" s="3" customFormat="1" ht="17.25" customHeight="1" x14ac:dyDescent="0.15">
      <c r="AA318" s="263"/>
    </row>
    <row r="319" spans="27:27" s="3" customFormat="1" ht="17.25" customHeight="1" x14ac:dyDescent="0.15">
      <c r="AA319" s="263"/>
    </row>
    <row r="320" spans="27:27" s="3" customFormat="1" ht="17.25" customHeight="1" x14ac:dyDescent="0.15">
      <c r="AA320" s="263"/>
    </row>
    <row r="321" spans="27:27" s="3" customFormat="1" ht="17.25" customHeight="1" x14ac:dyDescent="0.15">
      <c r="AA321" s="263"/>
    </row>
    <row r="322" spans="27:27" s="3" customFormat="1" ht="17.25" customHeight="1" x14ac:dyDescent="0.15">
      <c r="AA322" s="263"/>
    </row>
    <row r="323" spans="27:27" s="3" customFormat="1" ht="17.25" customHeight="1" x14ac:dyDescent="0.15">
      <c r="AA323" s="263"/>
    </row>
    <row r="324" spans="27:27" s="3" customFormat="1" ht="17.25" customHeight="1" x14ac:dyDescent="0.15">
      <c r="AA324" s="263"/>
    </row>
    <row r="325" spans="27:27" s="3" customFormat="1" ht="17.25" customHeight="1" x14ac:dyDescent="0.15">
      <c r="AA325" s="263"/>
    </row>
    <row r="326" spans="27:27" s="3" customFormat="1" ht="17.25" customHeight="1" x14ac:dyDescent="0.15">
      <c r="AA326" s="263"/>
    </row>
    <row r="327" spans="27:27" s="3" customFormat="1" ht="17.25" customHeight="1" x14ac:dyDescent="0.15">
      <c r="AA327" s="263"/>
    </row>
    <row r="328" spans="27:27" s="3" customFormat="1" ht="17.25" customHeight="1" x14ac:dyDescent="0.15">
      <c r="AA328" s="263"/>
    </row>
    <row r="329" spans="27:27" s="3" customFormat="1" ht="17.25" customHeight="1" x14ac:dyDescent="0.15">
      <c r="AA329" s="263"/>
    </row>
    <row r="330" spans="27:27" s="3" customFormat="1" ht="17.25" customHeight="1" x14ac:dyDescent="0.15">
      <c r="AA330" s="263"/>
    </row>
    <row r="331" spans="27:27" s="3" customFormat="1" ht="17.25" customHeight="1" x14ac:dyDescent="0.15">
      <c r="AA331" s="263"/>
    </row>
    <row r="332" spans="27:27" s="3" customFormat="1" ht="17.25" customHeight="1" x14ac:dyDescent="0.15">
      <c r="AA332" s="263"/>
    </row>
    <row r="333" spans="27:27" s="3" customFormat="1" ht="17.25" customHeight="1" x14ac:dyDescent="0.15">
      <c r="AA333" s="263"/>
    </row>
    <row r="334" spans="27:27" s="3" customFormat="1" ht="17.25" customHeight="1" x14ac:dyDescent="0.15">
      <c r="AA334" s="263"/>
    </row>
    <row r="335" spans="27:27" s="3" customFormat="1" ht="17.25" customHeight="1" x14ac:dyDescent="0.15">
      <c r="AA335" s="263"/>
    </row>
    <row r="336" spans="27:27" s="3" customFormat="1" ht="17.25" customHeight="1" x14ac:dyDescent="0.15">
      <c r="AA336" s="263"/>
    </row>
    <row r="337" spans="27:27" s="3" customFormat="1" ht="17.25" customHeight="1" x14ac:dyDescent="0.15">
      <c r="AA337" s="263"/>
    </row>
    <row r="338" spans="27:27" s="3" customFormat="1" ht="17.25" customHeight="1" x14ac:dyDescent="0.15">
      <c r="AA338" s="263"/>
    </row>
    <row r="339" spans="27:27" s="3" customFormat="1" ht="17.25" customHeight="1" x14ac:dyDescent="0.15">
      <c r="AA339" s="263"/>
    </row>
    <row r="340" spans="27:27" s="3" customFormat="1" ht="17.25" customHeight="1" x14ac:dyDescent="0.15">
      <c r="AA340" s="263"/>
    </row>
    <row r="341" spans="27:27" s="3" customFormat="1" ht="17.25" customHeight="1" x14ac:dyDescent="0.15">
      <c r="AA341" s="263"/>
    </row>
    <row r="342" spans="27:27" s="3" customFormat="1" ht="17.25" customHeight="1" x14ac:dyDescent="0.15">
      <c r="AA342" s="263"/>
    </row>
    <row r="343" spans="27:27" s="3" customFormat="1" ht="17.25" customHeight="1" x14ac:dyDescent="0.15">
      <c r="AA343" s="263"/>
    </row>
    <row r="344" spans="27:27" s="3" customFormat="1" ht="17.25" customHeight="1" x14ac:dyDescent="0.15">
      <c r="AA344" s="263"/>
    </row>
    <row r="345" spans="27:27" s="3" customFormat="1" ht="17.25" customHeight="1" x14ac:dyDescent="0.15">
      <c r="AA345" s="263"/>
    </row>
    <row r="346" spans="27:27" s="3" customFormat="1" ht="17.25" customHeight="1" x14ac:dyDescent="0.15">
      <c r="AA346" s="263"/>
    </row>
    <row r="347" spans="27:27" s="3" customFormat="1" ht="17.25" customHeight="1" x14ac:dyDescent="0.15">
      <c r="AA347" s="263"/>
    </row>
    <row r="348" spans="27:27" s="3" customFormat="1" ht="17.25" customHeight="1" x14ac:dyDescent="0.15">
      <c r="AA348" s="263"/>
    </row>
    <row r="349" spans="27:27" s="3" customFormat="1" ht="17.25" customHeight="1" x14ac:dyDescent="0.15">
      <c r="AA349" s="263"/>
    </row>
    <row r="350" spans="27:27" s="3" customFormat="1" ht="17.25" customHeight="1" x14ac:dyDescent="0.15">
      <c r="AA350" s="263"/>
    </row>
    <row r="351" spans="27:27" s="3" customFormat="1" ht="17.25" customHeight="1" x14ac:dyDescent="0.15">
      <c r="AA351" s="263"/>
    </row>
    <row r="352" spans="27:27" s="3" customFormat="1" ht="17.25" customHeight="1" x14ac:dyDescent="0.15">
      <c r="AA352" s="263"/>
    </row>
    <row r="353" spans="27:27" s="3" customFormat="1" ht="17.25" customHeight="1" x14ac:dyDescent="0.15">
      <c r="AA353" s="263"/>
    </row>
    <row r="354" spans="27:27" s="3" customFormat="1" ht="17.25" customHeight="1" x14ac:dyDescent="0.15">
      <c r="AA354" s="263"/>
    </row>
    <row r="355" spans="27:27" s="3" customFormat="1" ht="17.25" customHeight="1" x14ac:dyDescent="0.15">
      <c r="AA355" s="263"/>
    </row>
    <row r="356" spans="27:27" s="3" customFormat="1" ht="17.25" customHeight="1" x14ac:dyDescent="0.15">
      <c r="AA356" s="263"/>
    </row>
    <row r="357" spans="27:27" s="3" customFormat="1" ht="17.25" customHeight="1" x14ac:dyDescent="0.15">
      <c r="AA357" s="263"/>
    </row>
    <row r="358" spans="27:27" s="3" customFormat="1" ht="17.25" customHeight="1" x14ac:dyDescent="0.15">
      <c r="AA358" s="263"/>
    </row>
    <row r="359" spans="27:27" s="3" customFormat="1" ht="17.25" customHeight="1" x14ac:dyDescent="0.15">
      <c r="AA359" s="263"/>
    </row>
    <row r="360" spans="27:27" s="3" customFormat="1" ht="17.25" customHeight="1" x14ac:dyDescent="0.15">
      <c r="AA360" s="263"/>
    </row>
    <row r="361" spans="27:27" s="3" customFormat="1" ht="17.25" customHeight="1" x14ac:dyDescent="0.15">
      <c r="AA361" s="263"/>
    </row>
    <row r="362" spans="27:27" s="3" customFormat="1" ht="17.25" customHeight="1" x14ac:dyDescent="0.15">
      <c r="AA362" s="263"/>
    </row>
    <row r="363" spans="27:27" s="3" customFormat="1" ht="17.25" customHeight="1" x14ac:dyDescent="0.15">
      <c r="AA363" s="263"/>
    </row>
    <row r="364" spans="27:27" s="3" customFormat="1" ht="17.25" customHeight="1" x14ac:dyDescent="0.15">
      <c r="AA364" s="263"/>
    </row>
    <row r="365" spans="27:27" s="3" customFormat="1" ht="17.25" customHeight="1" x14ac:dyDescent="0.15">
      <c r="AA365" s="263"/>
    </row>
    <row r="366" spans="27:27" s="3" customFormat="1" ht="17.25" customHeight="1" x14ac:dyDescent="0.15">
      <c r="AA366" s="263"/>
    </row>
    <row r="367" spans="27:27" s="3" customFormat="1" ht="17.25" customHeight="1" x14ac:dyDescent="0.15">
      <c r="AA367" s="263"/>
    </row>
    <row r="368" spans="27:27" s="3" customFormat="1" ht="17.25" customHeight="1" x14ac:dyDescent="0.15">
      <c r="AA368" s="263"/>
    </row>
    <row r="369" spans="27:27" s="3" customFormat="1" ht="17.25" customHeight="1" x14ac:dyDescent="0.15">
      <c r="AA369" s="263"/>
    </row>
    <row r="370" spans="27:27" s="3" customFormat="1" ht="17.25" customHeight="1" x14ac:dyDescent="0.15">
      <c r="AA370" s="263"/>
    </row>
    <row r="371" spans="27:27" s="3" customFormat="1" ht="17.25" customHeight="1" x14ac:dyDescent="0.15">
      <c r="AA371" s="263"/>
    </row>
    <row r="372" spans="27:27" s="3" customFormat="1" ht="17.25" customHeight="1" x14ac:dyDescent="0.15">
      <c r="AA372" s="263"/>
    </row>
    <row r="373" spans="27:27" s="3" customFormat="1" ht="17.25" customHeight="1" x14ac:dyDescent="0.15">
      <c r="AA373" s="263"/>
    </row>
    <row r="374" spans="27:27" s="3" customFormat="1" ht="17.25" customHeight="1" x14ac:dyDescent="0.15">
      <c r="AA374" s="263"/>
    </row>
    <row r="375" spans="27:27" s="3" customFormat="1" ht="17.25" customHeight="1" x14ac:dyDescent="0.15">
      <c r="AA375" s="263"/>
    </row>
    <row r="376" spans="27:27" s="3" customFormat="1" ht="17.25" customHeight="1" x14ac:dyDescent="0.15">
      <c r="AA376" s="263"/>
    </row>
    <row r="377" spans="27:27" s="3" customFormat="1" ht="17.25" customHeight="1" x14ac:dyDescent="0.15">
      <c r="AA377" s="263"/>
    </row>
    <row r="378" spans="27:27" s="3" customFormat="1" ht="17.25" customHeight="1" x14ac:dyDescent="0.15">
      <c r="AA378" s="263"/>
    </row>
    <row r="379" spans="27:27" s="3" customFormat="1" ht="17.25" customHeight="1" x14ac:dyDescent="0.15">
      <c r="AA379" s="263"/>
    </row>
    <row r="380" spans="27:27" s="3" customFormat="1" ht="17.25" customHeight="1" x14ac:dyDescent="0.15">
      <c r="AA380" s="263"/>
    </row>
    <row r="381" spans="27:27" s="3" customFormat="1" ht="17.25" customHeight="1" x14ac:dyDescent="0.15">
      <c r="AA381" s="263"/>
    </row>
    <row r="382" spans="27:27" s="3" customFormat="1" ht="17.25" customHeight="1" x14ac:dyDescent="0.15">
      <c r="AA382" s="263"/>
    </row>
    <row r="383" spans="27:27" s="3" customFormat="1" ht="17.25" customHeight="1" x14ac:dyDescent="0.15">
      <c r="AA383" s="263"/>
    </row>
    <row r="384" spans="27:27" s="3" customFormat="1" ht="17.25" customHeight="1" x14ac:dyDescent="0.15">
      <c r="AA384" s="263"/>
    </row>
    <row r="385" spans="27:27" s="3" customFormat="1" ht="17.25" customHeight="1" x14ac:dyDescent="0.15">
      <c r="AA385" s="263"/>
    </row>
    <row r="386" spans="27:27" s="3" customFormat="1" ht="17.25" customHeight="1" x14ac:dyDescent="0.15">
      <c r="AA386" s="263"/>
    </row>
    <row r="387" spans="27:27" s="3" customFormat="1" ht="17.25" customHeight="1" x14ac:dyDescent="0.15">
      <c r="AA387" s="263"/>
    </row>
    <row r="388" spans="27:27" s="3" customFormat="1" ht="17.25" customHeight="1" x14ac:dyDescent="0.15">
      <c r="AA388" s="263"/>
    </row>
    <row r="389" spans="27:27" s="3" customFormat="1" ht="17.25" customHeight="1" x14ac:dyDescent="0.15">
      <c r="AA389" s="263"/>
    </row>
    <row r="390" spans="27:27" s="3" customFormat="1" ht="17.25" customHeight="1" x14ac:dyDescent="0.15">
      <c r="AA390" s="263"/>
    </row>
    <row r="391" spans="27:27" s="3" customFormat="1" ht="17.25" customHeight="1" x14ac:dyDescent="0.15">
      <c r="AA391" s="263"/>
    </row>
    <row r="392" spans="27:27" s="3" customFormat="1" ht="17.25" customHeight="1" x14ac:dyDescent="0.15">
      <c r="AA392" s="263"/>
    </row>
    <row r="393" spans="27:27" s="3" customFormat="1" ht="17.25" customHeight="1" x14ac:dyDescent="0.15">
      <c r="AA393" s="263"/>
    </row>
    <row r="394" spans="27:27" s="3" customFormat="1" ht="17.25" customHeight="1" x14ac:dyDescent="0.15">
      <c r="AA394" s="263"/>
    </row>
    <row r="395" spans="27:27" s="3" customFormat="1" ht="17.25" customHeight="1" x14ac:dyDescent="0.15">
      <c r="AA395" s="263"/>
    </row>
    <row r="396" spans="27:27" s="3" customFormat="1" ht="17.25" customHeight="1" x14ac:dyDescent="0.15">
      <c r="AA396" s="263"/>
    </row>
    <row r="397" spans="27:27" s="3" customFormat="1" ht="17.25" customHeight="1" x14ac:dyDescent="0.15">
      <c r="AA397" s="263"/>
    </row>
    <row r="398" spans="27:27" s="3" customFormat="1" ht="17.25" customHeight="1" x14ac:dyDescent="0.15">
      <c r="AA398" s="263"/>
    </row>
    <row r="399" spans="27:27" s="3" customFormat="1" ht="17.25" customHeight="1" x14ac:dyDescent="0.15">
      <c r="AA399" s="263"/>
    </row>
    <row r="400" spans="27:27" s="3" customFormat="1" ht="17.25" customHeight="1" x14ac:dyDescent="0.15">
      <c r="AA400" s="263"/>
    </row>
    <row r="401" spans="27:27" s="3" customFormat="1" ht="17.25" customHeight="1" x14ac:dyDescent="0.15">
      <c r="AA401" s="263"/>
    </row>
    <row r="402" spans="27:27" s="3" customFormat="1" ht="17.25" customHeight="1" x14ac:dyDescent="0.15">
      <c r="AA402" s="263"/>
    </row>
    <row r="403" spans="27:27" s="3" customFormat="1" ht="17.25" customHeight="1" x14ac:dyDescent="0.15">
      <c r="AA403" s="263"/>
    </row>
    <row r="404" spans="27:27" s="3" customFormat="1" ht="17.25" customHeight="1" x14ac:dyDescent="0.15">
      <c r="AA404" s="263"/>
    </row>
    <row r="405" spans="27:27" s="3" customFormat="1" ht="17.25" customHeight="1" x14ac:dyDescent="0.15">
      <c r="AA405" s="263"/>
    </row>
    <row r="406" spans="27:27" s="3" customFormat="1" ht="17.25" customHeight="1" x14ac:dyDescent="0.15">
      <c r="AA406" s="263"/>
    </row>
    <row r="407" spans="27:27" s="3" customFormat="1" ht="17.25" customHeight="1" x14ac:dyDescent="0.15">
      <c r="AA407" s="263"/>
    </row>
    <row r="408" spans="27:27" s="3" customFormat="1" ht="17.25" customHeight="1" x14ac:dyDescent="0.15">
      <c r="AA408" s="263"/>
    </row>
    <row r="409" spans="27:27" s="3" customFormat="1" ht="17.25" customHeight="1" x14ac:dyDescent="0.15">
      <c r="AA409" s="263"/>
    </row>
    <row r="410" spans="27:27" s="3" customFormat="1" ht="17.25" customHeight="1" x14ac:dyDescent="0.15">
      <c r="AA410" s="263"/>
    </row>
    <row r="411" spans="27:27" s="3" customFormat="1" ht="17.25" customHeight="1" x14ac:dyDescent="0.15">
      <c r="AA411" s="263"/>
    </row>
    <row r="412" spans="27:27" s="3" customFormat="1" ht="17.25" customHeight="1" x14ac:dyDescent="0.15">
      <c r="AA412" s="263"/>
    </row>
    <row r="413" spans="27:27" s="3" customFormat="1" ht="17.25" customHeight="1" x14ac:dyDescent="0.15">
      <c r="AA413" s="263"/>
    </row>
    <row r="414" spans="27:27" s="3" customFormat="1" ht="17.25" customHeight="1" x14ac:dyDescent="0.15">
      <c r="AA414" s="263"/>
    </row>
    <row r="415" spans="27:27" s="3" customFormat="1" ht="17.25" customHeight="1" x14ac:dyDescent="0.15">
      <c r="AA415" s="263"/>
    </row>
    <row r="416" spans="27:27" s="3" customFormat="1" ht="17.25" customHeight="1" x14ac:dyDescent="0.15">
      <c r="AA416" s="263"/>
    </row>
    <row r="417" spans="27:27" s="3" customFormat="1" ht="17.25" customHeight="1" x14ac:dyDescent="0.15">
      <c r="AA417" s="263"/>
    </row>
    <row r="418" spans="27:27" s="3" customFormat="1" ht="17.25" customHeight="1" x14ac:dyDescent="0.15">
      <c r="AA418" s="263"/>
    </row>
    <row r="419" spans="27:27" s="3" customFormat="1" ht="17.25" customHeight="1" x14ac:dyDescent="0.15">
      <c r="AA419" s="263"/>
    </row>
    <row r="420" spans="27:27" s="3" customFormat="1" ht="17.25" customHeight="1" x14ac:dyDescent="0.15">
      <c r="AA420" s="263"/>
    </row>
    <row r="421" spans="27:27" s="3" customFormat="1" ht="17.25" customHeight="1" x14ac:dyDescent="0.15">
      <c r="AA421" s="263"/>
    </row>
    <row r="422" spans="27:27" s="3" customFormat="1" ht="17.25" customHeight="1" x14ac:dyDescent="0.15">
      <c r="AA422" s="263"/>
    </row>
    <row r="423" spans="27:27" s="3" customFormat="1" ht="17.25" customHeight="1" x14ac:dyDescent="0.15">
      <c r="AA423" s="263"/>
    </row>
    <row r="424" spans="27:27" s="3" customFormat="1" ht="17.25" customHeight="1" x14ac:dyDescent="0.15">
      <c r="AA424" s="263"/>
    </row>
    <row r="425" spans="27:27" s="3" customFormat="1" ht="17.25" customHeight="1" x14ac:dyDescent="0.15">
      <c r="AA425" s="263"/>
    </row>
    <row r="426" spans="27:27" s="3" customFormat="1" ht="17.25" customHeight="1" x14ac:dyDescent="0.15">
      <c r="AA426" s="263"/>
    </row>
    <row r="427" spans="27:27" s="3" customFormat="1" ht="17.25" customHeight="1" x14ac:dyDescent="0.15">
      <c r="AA427" s="263"/>
    </row>
    <row r="428" spans="27:27" s="3" customFormat="1" ht="17.25" customHeight="1" x14ac:dyDescent="0.15">
      <c r="AA428" s="263"/>
    </row>
    <row r="429" spans="27:27" s="3" customFormat="1" ht="17.25" customHeight="1" x14ac:dyDescent="0.15">
      <c r="AA429" s="263"/>
    </row>
    <row r="430" spans="27:27" s="3" customFormat="1" ht="17.25" customHeight="1" x14ac:dyDescent="0.15">
      <c r="AA430" s="263"/>
    </row>
    <row r="431" spans="27:27" s="3" customFormat="1" ht="17.25" customHeight="1" x14ac:dyDescent="0.15">
      <c r="AA431" s="263"/>
    </row>
    <row r="432" spans="27:27" s="3" customFormat="1" ht="17.25" customHeight="1" x14ac:dyDescent="0.15">
      <c r="AA432" s="263"/>
    </row>
    <row r="433" spans="27:27" s="3" customFormat="1" ht="17.25" customHeight="1" x14ac:dyDescent="0.15">
      <c r="AA433" s="263"/>
    </row>
    <row r="434" spans="27:27" s="3" customFormat="1" ht="17.25" customHeight="1" x14ac:dyDescent="0.15">
      <c r="AA434" s="263"/>
    </row>
    <row r="435" spans="27:27" s="3" customFormat="1" ht="17.25" customHeight="1" x14ac:dyDescent="0.15">
      <c r="AA435" s="263"/>
    </row>
    <row r="436" spans="27:27" s="3" customFormat="1" ht="17.25" customHeight="1" x14ac:dyDescent="0.15">
      <c r="AA436" s="263"/>
    </row>
    <row r="437" spans="27:27" s="3" customFormat="1" ht="17.25" customHeight="1" x14ac:dyDescent="0.15">
      <c r="AA437" s="263"/>
    </row>
    <row r="438" spans="27:27" s="3" customFormat="1" ht="17.25" customHeight="1" x14ac:dyDescent="0.15">
      <c r="AA438" s="263"/>
    </row>
    <row r="439" spans="27:27" s="3" customFormat="1" ht="17.25" customHeight="1" x14ac:dyDescent="0.15">
      <c r="AA439" s="263"/>
    </row>
    <row r="440" spans="27:27" s="3" customFormat="1" ht="17.25" customHeight="1" x14ac:dyDescent="0.15">
      <c r="AA440" s="263"/>
    </row>
    <row r="441" spans="27:27" s="3" customFormat="1" ht="17.25" customHeight="1" x14ac:dyDescent="0.15">
      <c r="AA441" s="263"/>
    </row>
    <row r="442" spans="27:27" s="3" customFormat="1" ht="17.25" customHeight="1" x14ac:dyDescent="0.15">
      <c r="AA442" s="263"/>
    </row>
    <row r="443" spans="27:27" s="3" customFormat="1" ht="17.25" customHeight="1" x14ac:dyDescent="0.15">
      <c r="AA443" s="263"/>
    </row>
    <row r="444" spans="27:27" s="3" customFormat="1" ht="17.25" customHeight="1" x14ac:dyDescent="0.15">
      <c r="AA444" s="263"/>
    </row>
    <row r="445" spans="27:27" s="3" customFormat="1" ht="17.25" customHeight="1" x14ac:dyDescent="0.15">
      <c r="AA445" s="263"/>
    </row>
    <row r="446" spans="27:27" s="3" customFormat="1" ht="17.25" customHeight="1" x14ac:dyDescent="0.15">
      <c r="AA446" s="263"/>
    </row>
    <row r="447" spans="27:27" s="3" customFormat="1" ht="17.25" customHeight="1" x14ac:dyDescent="0.15">
      <c r="AA447" s="263"/>
    </row>
    <row r="448" spans="27:27" s="3" customFormat="1" ht="17.25" customHeight="1" x14ac:dyDescent="0.15">
      <c r="AA448" s="263"/>
    </row>
    <row r="449" spans="27:27" s="3" customFormat="1" ht="17.25" customHeight="1" x14ac:dyDescent="0.15">
      <c r="AA449" s="263"/>
    </row>
    <row r="450" spans="27:27" s="3" customFormat="1" ht="17.25" customHeight="1" x14ac:dyDescent="0.15">
      <c r="AA450" s="263"/>
    </row>
    <row r="451" spans="27:27" s="3" customFormat="1" ht="17.25" customHeight="1" x14ac:dyDescent="0.15">
      <c r="AA451" s="263"/>
    </row>
    <row r="452" spans="27:27" s="3" customFormat="1" ht="17.25" customHeight="1" x14ac:dyDescent="0.15">
      <c r="AA452" s="263"/>
    </row>
    <row r="453" spans="27:27" s="3" customFormat="1" ht="17.25" customHeight="1" x14ac:dyDescent="0.15">
      <c r="AA453" s="263"/>
    </row>
    <row r="454" spans="27:27" s="3" customFormat="1" ht="17.25" customHeight="1" x14ac:dyDescent="0.15">
      <c r="AA454" s="263"/>
    </row>
    <row r="455" spans="27:27" s="3" customFormat="1" ht="17.25" customHeight="1" x14ac:dyDescent="0.15">
      <c r="AA455" s="263"/>
    </row>
    <row r="456" spans="27:27" s="3" customFormat="1" ht="17.25" customHeight="1" x14ac:dyDescent="0.15">
      <c r="AA456" s="263"/>
    </row>
    <row r="457" spans="27:27" s="3" customFormat="1" x14ac:dyDescent="0.15">
      <c r="AA457" s="263"/>
    </row>
    <row r="458" spans="27:27" s="3" customFormat="1" x14ac:dyDescent="0.15">
      <c r="AA458" s="263"/>
    </row>
    <row r="459" spans="27:27" s="3" customFormat="1" x14ac:dyDescent="0.15">
      <c r="AA459" s="263"/>
    </row>
    <row r="460" spans="27:27" s="3" customFormat="1" x14ac:dyDescent="0.15">
      <c r="AA460" s="263"/>
    </row>
    <row r="461" spans="27:27" s="3" customFormat="1" x14ac:dyDescent="0.15">
      <c r="AA461" s="263"/>
    </row>
    <row r="462" spans="27:27" s="3" customFormat="1" x14ac:dyDescent="0.15">
      <c r="AA462" s="263"/>
    </row>
    <row r="463" spans="27:27" s="3" customFormat="1" x14ac:dyDescent="0.15">
      <c r="AA463" s="263"/>
    </row>
    <row r="464" spans="27:27" s="3" customFormat="1" x14ac:dyDescent="0.15">
      <c r="AA464" s="263"/>
    </row>
    <row r="465" spans="27:27" s="3" customFormat="1" x14ac:dyDescent="0.15">
      <c r="AA465" s="263"/>
    </row>
    <row r="466" spans="27:27" s="3" customFormat="1" x14ac:dyDescent="0.15">
      <c r="AA466" s="263"/>
    </row>
    <row r="467" spans="27:27" s="3" customFormat="1" x14ac:dyDescent="0.15">
      <c r="AA467" s="263"/>
    </row>
    <row r="468" spans="27:27" s="3" customFormat="1" x14ac:dyDescent="0.15">
      <c r="AA468" s="263"/>
    </row>
    <row r="469" spans="27:27" s="3" customFormat="1" x14ac:dyDescent="0.15">
      <c r="AA469" s="263"/>
    </row>
    <row r="470" spans="27:27" s="3" customFormat="1" x14ac:dyDescent="0.15">
      <c r="AA470" s="263"/>
    </row>
    <row r="471" spans="27:27" s="3" customFormat="1" x14ac:dyDescent="0.15">
      <c r="AA471" s="263"/>
    </row>
    <row r="472" spans="27:27" s="3" customFormat="1" x14ac:dyDescent="0.15">
      <c r="AA472" s="263"/>
    </row>
    <row r="473" spans="27:27" s="3" customFormat="1" x14ac:dyDescent="0.15">
      <c r="AA473" s="263"/>
    </row>
    <row r="474" spans="27:27" s="3" customFormat="1" x14ac:dyDescent="0.15">
      <c r="AA474" s="263"/>
    </row>
    <row r="475" spans="27:27" s="3" customFormat="1" x14ac:dyDescent="0.15">
      <c r="AA475" s="263"/>
    </row>
    <row r="476" spans="27:27" s="3" customFormat="1" x14ac:dyDescent="0.15">
      <c r="AA476" s="263"/>
    </row>
    <row r="477" spans="27:27" s="3" customFormat="1" x14ac:dyDescent="0.15">
      <c r="AA477" s="263"/>
    </row>
    <row r="478" spans="27:27" s="3" customFormat="1" x14ac:dyDescent="0.15">
      <c r="AA478" s="263"/>
    </row>
    <row r="479" spans="27:27" s="3" customFormat="1" x14ac:dyDescent="0.15">
      <c r="AA479" s="263"/>
    </row>
    <row r="480" spans="27:27" s="3" customFormat="1" x14ac:dyDescent="0.15">
      <c r="AA480" s="263"/>
    </row>
    <row r="481" spans="27:27" s="3" customFormat="1" x14ac:dyDescent="0.15">
      <c r="AA481" s="263"/>
    </row>
    <row r="482" spans="27:27" s="3" customFormat="1" x14ac:dyDescent="0.15">
      <c r="AA482" s="263"/>
    </row>
    <row r="483" spans="27:27" s="3" customFormat="1" x14ac:dyDescent="0.15">
      <c r="AA483" s="263"/>
    </row>
    <row r="484" spans="27:27" s="3" customFormat="1" x14ac:dyDescent="0.15">
      <c r="AA484" s="263"/>
    </row>
    <row r="485" spans="27:27" s="3" customFormat="1" x14ac:dyDescent="0.15">
      <c r="AA485" s="263"/>
    </row>
    <row r="486" spans="27:27" s="3" customFormat="1" x14ac:dyDescent="0.15">
      <c r="AA486" s="263"/>
    </row>
    <row r="487" spans="27:27" s="3" customFormat="1" x14ac:dyDescent="0.15">
      <c r="AA487" s="263"/>
    </row>
    <row r="488" spans="27:27" s="3" customFormat="1" x14ac:dyDescent="0.15">
      <c r="AA488" s="263"/>
    </row>
    <row r="489" spans="27:27" s="3" customFormat="1" x14ac:dyDescent="0.15">
      <c r="AA489" s="263"/>
    </row>
    <row r="490" spans="27:27" s="3" customFormat="1" x14ac:dyDescent="0.15">
      <c r="AA490" s="263"/>
    </row>
    <row r="491" spans="27:27" s="3" customFormat="1" x14ac:dyDescent="0.15">
      <c r="AA491" s="263"/>
    </row>
    <row r="492" spans="27:27" s="3" customFormat="1" x14ac:dyDescent="0.15">
      <c r="AA492" s="263"/>
    </row>
    <row r="493" spans="27:27" s="3" customFormat="1" x14ac:dyDescent="0.15">
      <c r="AA493" s="263"/>
    </row>
    <row r="494" spans="27:27" s="3" customFormat="1" x14ac:dyDescent="0.15">
      <c r="AA494" s="263"/>
    </row>
    <row r="495" spans="27:27" s="3" customFormat="1" x14ac:dyDescent="0.15">
      <c r="AA495" s="263"/>
    </row>
    <row r="496" spans="27:27" s="3" customFormat="1" x14ac:dyDescent="0.15">
      <c r="AA496" s="263"/>
    </row>
    <row r="497" spans="27:27" s="3" customFormat="1" x14ac:dyDescent="0.15">
      <c r="AA497" s="263"/>
    </row>
    <row r="498" spans="27:27" s="3" customFormat="1" x14ac:dyDescent="0.15">
      <c r="AA498" s="263"/>
    </row>
    <row r="499" spans="27:27" s="3" customFormat="1" x14ac:dyDescent="0.15">
      <c r="AA499" s="263"/>
    </row>
    <row r="500" spans="27:27" s="3" customFormat="1" x14ac:dyDescent="0.15">
      <c r="AA500" s="263"/>
    </row>
    <row r="501" spans="27:27" s="3" customFormat="1" x14ac:dyDescent="0.15">
      <c r="AA501" s="263"/>
    </row>
    <row r="502" spans="27:27" s="3" customFormat="1" x14ac:dyDescent="0.15">
      <c r="AA502" s="263"/>
    </row>
    <row r="503" spans="27:27" s="3" customFormat="1" x14ac:dyDescent="0.15">
      <c r="AA503" s="263"/>
    </row>
    <row r="504" spans="27:27" s="3" customFormat="1" x14ac:dyDescent="0.15">
      <c r="AA504" s="263"/>
    </row>
    <row r="505" spans="27:27" s="3" customFormat="1" x14ac:dyDescent="0.15">
      <c r="AA505" s="263"/>
    </row>
    <row r="506" spans="27:27" s="3" customFormat="1" x14ac:dyDescent="0.15">
      <c r="AA506" s="263"/>
    </row>
    <row r="507" spans="27:27" s="3" customFormat="1" x14ac:dyDescent="0.15">
      <c r="AA507" s="263"/>
    </row>
    <row r="508" spans="27:27" s="3" customFormat="1" x14ac:dyDescent="0.15">
      <c r="AA508" s="263"/>
    </row>
    <row r="509" spans="27:27" s="3" customFormat="1" x14ac:dyDescent="0.15">
      <c r="AA509" s="263"/>
    </row>
    <row r="510" spans="27:27" s="3" customFormat="1" x14ac:dyDescent="0.15">
      <c r="AA510" s="263"/>
    </row>
    <row r="511" spans="27:27" s="3" customFormat="1" x14ac:dyDescent="0.15">
      <c r="AA511" s="263"/>
    </row>
    <row r="512" spans="27:27" s="3" customFormat="1" x14ac:dyDescent="0.15">
      <c r="AA512" s="263"/>
    </row>
    <row r="513" spans="27:27" s="3" customFormat="1" x14ac:dyDescent="0.15">
      <c r="AA513" s="263"/>
    </row>
    <row r="514" spans="27:27" s="3" customFormat="1" x14ac:dyDescent="0.15">
      <c r="AA514" s="263"/>
    </row>
    <row r="515" spans="27:27" s="3" customFormat="1" x14ac:dyDescent="0.15">
      <c r="AA515" s="263"/>
    </row>
    <row r="516" spans="27:27" s="3" customFormat="1" x14ac:dyDescent="0.15">
      <c r="AA516" s="263"/>
    </row>
    <row r="517" spans="27:27" s="3" customFormat="1" x14ac:dyDescent="0.15">
      <c r="AA517" s="263"/>
    </row>
    <row r="518" spans="27:27" s="3" customFormat="1" x14ac:dyDescent="0.15">
      <c r="AA518" s="263"/>
    </row>
    <row r="519" spans="27:27" s="3" customFormat="1" x14ac:dyDescent="0.15">
      <c r="AA519" s="263"/>
    </row>
    <row r="520" spans="27:27" s="3" customFormat="1" x14ac:dyDescent="0.15">
      <c r="AA520" s="263"/>
    </row>
    <row r="521" spans="27:27" s="3" customFormat="1" x14ac:dyDescent="0.15">
      <c r="AA521" s="263"/>
    </row>
    <row r="522" spans="27:27" s="3" customFormat="1" x14ac:dyDescent="0.15">
      <c r="AA522" s="263"/>
    </row>
    <row r="523" spans="27:27" s="3" customFormat="1" x14ac:dyDescent="0.15">
      <c r="AA523" s="263"/>
    </row>
    <row r="524" spans="27:27" s="3" customFormat="1" x14ac:dyDescent="0.15">
      <c r="AA524" s="263"/>
    </row>
    <row r="525" spans="27:27" s="3" customFormat="1" x14ac:dyDescent="0.15">
      <c r="AA525" s="263"/>
    </row>
    <row r="526" spans="27:27" s="3" customFormat="1" x14ac:dyDescent="0.15">
      <c r="AA526" s="263"/>
    </row>
    <row r="527" spans="27:27" s="3" customFormat="1" x14ac:dyDescent="0.15">
      <c r="AA527" s="263"/>
    </row>
    <row r="528" spans="27:27" s="3" customFormat="1" x14ac:dyDescent="0.15">
      <c r="AA528" s="263"/>
    </row>
    <row r="529" spans="27:27" s="3" customFormat="1" x14ac:dyDescent="0.15">
      <c r="AA529" s="263"/>
    </row>
    <row r="530" spans="27:27" s="3" customFormat="1" x14ac:dyDescent="0.15">
      <c r="AA530" s="263"/>
    </row>
    <row r="531" spans="27:27" s="3" customFormat="1" x14ac:dyDescent="0.15">
      <c r="AA531" s="263"/>
    </row>
    <row r="532" spans="27:27" s="3" customFormat="1" x14ac:dyDescent="0.15">
      <c r="AA532" s="263"/>
    </row>
    <row r="533" spans="27:27" s="3" customFormat="1" x14ac:dyDescent="0.15">
      <c r="AA533" s="263"/>
    </row>
    <row r="534" spans="27:27" s="3" customFormat="1" x14ac:dyDescent="0.15">
      <c r="AA534" s="263"/>
    </row>
    <row r="535" spans="27:27" s="3" customFormat="1" x14ac:dyDescent="0.15">
      <c r="AA535" s="263"/>
    </row>
    <row r="536" spans="27:27" s="3" customFormat="1" x14ac:dyDescent="0.15">
      <c r="AA536" s="263"/>
    </row>
    <row r="537" spans="27:27" s="3" customFormat="1" x14ac:dyDescent="0.15">
      <c r="AA537" s="263"/>
    </row>
    <row r="538" spans="27:27" s="3" customFormat="1" x14ac:dyDescent="0.15">
      <c r="AA538" s="263"/>
    </row>
    <row r="539" spans="27:27" s="3" customFormat="1" x14ac:dyDescent="0.15">
      <c r="AA539" s="263"/>
    </row>
    <row r="540" spans="27:27" s="3" customFormat="1" x14ac:dyDescent="0.15">
      <c r="AA540" s="263"/>
    </row>
    <row r="541" spans="27:27" s="3" customFormat="1" x14ac:dyDescent="0.15">
      <c r="AA541" s="263"/>
    </row>
    <row r="542" spans="27:27" s="3" customFormat="1" x14ac:dyDescent="0.15">
      <c r="AA542" s="263"/>
    </row>
    <row r="543" spans="27:27" s="3" customFormat="1" x14ac:dyDescent="0.15">
      <c r="AA543" s="263"/>
    </row>
    <row r="544" spans="27:27" s="3" customFormat="1" x14ac:dyDescent="0.15">
      <c r="AA544" s="263"/>
    </row>
    <row r="545" spans="27:27" s="3" customFormat="1" x14ac:dyDescent="0.15">
      <c r="AA545" s="263"/>
    </row>
    <row r="546" spans="27:27" s="3" customFormat="1" x14ac:dyDescent="0.15">
      <c r="AA546" s="263"/>
    </row>
    <row r="547" spans="27:27" s="3" customFormat="1" x14ac:dyDescent="0.15">
      <c r="AA547" s="263"/>
    </row>
    <row r="548" spans="27:27" s="3" customFormat="1" x14ac:dyDescent="0.15">
      <c r="AA548" s="263"/>
    </row>
    <row r="549" spans="27:27" s="3" customFormat="1" x14ac:dyDescent="0.15">
      <c r="AA549" s="263"/>
    </row>
    <row r="550" spans="27:27" s="3" customFormat="1" x14ac:dyDescent="0.15">
      <c r="AA550" s="263"/>
    </row>
    <row r="551" spans="27:27" s="3" customFormat="1" x14ac:dyDescent="0.15">
      <c r="AA551" s="263"/>
    </row>
    <row r="552" spans="27:27" s="3" customFormat="1" x14ac:dyDescent="0.15">
      <c r="AA552" s="263"/>
    </row>
    <row r="553" spans="27:27" s="3" customFormat="1" x14ac:dyDescent="0.15">
      <c r="AA553" s="263"/>
    </row>
    <row r="554" spans="27:27" s="3" customFormat="1" x14ac:dyDescent="0.15">
      <c r="AA554" s="263"/>
    </row>
    <row r="555" spans="27:27" s="3" customFormat="1" x14ac:dyDescent="0.15">
      <c r="AA555" s="263"/>
    </row>
    <row r="556" spans="27:27" s="3" customFormat="1" x14ac:dyDescent="0.15">
      <c r="AA556" s="263"/>
    </row>
    <row r="557" spans="27:27" s="3" customFormat="1" x14ac:dyDescent="0.15">
      <c r="AA557" s="263"/>
    </row>
    <row r="558" spans="27:27" s="3" customFormat="1" x14ac:dyDescent="0.15">
      <c r="AA558" s="263"/>
    </row>
    <row r="559" spans="27:27" s="3" customFormat="1" x14ac:dyDescent="0.15">
      <c r="AA559" s="263"/>
    </row>
    <row r="560" spans="27:27" s="3" customFormat="1" x14ac:dyDescent="0.15">
      <c r="AA560" s="263"/>
    </row>
    <row r="561" spans="27:27" s="3" customFormat="1" x14ac:dyDescent="0.15">
      <c r="AA561" s="263"/>
    </row>
    <row r="562" spans="27:27" s="3" customFormat="1" x14ac:dyDescent="0.15">
      <c r="AA562" s="263"/>
    </row>
    <row r="563" spans="27:27" s="3" customFormat="1" x14ac:dyDescent="0.15">
      <c r="AA563" s="263"/>
    </row>
    <row r="564" spans="27:27" s="3" customFormat="1" x14ac:dyDescent="0.15">
      <c r="AA564" s="263"/>
    </row>
    <row r="565" spans="27:27" s="3" customFormat="1" x14ac:dyDescent="0.15">
      <c r="AA565" s="263"/>
    </row>
    <row r="566" spans="27:27" s="3" customFormat="1" x14ac:dyDescent="0.15">
      <c r="AA566" s="263"/>
    </row>
    <row r="567" spans="27:27" s="3" customFormat="1" x14ac:dyDescent="0.15">
      <c r="AA567" s="263"/>
    </row>
    <row r="568" spans="27:27" s="3" customFormat="1" x14ac:dyDescent="0.15">
      <c r="AA568" s="263"/>
    </row>
    <row r="569" spans="27:27" s="3" customFormat="1" x14ac:dyDescent="0.15">
      <c r="AA569" s="263"/>
    </row>
    <row r="570" spans="27:27" s="3" customFormat="1" x14ac:dyDescent="0.15">
      <c r="AA570" s="263"/>
    </row>
    <row r="571" spans="27:27" s="3" customFormat="1" x14ac:dyDescent="0.15">
      <c r="AA571" s="263"/>
    </row>
    <row r="572" spans="27:27" s="3" customFormat="1" x14ac:dyDescent="0.15">
      <c r="AA572" s="263"/>
    </row>
    <row r="573" spans="27:27" s="3" customFormat="1" x14ac:dyDescent="0.15">
      <c r="AA573" s="263"/>
    </row>
    <row r="574" spans="27:27" s="3" customFormat="1" x14ac:dyDescent="0.15">
      <c r="AA574" s="263"/>
    </row>
    <row r="575" spans="27:27" s="3" customFormat="1" x14ac:dyDescent="0.15">
      <c r="AA575" s="263"/>
    </row>
    <row r="576" spans="27:27" s="3" customFormat="1" x14ac:dyDescent="0.15">
      <c r="AA576" s="263"/>
    </row>
    <row r="577" spans="27:27" s="3" customFormat="1" x14ac:dyDescent="0.15">
      <c r="AA577" s="263"/>
    </row>
    <row r="578" spans="27:27" s="3" customFormat="1" x14ac:dyDescent="0.15">
      <c r="AA578" s="263"/>
    </row>
    <row r="579" spans="27:27" s="3" customFormat="1" x14ac:dyDescent="0.15">
      <c r="AA579" s="263"/>
    </row>
    <row r="580" spans="27:27" s="3" customFormat="1" x14ac:dyDescent="0.15">
      <c r="AA580" s="263"/>
    </row>
    <row r="581" spans="27:27" s="3" customFormat="1" x14ac:dyDescent="0.15">
      <c r="AA581" s="263"/>
    </row>
    <row r="582" spans="27:27" s="3" customFormat="1" x14ac:dyDescent="0.15">
      <c r="AA582" s="263"/>
    </row>
    <row r="583" spans="27:27" s="3" customFormat="1" x14ac:dyDescent="0.15">
      <c r="AA583" s="263"/>
    </row>
    <row r="584" spans="27:27" s="3" customFormat="1" x14ac:dyDescent="0.15">
      <c r="AA584" s="263"/>
    </row>
    <row r="585" spans="27:27" s="3" customFormat="1" x14ac:dyDescent="0.15">
      <c r="AA585" s="263"/>
    </row>
    <row r="586" spans="27:27" s="3" customFormat="1" x14ac:dyDescent="0.15">
      <c r="AA586" s="263"/>
    </row>
    <row r="587" spans="27:27" s="3" customFormat="1" x14ac:dyDescent="0.15">
      <c r="AA587" s="263"/>
    </row>
    <row r="588" spans="27:27" s="3" customFormat="1" x14ac:dyDescent="0.15">
      <c r="AA588" s="263"/>
    </row>
    <row r="589" spans="27:27" s="3" customFormat="1" x14ac:dyDescent="0.15">
      <c r="AA589" s="263"/>
    </row>
    <row r="590" spans="27:27" s="3" customFormat="1" x14ac:dyDescent="0.15">
      <c r="AA590" s="263"/>
    </row>
    <row r="591" spans="27:27" s="3" customFormat="1" x14ac:dyDescent="0.15">
      <c r="AA591" s="263"/>
    </row>
    <row r="592" spans="27:27" s="3" customFormat="1" x14ac:dyDescent="0.15">
      <c r="AA592" s="263"/>
    </row>
    <row r="593" spans="27:27" s="3" customFormat="1" x14ac:dyDescent="0.15">
      <c r="AA593" s="263"/>
    </row>
    <row r="594" spans="27:27" s="3" customFormat="1" x14ac:dyDescent="0.15">
      <c r="AA594" s="263"/>
    </row>
    <row r="595" spans="27:27" s="3" customFormat="1" x14ac:dyDescent="0.15">
      <c r="AA595" s="263"/>
    </row>
    <row r="596" spans="27:27" s="3" customFormat="1" x14ac:dyDescent="0.15">
      <c r="AA596" s="263"/>
    </row>
    <row r="597" spans="27:27" s="3" customFormat="1" x14ac:dyDescent="0.15">
      <c r="AA597" s="263"/>
    </row>
    <row r="598" spans="27:27" s="3" customFormat="1" x14ac:dyDescent="0.15">
      <c r="AA598" s="263"/>
    </row>
    <row r="599" spans="27:27" s="3" customFormat="1" x14ac:dyDescent="0.15">
      <c r="AA599" s="263"/>
    </row>
    <row r="600" spans="27:27" s="3" customFormat="1" x14ac:dyDescent="0.15">
      <c r="AA600" s="263"/>
    </row>
    <row r="601" spans="27:27" s="3" customFormat="1" x14ac:dyDescent="0.15">
      <c r="AA601" s="263"/>
    </row>
    <row r="602" spans="27:27" s="3" customFormat="1" x14ac:dyDescent="0.15">
      <c r="AA602" s="263"/>
    </row>
    <row r="603" spans="27:27" s="3" customFormat="1" x14ac:dyDescent="0.15">
      <c r="AA603" s="263"/>
    </row>
    <row r="604" spans="27:27" s="3" customFormat="1" x14ac:dyDescent="0.15">
      <c r="AA604" s="263"/>
    </row>
    <row r="605" spans="27:27" s="3" customFormat="1" x14ac:dyDescent="0.15">
      <c r="AA605" s="263"/>
    </row>
    <row r="606" spans="27:27" s="3" customFormat="1" x14ac:dyDescent="0.15">
      <c r="AA606" s="263"/>
    </row>
    <row r="607" spans="27:27" s="3" customFormat="1" x14ac:dyDescent="0.15">
      <c r="AA607" s="263"/>
    </row>
    <row r="608" spans="27:27" s="3" customFormat="1" x14ac:dyDescent="0.15">
      <c r="AA608" s="263"/>
    </row>
    <row r="609" spans="27:27" s="3" customFormat="1" x14ac:dyDescent="0.15">
      <c r="AA609" s="263"/>
    </row>
    <row r="610" spans="27:27" s="3" customFormat="1" x14ac:dyDescent="0.15">
      <c r="AA610" s="263"/>
    </row>
    <row r="611" spans="27:27" s="3" customFormat="1" x14ac:dyDescent="0.15">
      <c r="AA611" s="263"/>
    </row>
    <row r="612" spans="27:27" s="3" customFormat="1" x14ac:dyDescent="0.15">
      <c r="AA612" s="263"/>
    </row>
    <row r="613" spans="27:27" s="3" customFormat="1" x14ac:dyDescent="0.15">
      <c r="AA613" s="263"/>
    </row>
    <row r="614" spans="27:27" s="3" customFormat="1" x14ac:dyDescent="0.15">
      <c r="AA614" s="263"/>
    </row>
    <row r="615" spans="27:27" s="3" customFormat="1" x14ac:dyDescent="0.15">
      <c r="AA615" s="263"/>
    </row>
    <row r="616" spans="27:27" s="3" customFormat="1" x14ac:dyDescent="0.15">
      <c r="AA616" s="263"/>
    </row>
    <row r="617" spans="27:27" s="3" customFormat="1" x14ac:dyDescent="0.15">
      <c r="AA617" s="263"/>
    </row>
    <row r="618" spans="27:27" s="3" customFormat="1" x14ac:dyDescent="0.15">
      <c r="AA618" s="263"/>
    </row>
    <row r="619" spans="27:27" s="3" customFormat="1" x14ac:dyDescent="0.15">
      <c r="AA619" s="263"/>
    </row>
    <row r="620" spans="27:27" s="3" customFormat="1" x14ac:dyDescent="0.15">
      <c r="AA620" s="263"/>
    </row>
    <row r="621" spans="27:27" s="3" customFormat="1" x14ac:dyDescent="0.15">
      <c r="AA621" s="263"/>
    </row>
    <row r="622" spans="27:27" s="3" customFormat="1" x14ac:dyDescent="0.15">
      <c r="AA622" s="263"/>
    </row>
    <row r="623" spans="27:27" s="3" customFormat="1" x14ac:dyDescent="0.15">
      <c r="AA623" s="263"/>
    </row>
    <row r="624" spans="27:27" s="3" customFormat="1" x14ac:dyDescent="0.15">
      <c r="AA624" s="263"/>
    </row>
    <row r="625" spans="27:27" s="3" customFormat="1" x14ac:dyDescent="0.15">
      <c r="AA625" s="263"/>
    </row>
    <row r="626" spans="27:27" s="3" customFormat="1" x14ac:dyDescent="0.15">
      <c r="AA626" s="263"/>
    </row>
    <row r="627" spans="27:27" s="3" customFormat="1" x14ac:dyDescent="0.15">
      <c r="AA627" s="263"/>
    </row>
    <row r="628" spans="27:27" s="3" customFormat="1" x14ac:dyDescent="0.15">
      <c r="AA628" s="263"/>
    </row>
    <row r="629" spans="27:27" s="3" customFormat="1" x14ac:dyDescent="0.15">
      <c r="AA629" s="263"/>
    </row>
    <row r="630" spans="27:27" s="3" customFormat="1" x14ac:dyDescent="0.15">
      <c r="AA630" s="263"/>
    </row>
    <row r="631" spans="27:27" s="3" customFormat="1" x14ac:dyDescent="0.15">
      <c r="AA631" s="263"/>
    </row>
    <row r="632" spans="27:27" s="3" customFormat="1" x14ac:dyDescent="0.15">
      <c r="AA632" s="263"/>
    </row>
    <row r="633" spans="27:27" s="3" customFormat="1" x14ac:dyDescent="0.15">
      <c r="AA633" s="263"/>
    </row>
    <row r="634" spans="27:27" s="3" customFormat="1" x14ac:dyDescent="0.15">
      <c r="AA634" s="263"/>
    </row>
    <row r="635" spans="27:27" s="3" customFormat="1" x14ac:dyDescent="0.15">
      <c r="AA635" s="263"/>
    </row>
    <row r="636" spans="27:27" s="3" customFormat="1" x14ac:dyDescent="0.15">
      <c r="AA636" s="263"/>
    </row>
    <row r="637" spans="27:27" s="3" customFormat="1" x14ac:dyDescent="0.15">
      <c r="AA637" s="263"/>
    </row>
    <row r="638" spans="27:27" s="3" customFormat="1" x14ac:dyDescent="0.15">
      <c r="AA638" s="263"/>
    </row>
    <row r="639" spans="27:27" s="3" customFormat="1" x14ac:dyDescent="0.15">
      <c r="AA639" s="263"/>
    </row>
    <row r="640" spans="27:27" s="3" customFormat="1" x14ac:dyDescent="0.15">
      <c r="AA640" s="263"/>
    </row>
    <row r="641" spans="27:27" s="3" customFormat="1" x14ac:dyDescent="0.15">
      <c r="AA641" s="263"/>
    </row>
    <row r="642" spans="27:27" s="3" customFormat="1" x14ac:dyDescent="0.15">
      <c r="AA642" s="263"/>
    </row>
    <row r="643" spans="27:27" s="3" customFormat="1" x14ac:dyDescent="0.15">
      <c r="AA643" s="263"/>
    </row>
    <row r="644" spans="27:27" s="3" customFormat="1" x14ac:dyDescent="0.15">
      <c r="AA644" s="263"/>
    </row>
    <row r="645" spans="27:27" s="3" customFormat="1" x14ac:dyDescent="0.15">
      <c r="AA645" s="263"/>
    </row>
    <row r="646" spans="27:27" s="3" customFormat="1" x14ac:dyDescent="0.15">
      <c r="AA646" s="263"/>
    </row>
    <row r="647" spans="27:27" s="3" customFormat="1" x14ac:dyDescent="0.15">
      <c r="AA647" s="263"/>
    </row>
    <row r="648" spans="27:27" s="3" customFormat="1" x14ac:dyDescent="0.15">
      <c r="AA648" s="263"/>
    </row>
    <row r="649" spans="27:27" s="3" customFormat="1" x14ac:dyDescent="0.15">
      <c r="AA649" s="263"/>
    </row>
    <row r="650" spans="27:27" s="3" customFormat="1" x14ac:dyDescent="0.15">
      <c r="AA650" s="263"/>
    </row>
    <row r="651" spans="27:27" s="3" customFormat="1" x14ac:dyDescent="0.15">
      <c r="AA651" s="263"/>
    </row>
    <row r="652" spans="27:27" s="3" customFormat="1" x14ac:dyDescent="0.15">
      <c r="AA652" s="263"/>
    </row>
    <row r="653" spans="27:27" s="3" customFormat="1" x14ac:dyDescent="0.15">
      <c r="AA653" s="263"/>
    </row>
    <row r="654" spans="27:27" s="3" customFormat="1" x14ac:dyDescent="0.15">
      <c r="AA654" s="263"/>
    </row>
    <row r="655" spans="27:27" s="3" customFormat="1" x14ac:dyDescent="0.15">
      <c r="AA655" s="263"/>
    </row>
    <row r="656" spans="27:27" s="3" customFormat="1" x14ac:dyDescent="0.15">
      <c r="AA656" s="263"/>
    </row>
    <row r="657" spans="27:27" s="3" customFormat="1" x14ac:dyDescent="0.15">
      <c r="AA657" s="263"/>
    </row>
    <row r="658" spans="27:27" s="3" customFormat="1" x14ac:dyDescent="0.15">
      <c r="AA658" s="263"/>
    </row>
    <row r="659" spans="27:27" s="3" customFormat="1" x14ac:dyDescent="0.15">
      <c r="AA659" s="263"/>
    </row>
    <row r="660" spans="27:27" s="3" customFormat="1" x14ac:dyDescent="0.15">
      <c r="AA660" s="263"/>
    </row>
    <row r="661" spans="27:27" s="3" customFormat="1" x14ac:dyDescent="0.15">
      <c r="AA661" s="263"/>
    </row>
    <row r="662" spans="27:27" s="3" customFormat="1" x14ac:dyDescent="0.15">
      <c r="AA662" s="263"/>
    </row>
    <row r="663" spans="27:27" s="3" customFormat="1" x14ac:dyDescent="0.15">
      <c r="AA663" s="263"/>
    </row>
    <row r="664" spans="27:27" s="3" customFormat="1" x14ac:dyDescent="0.15">
      <c r="AA664" s="263"/>
    </row>
    <row r="665" spans="27:27" s="3" customFormat="1" x14ac:dyDescent="0.15">
      <c r="AA665" s="263"/>
    </row>
    <row r="666" spans="27:27" s="3" customFormat="1" x14ac:dyDescent="0.15">
      <c r="AA666" s="263"/>
    </row>
    <row r="667" spans="27:27" s="3" customFormat="1" x14ac:dyDescent="0.15">
      <c r="AA667" s="263"/>
    </row>
    <row r="668" spans="27:27" s="3" customFormat="1" x14ac:dyDescent="0.15">
      <c r="AA668" s="263"/>
    </row>
    <row r="669" spans="27:27" s="3" customFormat="1" x14ac:dyDescent="0.15">
      <c r="AA669" s="263"/>
    </row>
    <row r="670" spans="27:27" s="3" customFormat="1" x14ac:dyDescent="0.15">
      <c r="AA670" s="263"/>
    </row>
    <row r="671" spans="27:27" s="3" customFormat="1" x14ac:dyDescent="0.15">
      <c r="AA671" s="263"/>
    </row>
    <row r="672" spans="27:27" s="3" customFormat="1" x14ac:dyDescent="0.15">
      <c r="AA672" s="263"/>
    </row>
    <row r="673" spans="27:27" s="3" customFormat="1" x14ac:dyDescent="0.15">
      <c r="AA673" s="263"/>
    </row>
    <row r="674" spans="27:27" s="3" customFormat="1" x14ac:dyDescent="0.15">
      <c r="AA674" s="263"/>
    </row>
    <row r="675" spans="27:27" s="3" customFormat="1" x14ac:dyDescent="0.15">
      <c r="AA675" s="263"/>
    </row>
    <row r="676" spans="27:27" s="3" customFormat="1" x14ac:dyDescent="0.15">
      <c r="AA676" s="263"/>
    </row>
    <row r="677" spans="27:27" s="3" customFormat="1" x14ac:dyDescent="0.15">
      <c r="AA677" s="263"/>
    </row>
    <row r="678" spans="27:27" s="3" customFormat="1" x14ac:dyDescent="0.15">
      <c r="AA678" s="263"/>
    </row>
    <row r="679" spans="27:27" s="3" customFormat="1" x14ac:dyDescent="0.15">
      <c r="AA679" s="263"/>
    </row>
    <row r="680" spans="27:27" s="3" customFormat="1" x14ac:dyDescent="0.15">
      <c r="AA680" s="263"/>
    </row>
    <row r="681" spans="27:27" s="3" customFormat="1" x14ac:dyDescent="0.15">
      <c r="AA681" s="263"/>
    </row>
    <row r="682" spans="27:27" s="3" customFormat="1" x14ac:dyDescent="0.15">
      <c r="AA682" s="263"/>
    </row>
    <row r="683" spans="27:27" s="3" customFormat="1" x14ac:dyDescent="0.15">
      <c r="AA683" s="263"/>
    </row>
    <row r="684" spans="27:27" s="3" customFormat="1" x14ac:dyDescent="0.15">
      <c r="AA684" s="263"/>
    </row>
    <row r="685" spans="27:27" s="3" customFormat="1" x14ac:dyDescent="0.15">
      <c r="AA685" s="263"/>
    </row>
    <row r="686" spans="27:27" s="3" customFormat="1" x14ac:dyDescent="0.15">
      <c r="AA686" s="263"/>
    </row>
    <row r="687" spans="27:27" s="3" customFormat="1" x14ac:dyDescent="0.15">
      <c r="AA687" s="263"/>
    </row>
    <row r="688" spans="27:27" s="3" customFormat="1" x14ac:dyDescent="0.15">
      <c r="AA688" s="263"/>
    </row>
    <row r="689" spans="1:27" s="3" customFormat="1" x14ac:dyDescent="0.15">
      <c r="AA689" s="263"/>
    </row>
    <row r="690" spans="1:27" s="3" customFormat="1" x14ac:dyDescent="0.15">
      <c r="AA690" s="263"/>
    </row>
    <row r="691" spans="1:27" s="3" customFormat="1" x14ac:dyDescent="0.15">
      <c r="AA691" s="263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78.8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3">
        <f>입력표!M49+6</f>
        <v>19.8</v>
      </c>
      <c r="F10" t="s">
        <v>85</v>
      </c>
    </row>
    <row r="11" spans="1:17" ht="27" customHeight="1" x14ac:dyDescent="0.15">
      <c r="A11" s="266" t="s">
        <v>193</v>
      </c>
      <c r="B11" s="267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1.3109999999999999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124</v>
      </c>
    </row>
    <row r="25" spans="1:2" x14ac:dyDescent="0.15">
      <c r="A25" s="79">
        <f>단계양수시험!D31</f>
        <v>120</v>
      </c>
      <c r="B25" s="79">
        <f>입력표!D4</f>
        <v>158</v>
      </c>
    </row>
    <row r="26" spans="1:2" x14ac:dyDescent="0.15">
      <c r="A26" s="79">
        <f>단계양수시험!D36</f>
        <v>240</v>
      </c>
      <c r="B26" s="79">
        <f>입력표!D5</f>
        <v>192.95</v>
      </c>
    </row>
    <row r="27" spans="1:2" x14ac:dyDescent="0.15">
      <c r="A27" s="79">
        <f>단계양수시험!D41</f>
        <v>360</v>
      </c>
      <c r="B27" s="79">
        <f>입력표!D6</f>
        <v>227</v>
      </c>
    </row>
    <row r="28" spans="1:2" x14ac:dyDescent="0.15">
      <c r="A28" s="79">
        <f>단계양수시험!D46</f>
        <v>480</v>
      </c>
      <c r="B28" s="79">
        <f>입력표!D7</f>
        <v>261.04999999999995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0.21</v>
      </c>
      <c r="C35" s="79">
        <v>1</v>
      </c>
    </row>
    <row r="36" spans="1:3" x14ac:dyDescent="0.15">
      <c r="A36" s="77">
        <f>Sheet1!A2</f>
        <v>2</v>
      </c>
      <c r="B36" s="78">
        <f>Sheet1!B2</f>
        <v>0.78</v>
      </c>
      <c r="C36" s="79">
        <v>1</v>
      </c>
    </row>
    <row r="37" spans="1:3" x14ac:dyDescent="0.15">
      <c r="A37" s="77">
        <f>Sheet1!A3</f>
        <v>3</v>
      </c>
      <c r="B37" s="78">
        <f>Sheet1!B3</f>
        <v>1.1100000000000001</v>
      </c>
      <c r="C37" s="79">
        <v>1</v>
      </c>
    </row>
    <row r="38" spans="1:3" x14ac:dyDescent="0.15">
      <c r="A38" s="77">
        <f>Sheet1!A4</f>
        <v>4</v>
      </c>
      <c r="B38" s="78">
        <f>Sheet1!B4</f>
        <v>1.35</v>
      </c>
      <c r="C38" s="79">
        <v>1</v>
      </c>
    </row>
    <row r="39" spans="1:3" x14ac:dyDescent="0.15">
      <c r="A39" s="77">
        <f>Sheet1!A5</f>
        <v>5</v>
      </c>
      <c r="B39" s="78">
        <f>Sheet1!B5</f>
        <v>1.53</v>
      </c>
      <c r="C39" s="79">
        <v>1</v>
      </c>
    </row>
    <row r="40" spans="1:3" x14ac:dyDescent="0.15">
      <c r="A40" s="77">
        <f>Sheet1!A6</f>
        <v>10</v>
      </c>
      <c r="B40" s="78">
        <f>Sheet1!B6</f>
        <v>2.1</v>
      </c>
      <c r="C40" s="79">
        <v>1</v>
      </c>
    </row>
    <row r="41" spans="1:3" x14ac:dyDescent="0.15">
      <c r="A41" s="77">
        <f>Sheet1!A7</f>
        <v>15</v>
      </c>
      <c r="B41" s="78">
        <f>Sheet1!B7</f>
        <v>2.4300000000000002</v>
      </c>
      <c r="C41" s="79">
        <v>1</v>
      </c>
    </row>
    <row r="42" spans="1:3" x14ac:dyDescent="0.15">
      <c r="A42" s="77">
        <f>Sheet1!A8</f>
        <v>20</v>
      </c>
      <c r="B42" s="78">
        <f>Sheet1!B8</f>
        <v>2.67</v>
      </c>
      <c r="C42" s="79">
        <v>1</v>
      </c>
    </row>
    <row r="43" spans="1:3" x14ac:dyDescent="0.15">
      <c r="A43" s="77">
        <f>Sheet1!A9</f>
        <v>25</v>
      </c>
      <c r="B43" s="78">
        <f>Sheet1!B9</f>
        <v>2.85</v>
      </c>
      <c r="C43" s="79">
        <v>1</v>
      </c>
    </row>
    <row r="44" spans="1:3" x14ac:dyDescent="0.15">
      <c r="A44" s="77">
        <f>Sheet1!A10</f>
        <v>30</v>
      </c>
      <c r="B44" s="78">
        <f>Sheet1!B10</f>
        <v>3</v>
      </c>
      <c r="C44" s="79">
        <v>1</v>
      </c>
    </row>
    <row r="45" spans="1:3" x14ac:dyDescent="0.15">
      <c r="A45" s="77">
        <f>Sheet1!A11</f>
        <v>35</v>
      </c>
      <c r="B45" s="78">
        <f>Sheet1!B11</f>
        <v>3.13</v>
      </c>
      <c r="C45" s="79">
        <v>1</v>
      </c>
    </row>
    <row r="46" spans="1:3" x14ac:dyDescent="0.15">
      <c r="A46" s="77">
        <f>Sheet1!A12</f>
        <v>40</v>
      </c>
      <c r="B46" s="78">
        <f>Sheet1!B12</f>
        <v>3.23</v>
      </c>
      <c r="C46" s="79">
        <v>1</v>
      </c>
    </row>
    <row r="47" spans="1:3" x14ac:dyDescent="0.15">
      <c r="A47" s="77">
        <f>Sheet1!A13</f>
        <v>45</v>
      </c>
      <c r="B47" s="78">
        <f>Sheet1!B13</f>
        <v>3.33</v>
      </c>
      <c r="C47" s="79">
        <v>1</v>
      </c>
    </row>
    <row r="48" spans="1:3" x14ac:dyDescent="0.15">
      <c r="A48" s="77">
        <f>Sheet1!A14</f>
        <v>50</v>
      </c>
      <c r="B48" s="78">
        <f>Sheet1!B14</f>
        <v>3.42</v>
      </c>
      <c r="C48" s="79">
        <v>1</v>
      </c>
    </row>
    <row r="49" spans="1:3" x14ac:dyDescent="0.15">
      <c r="A49" s="77">
        <f>Sheet1!A15</f>
        <v>55</v>
      </c>
      <c r="B49" s="78">
        <f>Sheet1!B15</f>
        <v>3.5</v>
      </c>
      <c r="C49" s="79">
        <v>1</v>
      </c>
    </row>
    <row r="50" spans="1:3" x14ac:dyDescent="0.15">
      <c r="A50" s="77">
        <f>Sheet1!A16</f>
        <v>60</v>
      </c>
      <c r="B50" s="78">
        <f>Sheet1!B16</f>
        <v>3.57</v>
      </c>
      <c r="C50" s="79">
        <v>1</v>
      </c>
    </row>
    <row r="51" spans="1:3" x14ac:dyDescent="0.15">
      <c r="A51" s="77">
        <f>Sheet1!A17</f>
        <v>75</v>
      </c>
      <c r="B51" s="78">
        <f>Sheet1!B17</f>
        <v>3.75</v>
      </c>
      <c r="C51" s="79">
        <v>1</v>
      </c>
    </row>
    <row r="52" spans="1:3" x14ac:dyDescent="0.15">
      <c r="A52" s="77">
        <f>Sheet1!A18</f>
        <v>90</v>
      </c>
      <c r="B52" s="78">
        <f>Sheet1!B18</f>
        <v>3.9</v>
      </c>
      <c r="C52" s="79">
        <v>1</v>
      </c>
    </row>
    <row r="53" spans="1:3" x14ac:dyDescent="0.15">
      <c r="A53" s="77">
        <f>Sheet1!A19</f>
        <v>105</v>
      </c>
      <c r="B53" s="78">
        <f>Sheet1!B19</f>
        <v>4.03</v>
      </c>
      <c r="C53" s="79">
        <v>1</v>
      </c>
    </row>
    <row r="54" spans="1:3" x14ac:dyDescent="0.15">
      <c r="A54" s="77">
        <f>Sheet1!A20</f>
        <v>120</v>
      </c>
      <c r="B54" s="78">
        <f>Sheet1!B20</f>
        <v>4.1399999999999997</v>
      </c>
      <c r="C54" s="79">
        <v>1</v>
      </c>
    </row>
    <row r="55" spans="1:3" x14ac:dyDescent="0.15">
      <c r="A55" s="77">
        <f>Sheet1!A21</f>
        <v>121</v>
      </c>
      <c r="B55" s="78">
        <f>Sheet1!B21</f>
        <v>4.3</v>
      </c>
      <c r="C55" s="79">
        <v>1</v>
      </c>
    </row>
    <row r="56" spans="1:3" x14ac:dyDescent="0.15">
      <c r="A56" s="77">
        <f>Sheet1!A22</f>
        <v>122</v>
      </c>
      <c r="B56" s="78">
        <f>Sheet1!B22</f>
        <v>4.45</v>
      </c>
      <c r="C56" s="79">
        <v>1</v>
      </c>
    </row>
    <row r="57" spans="1:3" x14ac:dyDescent="0.15">
      <c r="A57" s="77">
        <f>Sheet1!A23</f>
        <v>123</v>
      </c>
      <c r="B57" s="78">
        <f>Sheet1!B23</f>
        <v>4.59</v>
      </c>
      <c r="C57" s="79">
        <v>1</v>
      </c>
    </row>
    <row r="58" spans="1:3" x14ac:dyDescent="0.15">
      <c r="A58" s="77">
        <f>Sheet1!A24</f>
        <v>124</v>
      </c>
      <c r="B58" s="78">
        <f>Sheet1!B24</f>
        <v>4.72</v>
      </c>
      <c r="C58" s="79">
        <v>1</v>
      </c>
    </row>
    <row r="59" spans="1:3" x14ac:dyDescent="0.15">
      <c r="A59" s="77">
        <f>Sheet1!A25</f>
        <v>125</v>
      </c>
      <c r="B59" s="78">
        <f>Sheet1!B25</f>
        <v>4.8499999999999996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4.96</v>
      </c>
      <c r="C60" s="79">
        <v>1</v>
      </c>
    </row>
    <row r="61" spans="1:3" x14ac:dyDescent="0.15">
      <c r="A61" s="77">
        <f>Sheet1!A27</f>
        <v>135</v>
      </c>
      <c r="B61" s="78">
        <f>Sheet1!B27</f>
        <v>5.07</v>
      </c>
      <c r="C61" s="79">
        <v>1</v>
      </c>
    </row>
    <row r="62" spans="1:3" x14ac:dyDescent="0.15">
      <c r="A62" s="77">
        <f>Sheet1!A28</f>
        <v>140</v>
      </c>
      <c r="B62" s="78">
        <f>Sheet1!B28</f>
        <v>5.0999999999999996</v>
      </c>
      <c r="C62" s="79">
        <v>1</v>
      </c>
    </row>
    <row r="63" spans="1:3" x14ac:dyDescent="0.15">
      <c r="A63" s="77">
        <f>Sheet1!A29</f>
        <v>145</v>
      </c>
      <c r="B63" s="78">
        <f>Sheet1!B29</f>
        <v>5.1999999999999993</v>
      </c>
      <c r="C63" s="79">
        <v>1</v>
      </c>
    </row>
    <row r="64" spans="1:3" x14ac:dyDescent="0.15">
      <c r="A64" s="77">
        <f>Sheet1!A30</f>
        <v>150</v>
      </c>
      <c r="B64" s="78">
        <f>Sheet1!B30</f>
        <v>5.24</v>
      </c>
      <c r="C64" s="79">
        <v>1</v>
      </c>
    </row>
    <row r="65" spans="1:3" x14ac:dyDescent="0.15">
      <c r="A65" s="77">
        <f>Sheet1!A31</f>
        <v>155</v>
      </c>
      <c r="B65" s="78">
        <f>Sheet1!B31</f>
        <v>5.3</v>
      </c>
      <c r="C65" s="79">
        <v>1</v>
      </c>
    </row>
    <row r="66" spans="1:3" x14ac:dyDescent="0.15">
      <c r="A66" s="77">
        <f>Sheet1!A32</f>
        <v>160</v>
      </c>
      <c r="B66" s="78">
        <f>Sheet1!B32</f>
        <v>5.35</v>
      </c>
      <c r="C66" s="79">
        <v>1</v>
      </c>
    </row>
    <row r="67" spans="1:3" x14ac:dyDescent="0.15">
      <c r="A67" s="77">
        <f>Sheet1!A33</f>
        <v>165</v>
      </c>
      <c r="B67" s="78">
        <f>Sheet1!B33</f>
        <v>5.39</v>
      </c>
      <c r="C67" s="79">
        <v>1</v>
      </c>
    </row>
    <row r="68" spans="1:3" x14ac:dyDescent="0.15">
      <c r="A68" s="77">
        <f>Sheet1!A34</f>
        <v>170</v>
      </c>
      <c r="B68" s="78">
        <f>Sheet1!B34</f>
        <v>5.42</v>
      </c>
      <c r="C68" s="79">
        <v>1</v>
      </c>
    </row>
    <row r="69" spans="1:3" x14ac:dyDescent="0.15">
      <c r="A69" s="77">
        <f>Sheet1!A35</f>
        <v>175</v>
      </c>
      <c r="B69" s="78">
        <f>Sheet1!B35</f>
        <v>5.4399999999999995</v>
      </c>
      <c r="C69" s="79">
        <v>1</v>
      </c>
    </row>
    <row r="70" spans="1:3" x14ac:dyDescent="0.15">
      <c r="A70" s="77">
        <f>Sheet1!A36</f>
        <v>180</v>
      </c>
      <c r="B70" s="78">
        <f>Sheet1!B36</f>
        <v>5.38</v>
      </c>
      <c r="C70" s="79">
        <v>1</v>
      </c>
    </row>
    <row r="71" spans="1:3" x14ac:dyDescent="0.15">
      <c r="A71" s="77">
        <f>Sheet1!A37</f>
        <v>195</v>
      </c>
      <c r="B71" s="78">
        <f>Sheet1!B37</f>
        <v>5.45</v>
      </c>
      <c r="C71" s="79">
        <v>1</v>
      </c>
    </row>
    <row r="72" spans="1:3" x14ac:dyDescent="0.15">
      <c r="A72" s="77">
        <f>Sheet1!A38</f>
        <v>210</v>
      </c>
      <c r="B72" s="78">
        <f>Sheet1!B38</f>
        <v>5.51</v>
      </c>
      <c r="C72" s="79">
        <v>1</v>
      </c>
    </row>
    <row r="73" spans="1:3" x14ac:dyDescent="0.15">
      <c r="A73" s="77">
        <f>Sheet1!A39</f>
        <v>225</v>
      </c>
      <c r="B73" s="78">
        <f>Sheet1!B39</f>
        <v>5.56</v>
      </c>
      <c r="C73" s="79">
        <v>1</v>
      </c>
    </row>
    <row r="74" spans="1:3" x14ac:dyDescent="0.15">
      <c r="A74" s="77">
        <f>Sheet1!A40</f>
        <v>240</v>
      </c>
      <c r="B74" s="78">
        <f>Sheet1!B40</f>
        <v>5.52</v>
      </c>
      <c r="C74" s="79">
        <v>1</v>
      </c>
    </row>
    <row r="75" spans="1:3" x14ac:dyDescent="0.15">
      <c r="A75" s="77">
        <f>Sheet1!A41</f>
        <v>241</v>
      </c>
      <c r="B75" s="78">
        <f>Sheet1!B41</f>
        <v>5.6999999999999993</v>
      </c>
      <c r="C75" s="79">
        <v>1</v>
      </c>
    </row>
    <row r="76" spans="1:3" x14ac:dyDescent="0.15">
      <c r="A76" s="77">
        <f>Sheet1!A42</f>
        <v>242</v>
      </c>
      <c r="B76" s="78">
        <f>Sheet1!B42</f>
        <v>5.8599999999999994</v>
      </c>
      <c r="C76" s="79">
        <v>1</v>
      </c>
    </row>
    <row r="77" spans="1:3" x14ac:dyDescent="0.15">
      <c r="A77" s="77">
        <f>Sheet1!A43</f>
        <v>243</v>
      </c>
      <c r="B77" s="78">
        <f>Sheet1!B43</f>
        <v>6.01</v>
      </c>
      <c r="C77" s="79">
        <v>1</v>
      </c>
    </row>
    <row r="78" spans="1:3" x14ac:dyDescent="0.15">
      <c r="A78" s="77">
        <f>Sheet1!A44</f>
        <v>244</v>
      </c>
      <c r="B78" s="78">
        <f>Sheet1!B44</f>
        <v>6.1499999999999995</v>
      </c>
      <c r="C78" s="79">
        <v>1</v>
      </c>
    </row>
    <row r="79" spans="1:3" x14ac:dyDescent="0.15">
      <c r="A79" s="77">
        <f>Sheet1!A45</f>
        <v>245</v>
      </c>
      <c r="B79" s="78">
        <f>Sheet1!B45</f>
        <v>6.2799999999999994</v>
      </c>
      <c r="C79" s="79">
        <v>1</v>
      </c>
    </row>
    <row r="80" spans="1:3" x14ac:dyDescent="0.15">
      <c r="A80" s="77">
        <f>Sheet1!A46</f>
        <v>250</v>
      </c>
      <c r="B80" s="78">
        <f>Sheet1!B46</f>
        <v>6.45</v>
      </c>
      <c r="C80" s="79">
        <v>1</v>
      </c>
    </row>
    <row r="81" spans="1:3" x14ac:dyDescent="0.15">
      <c r="A81" s="77">
        <f>Sheet1!A47</f>
        <v>255</v>
      </c>
      <c r="B81" s="78">
        <f>Sheet1!B47</f>
        <v>6.5600000000000005</v>
      </c>
      <c r="C81" s="79">
        <v>1</v>
      </c>
    </row>
    <row r="82" spans="1:3" x14ac:dyDescent="0.15">
      <c r="A82" s="77">
        <f>Sheet1!A48</f>
        <v>260</v>
      </c>
      <c r="B82" s="78">
        <f>Sheet1!B48</f>
        <v>6.6</v>
      </c>
      <c r="C82" s="79">
        <v>1</v>
      </c>
    </row>
    <row r="83" spans="1:3" x14ac:dyDescent="0.15">
      <c r="A83" s="77">
        <f>Sheet1!A49</f>
        <v>265</v>
      </c>
      <c r="B83" s="78">
        <f>Sheet1!B49</f>
        <v>6.71</v>
      </c>
      <c r="C83" s="79">
        <v>1</v>
      </c>
    </row>
    <row r="84" spans="1:3" x14ac:dyDescent="0.15">
      <c r="A84" s="77">
        <f>Sheet1!A50</f>
        <v>270</v>
      </c>
      <c r="B84" s="78">
        <f>Sheet1!B50</f>
        <v>6.76</v>
      </c>
      <c r="C84" s="79">
        <v>1</v>
      </c>
    </row>
    <row r="85" spans="1:3" x14ac:dyDescent="0.15">
      <c r="A85" s="77">
        <f>Sheet1!A51</f>
        <v>275</v>
      </c>
      <c r="B85" s="78">
        <f>Sheet1!B51</f>
        <v>6.83</v>
      </c>
      <c r="C85" s="79">
        <v>1</v>
      </c>
    </row>
    <row r="86" spans="1:3" x14ac:dyDescent="0.15">
      <c r="A86" s="77">
        <f>Sheet1!A52</f>
        <v>280</v>
      </c>
      <c r="B86" s="78">
        <f>Sheet1!B52</f>
        <v>6.88</v>
      </c>
      <c r="C86" s="79">
        <v>1</v>
      </c>
    </row>
    <row r="87" spans="1:3" x14ac:dyDescent="0.15">
      <c r="A87" s="77">
        <f>Sheet1!A53</f>
        <v>285</v>
      </c>
      <c r="B87" s="78">
        <f>Sheet1!B53</f>
        <v>6.92</v>
      </c>
      <c r="C87" s="79">
        <v>1</v>
      </c>
    </row>
    <row r="88" spans="1:3" x14ac:dyDescent="0.15">
      <c r="A88" s="77">
        <f>Sheet1!A54</f>
        <v>290</v>
      </c>
      <c r="B88" s="78">
        <f>Sheet1!B54</f>
        <v>6.95</v>
      </c>
      <c r="C88" s="79">
        <v>1</v>
      </c>
    </row>
    <row r="89" spans="1:3" x14ac:dyDescent="0.15">
      <c r="A89" s="77">
        <f>Sheet1!A55</f>
        <v>295</v>
      </c>
      <c r="B89" s="78">
        <f>Sheet1!B55</f>
        <v>6.97</v>
      </c>
      <c r="C89" s="79">
        <v>1</v>
      </c>
    </row>
    <row r="90" spans="1:3" x14ac:dyDescent="0.15">
      <c r="A90" s="77">
        <f>Sheet1!A56</f>
        <v>300</v>
      </c>
      <c r="B90" s="78">
        <f>Sheet1!B56</f>
        <v>6.91</v>
      </c>
      <c r="C90" s="79">
        <v>1</v>
      </c>
    </row>
    <row r="91" spans="1:3" x14ac:dyDescent="0.15">
      <c r="A91" s="77">
        <f>Sheet1!A57</f>
        <v>315</v>
      </c>
      <c r="B91" s="78">
        <f>Sheet1!B57</f>
        <v>6.99</v>
      </c>
      <c r="C91" s="79">
        <v>1</v>
      </c>
    </row>
    <row r="92" spans="1:3" x14ac:dyDescent="0.15">
      <c r="A92" s="77">
        <f>Sheet1!A58</f>
        <v>330</v>
      </c>
      <c r="B92" s="78">
        <f>Sheet1!B58</f>
        <v>7.05</v>
      </c>
      <c r="C92" s="79">
        <v>1</v>
      </c>
    </row>
    <row r="93" spans="1:3" x14ac:dyDescent="0.15">
      <c r="A93" s="77">
        <f>Sheet1!A59</f>
        <v>345</v>
      </c>
      <c r="B93" s="78">
        <f>Sheet1!B59</f>
        <v>7.1</v>
      </c>
      <c r="C93" s="79">
        <v>1</v>
      </c>
    </row>
    <row r="94" spans="1:3" x14ac:dyDescent="0.15">
      <c r="A94" s="77">
        <f>Sheet1!A60</f>
        <v>360</v>
      </c>
      <c r="B94" s="78">
        <f>Sheet1!B60</f>
        <v>7.07</v>
      </c>
      <c r="C94" s="79">
        <v>1</v>
      </c>
    </row>
    <row r="95" spans="1:3" x14ac:dyDescent="0.15">
      <c r="A95" s="77">
        <f>Sheet1!A61</f>
        <v>361</v>
      </c>
      <c r="B95" s="78">
        <f>Sheet1!B61</f>
        <v>7.2600000000000007</v>
      </c>
      <c r="C95" s="79">
        <v>1</v>
      </c>
    </row>
    <row r="96" spans="1:3" x14ac:dyDescent="0.15">
      <c r="A96" s="77">
        <f>Sheet1!A62</f>
        <v>362</v>
      </c>
      <c r="B96" s="78">
        <f>Sheet1!B62</f>
        <v>7.4300000000000006</v>
      </c>
      <c r="C96" s="79">
        <v>1</v>
      </c>
    </row>
    <row r="97" spans="1:3" x14ac:dyDescent="0.15">
      <c r="A97" s="77">
        <f>Sheet1!A63</f>
        <v>363</v>
      </c>
      <c r="B97" s="78">
        <f>Sheet1!B63</f>
        <v>7.5900000000000007</v>
      </c>
      <c r="C97" s="79">
        <v>1</v>
      </c>
    </row>
    <row r="98" spans="1:3" x14ac:dyDescent="0.15">
      <c r="A98" s="77">
        <f>Sheet1!A64</f>
        <v>364</v>
      </c>
      <c r="B98" s="78">
        <f>Sheet1!B64</f>
        <v>7.7400000000000011</v>
      </c>
      <c r="C98" s="79">
        <v>1</v>
      </c>
    </row>
    <row r="99" spans="1:3" x14ac:dyDescent="0.15">
      <c r="A99" s="77">
        <f>Sheet1!A65</f>
        <v>365</v>
      </c>
      <c r="B99" s="78">
        <f>Sheet1!B65</f>
        <v>7.8800000000000008</v>
      </c>
      <c r="C99" s="79">
        <v>1</v>
      </c>
    </row>
    <row r="100" spans="1:3" x14ac:dyDescent="0.15">
      <c r="A100" s="77">
        <f>Sheet1!A66</f>
        <v>370</v>
      </c>
      <c r="B100" s="78">
        <f>Sheet1!B66</f>
        <v>8.11</v>
      </c>
      <c r="C100" s="79">
        <v>1</v>
      </c>
    </row>
    <row r="101" spans="1:3" x14ac:dyDescent="0.15">
      <c r="A101" s="77">
        <f>Sheet1!A67</f>
        <v>375</v>
      </c>
      <c r="B101" s="78">
        <f>Sheet1!B67</f>
        <v>8.2299999999999986</v>
      </c>
      <c r="C101" s="79">
        <v>1</v>
      </c>
    </row>
    <row r="102" spans="1:3" x14ac:dyDescent="0.15">
      <c r="A102" s="77">
        <f>Sheet1!A68</f>
        <v>380</v>
      </c>
      <c r="B102" s="78">
        <f>Sheet1!B68</f>
        <v>8.2799999999999994</v>
      </c>
      <c r="C102" s="79">
        <v>1</v>
      </c>
    </row>
    <row r="103" spans="1:3" x14ac:dyDescent="0.15">
      <c r="A103" s="77">
        <f>Sheet1!A69</f>
        <v>385</v>
      </c>
      <c r="B103" s="78">
        <f>Sheet1!B69</f>
        <v>8.3999999999999986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8.4600000000000009</v>
      </c>
      <c r="C104" s="79">
        <v>1</v>
      </c>
    </row>
    <row r="105" spans="1:3" x14ac:dyDescent="0.15">
      <c r="A105" s="77">
        <f>Sheet1!A71</f>
        <v>395</v>
      </c>
      <c r="B105" s="78">
        <f>Sheet1!B71</f>
        <v>8.5300000000000011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8.5800000000000018</v>
      </c>
      <c r="C106" s="79">
        <v>1</v>
      </c>
    </row>
    <row r="107" spans="1:3" x14ac:dyDescent="0.15">
      <c r="A107" s="77">
        <f>Sheet1!A73</f>
        <v>405</v>
      </c>
      <c r="B107" s="78">
        <f>Sheet1!B73</f>
        <v>8.620000000000001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8.65</v>
      </c>
      <c r="C108" s="79">
        <v>1</v>
      </c>
    </row>
    <row r="109" spans="1:3" x14ac:dyDescent="0.15">
      <c r="A109" s="77">
        <f>Sheet1!A75</f>
        <v>415</v>
      </c>
      <c r="B109" s="78">
        <f>Sheet1!B75</f>
        <v>8.68</v>
      </c>
      <c r="C109" s="79">
        <v>1</v>
      </c>
    </row>
    <row r="110" spans="1:3" x14ac:dyDescent="0.15">
      <c r="A110" s="77">
        <f>Sheet1!A76</f>
        <v>420</v>
      </c>
      <c r="B110" s="78">
        <f>Sheet1!B76</f>
        <v>8.6300000000000008</v>
      </c>
      <c r="C110" s="79">
        <v>1</v>
      </c>
    </row>
    <row r="111" spans="1:3" x14ac:dyDescent="0.15">
      <c r="A111" s="77">
        <f>Sheet1!A77</f>
        <v>435</v>
      </c>
      <c r="B111" s="78">
        <f>Sheet1!B77</f>
        <v>8.7200000000000006</v>
      </c>
      <c r="C111" s="79">
        <v>1</v>
      </c>
    </row>
    <row r="112" spans="1:3" x14ac:dyDescent="0.15">
      <c r="A112" s="77">
        <f>Sheet1!A78</f>
        <v>450</v>
      </c>
      <c r="B112" s="78">
        <f>Sheet1!B78</f>
        <v>8.7900000000000009</v>
      </c>
      <c r="C112" s="79">
        <v>1</v>
      </c>
    </row>
    <row r="113" spans="1:3" x14ac:dyDescent="0.15">
      <c r="A113" s="77">
        <f>Sheet1!A79</f>
        <v>465</v>
      </c>
      <c r="B113" s="78">
        <f>Sheet1!B79</f>
        <v>8.8400000000000016</v>
      </c>
      <c r="C113" s="79">
        <v>1</v>
      </c>
    </row>
    <row r="114" spans="1:3" x14ac:dyDescent="0.15">
      <c r="A114" s="77">
        <f>Sheet1!A80</f>
        <v>480</v>
      </c>
      <c r="B114" s="78">
        <f>Sheet1!B80</f>
        <v>8.81</v>
      </c>
      <c r="C114" s="79">
        <v>1</v>
      </c>
    </row>
    <row r="115" spans="1:3" x14ac:dyDescent="0.15">
      <c r="A115" s="77">
        <f>Sheet1!A81</f>
        <v>481</v>
      </c>
      <c r="B115" s="78">
        <f>Sheet1!B81</f>
        <v>9.0200000000000014</v>
      </c>
      <c r="C115" s="79">
        <v>1</v>
      </c>
    </row>
    <row r="116" spans="1:3" x14ac:dyDescent="0.15">
      <c r="A116" s="77">
        <f>Sheet1!A82</f>
        <v>482</v>
      </c>
      <c r="B116" s="78">
        <f>Sheet1!B82</f>
        <v>9.2100000000000009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9.3800000000000008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9.5400000000000009</v>
      </c>
      <c r="C118" s="79">
        <v>1</v>
      </c>
    </row>
    <row r="119" spans="1:3" x14ac:dyDescent="0.15">
      <c r="A119" s="77">
        <f>Sheet1!A85</f>
        <v>485</v>
      </c>
      <c r="B119" s="78">
        <f>Sheet1!B85</f>
        <v>9.6800000000000015</v>
      </c>
      <c r="C119" s="79">
        <v>1</v>
      </c>
    </row>
    <row r="120" spans="1:3" x14ac:dyDescent="0.15">
      <c r="A120" s="77">
        <f>Sheet1!A86</f>
        <v>490</v>
      </c>
      <c r="B120" s="78">
        <f>Sheet1!B86</f>
        <v>9.86</v>
      </c>
      <c r="C120" s="79">
        <v>1</v>
      </c>
    </row>
    <row r="121" spans="1:3" x14ac:dyDescent="0.15">
      <c r="A121" s="77">
        <f>Sheet1!A87</f>
        <v>495</v>
      </c>
      <c r="B121" s="78">
        <f>Sheet1!B87</f>
        <v>10.17</v>
      </c>
      <c r="C121" s="79">
        <v>1</v>
      </c>
    </row>
    <row r="122" spans="1:3" x14ac:dyDescent="0.15">
      <c r="A122" s="77">
        <f>Sheet1!A88</f>
        <v>500</v>
      </c>
      <c r="B122" s="78">
        <f>Sheet1!B88</f>
        <v>10.26</v>
      </c>
      <c r="C122" s="79">
        <v>1</v>
      </c>
    </row>
    <row r="123" spans="1:3" x14ac:dyDescent="0.15">
      <c r="A123" s="77">
        <f>Sheet1!A89</f>
        <v>505</v>
      </c>
      <c r="B123" s="78">
        <f>Sheet1!B89</f>
        <v>10.56</v>
      </c>
      <c r="C123" s="79">
        <v>1</v>
      </c>
    </row>
    <row r="124" spans="1:3" x14ac:dyDescent="0.15">
      <c r="A124" s="77">
        <f>Sheet1!A90</f>
        <v>510</v>
      </c>
      <c r="B124" s="78">
        <f>Sheet1!B90</f>
        <v>10.65</v>
      </c>
      <c r="C124" s="79">
        <v>1</v>
      </c>
    </row>
    <row r="125" spans="1:3" x14ac:dyDescent="0.15">
      <c r="A125" s="77">
        <f>Sheet1!A91</f>
        <v>515</v>
      </c>
      <c r="B125" s="78">
        <f>Sheet1!B91</f>
        <v>10.8</v>
      </c>
      <c r="C125" s="79">
        <v>1</v>
      </c>
    </row>
    <row r="126" spans="1:3" x14ac:dyDescent="0.15">
      <c r="A126" s="77">
        <f>Sheet1!A92</f>
        <v>520</v>
      </c>
      <c r="B126" s="78">
        <f>Sheet1!B92</f>
        <v>10.930000000000001</v>
      </c>
      <c r="C126" s="79">
        <v>1</v>
      </c>
    </row>
    <row r="127" spans="1:3" x14ac:dyDescent="0.15">
      <c r="A127" s="77">
        <f>Sheet1!A93</f>
        <v>525</v>
      </c>
      <c r="B127" s="78">
        <f>Sheet1!B93</f>
        <v>11.040000000000001</v>
      </c>
      <c r="C127" s="79">
        <v>1</v>
      </c>
    </row>
    <row r="128" spans="1:3" x14ac:dyDescent="0.15">
      <c r="A128" s="77">
        <f>Sheet1!A94</f>
        <v>530</v>
      </c>
      <c r="B128" s="78">
        <f>Sheet1!B94</f>
        <v>11.120000000000001</v>
      </c>
      <c r="C128" s="79">
        <v>1</v>
      </c>
    </row>
    <row r="129" spans="1:3" x14ac:dyDescent="0.15">
      <c r="A129" s="77">
        <f>Sheet1!A95</f>
        <v>535</v>
      </c>
      <c r="B129" s="78">
        <f>Sheet1!B95</f>
        <v>11.190000000000001</v>
      </c>
      <c r="C129" s="79">
        <v>1</v>
      </c>
    </row>
    <row r="130" spans="1:3" x14ac:dyDescent="0.15">
      <c r="A130" s="77">
        <f>Sheet1!A96</f>
        <v>540</v>
      </c>
      <c r="B130" s="78">
        <f>Sheet1!B96</f>
        <v>11.05</v>
      </c>
      <c r="C130" s="79">
        <v>1</v>
      </c>
    </row>
    <row r="131" spans="1:3" x14ac:dyDescent="0.15">
      <c r="A131" s="77">
        <f>Sheet1!A97</f>
        <v>555</v>
      </c>
      <c r="B131" s="78">
        <f>Sheet1!B97</f>
        <v>11.24</v>
      </c>
      <c r="C131" s="79">
        <v>1</v>
      </c>
    </row>
    <row r="132" spans="1:3" x14ac:dyDescent="0.15">
      <c r="A132" s="77">
        <f>Sheet1!A98</f>
        <v>570</v>
      </c>
      <c r="B132" s="78">
        <f>Sheet1!B98</f>
        <v>11.4</v>
      </c>
      <c r="C132" s="79">
        <v>1</v>
      </c>
    </row>
    <row r="133" spans="1:3" x14ac:dyDescent="0.15">
      <c r="A133" s="77">
        <f>Sheet1!A99</f>
        <v>585</v>
      </c>
      <c r="B133" s="78">
        <f>Sheet1!B99</f>
        <v>11.540000000000001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11.45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1.6728853614782413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7">
        <f>장기양수시험!G10</f>
        <v>4.2172200710678105</v>
      </c>
      <c r="C31" s="79">
        <v>1</v>
      </c>
    </row>
    <row r="32" spans="1:3" x14ac:dyDescent="0.15">
      <c r="A32" s="77">
        <f>장기양수시험!D11</f>
        <v>2</v>
      </c>
      <c r="B32" s="247">
        <f>장기양수시험!G11</f>
        <v>5.1265236651298558</v>
      </c>
      <c r="C32" s="79">
        <v>1</v>
      </c>
    </row>
    <row r="33" spans="1:3" x14ac:dyDescent="0.15">
      <c r="A33" s="77">
        <f>장기양수시험!D12</f>
        <v>3</v>
      </c>
      <c r="B33" s="247">
        <f>장기양수시험!G12</f>
        <v>5.6584321694271225</v>
      </c>
      <c r="C33" s="79">
        <v>1</v>
      </c>
    </row>
    <row r="34" spans="1:3" x14ac:dyDescent="0.15">
      <c r="A34" s="77">
        <f>장기양수시험!D13</f>
        <v>4</v>
      </c>
      <c r="B34" s="247">
        <f>장기양수시험!G13</f>
        <v>6.0358272591918993</v>
      </c>
      <c r="C34" s="79">
        <v>1</v>
      </c>
    </row>
    <row r="35" spans="1:3" x14ac:dyDescent="0.15">
      <c r="A35" s="77">
        <f>장기양수시험!D14</f>
        <v>5</v>
      </c>
      <c r="B35" s="247">
        <f>장기양수시험!G14</f>
        <v>6.3285576329025233</v>
      </c>
      <c r="C35" s="79">
        <v>1</v>
      </c>
    </row>
    <row r="36" spans="1:3" x14ac:dyDescent="0.15">
      <c r="A36" s="77">
        <f>장기양수시험!D15</f>
        <v>10</v>
      </c>
      <c r="B36" s="247">
        <f>장기양수시험!G15</f>
        <v>7.2378612269645668</v>
      </c>
      <c r="C36" s="79">
        <v>1</v>
      </c>
    </row>
    <row r="37" spans="1:3" x14ac:dyDescent="0.15">
      <c r="A37" s="77">
        <f>장기양수시험!D16</f>
        <v>15</v>
      </c>
      <c r="B37" s="247">
        <f>장기양수시험!G16</f>
        <v>7.7697697312618352</v>
      </c>
      <c r="C37" s="79">
        <v>1</v>
      </c>
    </row>
    <row r="38" spans="1:3" x14ac:dyDescent="0.15">
      <c r="A38" s="77">
        <f>장기양수시험!D17</f>
        <v>20</v>
      </c>
      <c r="B38" s="247">
        <f>장기양수시험!G17</f>
        <v>8.1471648210266103</v>
      </c>
      <c r="C38" s="79">
        <v>1</v>
      </c>
    </row>
    <row r="39" spans="1:3" x14ac:dyDescent="0.15">
      <c r="A39" s="77">
        <f>장기양수시험!D18</f>
        <v>25</v>
      </c>
      <c r="B39" s="247">
        <f>장기양수시험!G18</f>
        <v>8.439895194737236</v>
      </c>
      <c r="C39" s="79">
        <v>1</v>
      </c>
    </row>
    <row r="40" spans="1:3" x14ac:dyDescent="0.15">
      <c r="A40" s="77">
        <f>장기양수시험!D19</f>
        <v>30</v>
      </c>
      <c r="B40" s="247">
        <f>장기양수시험!G19</f>
        <v>8.6790733253238805</v>
      </c>
      <c r="C40" s="79">
        <v>1</v>
      </c>
    </row>
    <row r="41" spans="1:3" x14ac:dyDescent="0.15">
      <c r="A41" s="77">
        <f>장기양수시험!D20</f>
        <v>35</v>
      </c>
      <c r="B41" s="247">
        <f>장기양수시험!G20</f>
        <v>8.8812955533372726</v>
      </c>
      <c r="C41" s="79">
        <v>1</v>
      </c>
    </row>
    <row r="42" spans="1:3" x14ac:dyDescent="0.15">
      <c r="A42" s="77">
        <f>장기양수시험!D21</f>
        <v>40</v>
      </c>
      <c r="B42" s="247">
        <f>장기양수시험!G21</f>
        <v>9.0564684150886556</v>
      </c>
      <c r="C42" s="79">
        <v>1</v>
      </c>
    </row>
    <row r="43" spans="1:3" x14ac:dyDescent="0.15">
      <c r="A43" s="77">
        <f>장기양수시험!D22</f>
        <v>45</v>
      </c>
      <c r="B43" s="247">
        <f>장기양수시험!G22</f>
        <v>9.210981829621149</v>
      </c>
      <c r="C43" s="79">
        <v>1</v>
      </c>
    </row>
    <row r="44" spans="1:3" x14ac:dyDescent="0.15">
      <c r="A44" s="77">
        <f>장기양수시험!D23</f>
        <v>50</v>
      </c>
      <c r="B44" s="247">
        <f>장기양수시험!G23</f>
        <v>9.3491987887992796</v>
      </c>
      <c r="C44" s="79">
        <v>1</v>
      </c>
    </row>
    <row r="45" spans="1:3" x14ac:dyDescent="0.15">
      <c r="A45" s="77">
        <f>장기양수시험!D24</f>
        <v>55</v>
      </c>
      <c r="B45" s="247">
        <f>장기양수시험!G24</f>
        <v>9.4251512371412929</v>
      </c>
      <c r="C45" s="79">
        <v>1</v>
      </c>
    </row>
    <row r="46" spans="1:3" x14ac:dyDescent="0.15">
      <c r="A46" s="77">
        <f>장기양수시험!D25</f>
        <v>60</v>
      </c>
      <c r="B46" s="247">
        <f>장기양수시험!G25</f>
        <v>9.5883769193859241</v>
      </c>
      <c r="C46" s="79">
        <v>1</v>
      </c>
    </row>
    <row r="47" spans="1:3" x14ac:dyDescent="0.15">
      <c r="A47" s="77">
        <f>장기양수시험!D26</f>
        <v>75</v>
      </c>
      <c r="B47" s="247">
        <f>장기양수시험!G26</f>
        <v>9.881107293096548</v>
      </c>
      <c r="C47" s="79">
        <v>1</v>
      </c>
    </row>
    <row r="48" spans="1:3" x14ac:dyDescent="0.15">
      <c r="A48" s="77">
        <f>장기양수시험!D27</f>
        <v>90</v>
      </c>
      <c r="B48" s="247">
        <f>장기양수시험!G27</f>
        <v>10.120285423683193</v>
      </c>
      <c r="C48" s="79">
        <v>1</v>
      </c>
    </row>
    <row r="49" spans="1:3" x14ac:dyDescent="0.15">
      <c r="A49" s="77">
        <f>장기양수시험!D28</f>
        <v>105</v>
      </c>
      <c r="B49" s="247">
        <f>장기양수시험!G28</f>
        <v>10.322507651696585</v>
      </c>
      <c r="C49" s="79">
        <v>1</v>
      </c>
    </row>
    <row r="50" spans="1:3" x14ac:dyDescent="0.15">
      <c r="A50" s="77">
        <f>장기양수시험!D29</f>
        <v>120</v>
      </c>
      <c r="B50" s="247">
        <f>장기양수시험!G29</f>
        <v>10.497680513447968</v>
      </c>
      <c r="C50" s="79">
        <v>1</v>
      </c>
    </row>
    <row r="51" spans="1:3" x14ac:dyDescent="0.15">
      <c r="A51" s="77">
        <f>장기양수시험!D30</f>
        <v>140</v>
      </c>
      <c r="B51" s="247">
        <f>장기양수시험!G30</f>
        <v>10.699902741461361</v>
      </c>
      <c r="C51" s="79">
        <v>1</v>
      </c>
    </row>
    <row r="52" spans="1:3" x14ac:dyDescent="0.15">
      <c r="A52" s="77">
        <f>장기양수시험!D31</f>
        <v>160</v>
      </c>
      <c r="B52" s="247">
        <f>장기양수시험!G31</f>
        <v>10.875075603212743</v>
      </c>
      <c r="C52" s="79">
        <v>1</v>
      </c>
    </row>
    <row r="53" spans="1:3" x14ac:dyDescent="0.15">
      <c r="A53" s="77">
        <f>장기양수시험!D32</f>
        <v>180</v>
      </c>
      <c r="B53" s="247">
        <f>장기양수시험!G32</f>
        <v>11.029589017745238</v>
      </c>
      <c r="C53" s="79">
        <v>1</v>
      </c>
    </row>
    <row r="54" spans="1:3" x14ac:dyDescent="0.15">
      <c r="A54" s="77">
        <f>장기양수시험!D33</f>
        <v>240</v>
      </c>
      <c r="B54" s="247">
        <f>장기양수시험!G33</f>
        <v>11.406984107510013</v>
      </c>
      <c r="C54" s="79">
        <v>1</v>
      </c>
    </row>
    <row r="55" spans="1:3" x14ac:dyDescent="0.15">
      <c r="A55" s="77">
        <f>장기양수시험!D34</f>
        <v>300</v>
      </c>
      <c r="B55" s="247">
        <f>장기양수시험!G34</f>
        <v>11.699714481220639</v>
      </c>
      <c r="C55" s="79">
        <v>1</v>
      </c>
    </row>
    <row r="56" spans="1:3" x14ac:dyDescent="0.15">
      <c r="A56" s="77">
        <f>장기양수시험!D35</f>
        <v>360</v>
      </c>
      <c r="B56" s="247">
        <f>장기양수시험!G35</f>
        <v>11.93889261180728</v>
      </c>
      <c r="C56" s="79">
        <v>1</v>
      </c>
    </row>
    <row r="57" spans="1:3" x14ac:dyDescent="0.15">
      <c r="A57" s="77">
        <f>장기양수시험!D36</f>
        <v>420</v>
      </c>
      <c r="B57" s="247">
        <f>장기양수시험!G36</f>
        <v>12.141114839820673</v>
      </c>
      <c r="C57" s="79">
        <v>1</v>
      </c>
    </row>
    <row r="58" spans="1:3" x14ac:dyDescent="0.15">
      <c r="A58" s="77">
        <f>장기양수시험!D37</f>
        <v>480</v>
      </c>
      <c r="B58" s="247">
        <f>장기양수시험!G37</f>
        <v>12.316287701572055</v>
      </c>
      <c r="C58" s="79">
        <v>1</v>
      </c>
    </row>
    <row r="59" spans="1:3" x14ac:dyDescent="0.15">
      <c r="A59" s="77">
        <f>장기양수시험!D38</f>
        <v>540</v>
      </c>
      <c r="B59" s="247">
        <f>장기양수시험!G38</f>
        <v>12.47080111610455</v>
      </c>
      <c r="C59" s="79">
        <v>1</v>
      </c>
    </row>
    <row r="60" spans="1:3" x14ac:dyDescent="0.15">
      <c r="A60" s="77">
        <f>장기양수시험!D39</f>
        <v>600</v>
      </c>
      <c r="B60" s="247">
        <f>장기양수시험!G39</f>
        <v>12.60901807528268</v>
      </c>
      <c r="C60" s="79">
        <v>1</v>
      </c>
    </row>
    <row r="61" spans="1:3" x14ac:dyDescent="0.15">
      <c r="A61" s="77">
        <f>장기양수시험!D40</f>
        <v>660</v>
      </c>
      <c r="B61" s="247">
        <f>장기양수시험!G40</f>
        <v>12.734050523624692</v>
      </c>
      <c r="C61" s="79">
        <v>1</v>
      </c>
    </row>
    <row r="62" spans="1:3" x14ac:dyDescent="0.15">
      <c r="A62" s="77">
        <f>장기양수시험!D41</f>
        <v>720</v>
      </c>
      <c r="B62" s="247">
        <f>장기양수시험!G41</f>
        <v>12.848196205869325</v>
      </c>
      <c r="C62" s="79">
        <v>1</v>
      </c>
    </row>
    <row r="63" spans="1:3" x14ac:dyDescent="0.15">
      <c r="A63" s="77">
        <f>장기양수시험!D42</f>
        <v>780</v>
      </c>
      <c r="B63" s="247">
        <f>장기양수시험!G42</f>
        <v>12.953200054701558</v>
      </c>
      <c r="C63" s="79">
        <v>1</v>
      </c>
    </row>
    <row r="64" spans="1:3" x14ac:dyDescent="0.15">
      <c r="A64" s="77">
        <f>장기양수시험!D43</f>
        <v>840</v>
      </c>
      <c r="B64" s="247">
        <f>장기양수시험!G43</f>
        <v>13.050418433882715</v>
      </c>
      <c r="C64" s="79">
        <v>1</v>
      </c>
    </row>
    <row r="65" spans="1:3" x14ac:dyDescent="0.15">
      <c r="A65" s="77">
        <f>장기양수시험!D44</f>
        <v>900</v>
      </c>
      <c r="B65" s="247">
        <f>장기양수시험!G44</f>
        <v>13.140926579579951</v>
      </c>
      <c r="C65" s="79">
        <v>1</v>
      </c>
    </row>
    <row r="66" spans="1:3" x14ac:dyDescent="0.15">
      <c r="A66" s="77">
        <f>장기양수시험!D45</f>
        <v>960</v>
      </c>
      <c r="B66" s="247">
        <f>장기양수시험!G45</f>
        <v>13.2255912956341</v>
      </c>
      <c r="C66" s="79">
        <v>1</v>
      </c>
    </row>
    <row r="67" spans="1:3" x14ac:dyDescent="0.15">
      <c r="A67" s="77">
        <f>장기양수시험!D46</f>
        <v>1020</v>
      </c>
      <c r="B67" s="247">
        <f>장기양수시험!G46</f>
        <v>13.305121571529913</v>
      </c>
      <c r="C67" s="79">
        <v>1</v>
      </c>
    </row>
    <row r="68" spans="1:3" x14ac:dyDescent="0.15">
      <c r="A68" s="77">
        <f>장기양수시험!D47</f>
        <v>1080</v>
      </c>
      <c r="B68" s="247">
        <f>장기양수시험!G47</f>
        <v>13.380104710166595</v>
      </c>
      <c r="C68" s="79">
        <v>1</v>
      </c>
    </row>
    <row r="69" spans="1:3" x14ac:dyDescent="0.15">
      <c r="A69" s="77">
        <f>장기양수시험!D48</f>
        <v>1140</v>
      </c>
      <c r="B69" s="247">
        <f>장기양수시험!G48</f>
        <v>13.451032674675218</v>
      </c>
      <c r="C69" s="79">
        <v>1</v>
      </c>
    </row>
    <row r="70" spans="1:3" x14ac:dyDescent="0.15">
      <c r="A70" s="77">
        <f>장기양수시험!D49</f>
        <v>1200</v>
      </c>
      <c r="B70" s="247">
        <f>장기양수시험!G49</f>
        <v>13.518321669344726</v>
      </c>
      <c r="C70" s="79">
        <v>1</v>
      </c>
    </row>
    <row r="71" spans="1:3" x14ac:dyDescent="0.15">
      <c r="A71" s="77">
        <f>장기양수시험!D50</f>
        <v>1260</v>
      </c>
      <c r="B71" s="247">
        <f>장기양수시험!G50</f>
        <v>13.582326938179985</v>
      </c>
      <c r="C71" s="79">
        <v>1</v>
      </c>
    </row>
    <row r="72" spans="1:3" x14ac:dyDescent="0.15">
      <c r="A72" s="77">
        <f>장기양수시험!D51</f>
        <v>1320</v>
      </c>
      <c r="B72" s="247">
        <f>장기양수시험!G51</f>
        <v>13.643354117686737</v>
      </c>
      <c r="C72" s="79">
        <v>1</v>
      </c>
    </row>
    <row r="73" spans="1:3" x14ac:dyDescent="0.15">
      <c r="A73" s="77">
        <f>장기양수시험!D52</f>
        <v>1380</v>
      </c>
      <c r="B73" s="247">
        <f>장기양수시험!G52</f>
        <v>13.701668063990898</v>
      </c>
      <c r="C73" s="79">
        <v>1</v>
      </c>
    </row>
    <row r="74" spans="1:3" x14ac:dyDescent="0.15">
      <c r="A74" s="77">
        <f>장기양수시험!D53</f>
        <v>1440</v>
      </c>
      <c r="B74" s="247">
        <f>장기양수시험!G53</f>
        <v>13.75749979993137</v>
      </c>
      <c r="C74" s="79">
        <v>1</v>
      </c>
    </row>
    <row r="75" spans="1:3" x14ac:dyDescent="0.15">
      <c r="A75" s="77">
        <f>장기양수시험!D54</f>
        <v>1500</v>
      </c>
      <c r="B75" s="247">
        <f>장기양수시험!G54</f>
        <v>13.75749979993137</v>
      </c>
      <c r="C75" s="79">
        <v>1</v>
      </c>
    </row>
    <row r="76" spans="1:3" x14ac:dyDescent="0.15">
      <c r="A76" s="77">
        <f>장기양수시험!D55</f>
        <v>1560</v>
      </c>
      <c r="B76" s="247">
        <f>장기양수시험!G55</f>
        <v>13.75749979993137</v>
      </c>
      <c r="C76" s="79">
        <v>1</v>
      </c>
    </row>
    <row r="77" spans="1:3" x14ac:dyDescent="0.15">
      <c r="A77" s="77">
        <f>장기양수시험!D56</f>
        <v>1620</v>
      </c>
      <c r="B77" s="247">
        <f>장기양수시험!G56</f>
        <v>13.75749979993137</v>
      </c>
      <c r="C77" s="79">
        <v>1</v>
      </c>
    </row>
    <row r="78" spans="1:3" x14ac:dyDescent="0.15">
      <c r="A78" s="77">
        <f>장기양수시험!D57</f>
        <v>1680</v>
      </c>
      <c r="B78" s="247">
        <f>장기양수시험!G57</f>
        <v>13.75749979993137</v>
      </c>
      <c r="C78" s="79">
        <v>1</v>
      </c>
    </row>
    <row r="79" spans="1:3" x14ac:dyDescent="0.15">
      <c r="A79" s="77">
        <f>장기양수시험!D58</f>
        <v>1740</v>
      </c>
      <c r="B79" s="247">
        <f>장기양수시험!G58</f>
        <v>13.75749979993137</v>
      </c>
      <c r="C79" s="79">
        <v>1</v>
      </c>
    </row>
    <row r="80" spans="1:3" x14ac:dyDescent="0.15">
      <c r="A80" s="77">
        <f>장기양수시험!D59</f>
        <v>1800</v>
      </c>
      <c r="B80" s="247">
        <f>장기양수시험!G59</f>
        <v>13.75749979993137</v>
      </c>
      <c r="C80" s="79">
        <v>1</v>
      </c>
    </row>
    <row r="81" spans="1:3" x14ac:dyDescent="0.15">
      <c r="A81" s="77">
        <f>장기양수시험!D60</f>
        <v>1860</v>
      </c>
      <c r="B81" s="247">
        <f>장기양수시험!G60</f>
        <v>13.75749979993137</v>
      </c>
      <c r="C81" s="79">
        <v>1</v>
      </c>
    </row>
    <row r="82" spans="1:3" x14ac:dyDescent="0.15">
      <c r="A82" s="77">
        <f>장기양수시험!D61</f>
        <v>1920</v>
      </c>
      <c r="B82" s="247">
        <f>장기양수시험!G61</f>
        <v>13.75749979993137</v>
      </c>
      <c r="C82" s="79">
        <v>1</v>
      </c>
    </row>
    <row r="83" spans="1:3" x14ac:dyDescent="0.15">
      <c r="A83" s="77">
        <f>장기양수시험!D62</f>
        <v>1980</v>
      </c>
      <c r="B83" s="247">
        <f>장기양수시험!G62</f>
        <v>13.75749979993137</v>
      </c>
      <c r="C83" s="79">
        <v>1</v>
      </c>
    </row>
    <row r="84" spans="1:3" x14ac:dyDescent="0.15">
      <c r="A84" s="77">
        <f>장기양수시험!D63</f>
        <v>2040</v>
      </c>
      <c r="B84" s="247">
        <f>장기양수시험!G63</f>
        <v>13.75749979993137</v>
      </c>
      <c r="C84" s="79">
        <v>1</v>
      </c>
    </row>
    <row r="85" spans="1:3" x14ac:dyDescent="0.15">
      <c r="A85" s="77">
        <f>장기양수시험!D64</f>
        <v>2100</v>
      </c>
      <c r="B85" s="247">
        <f>장기양수시험!G64</f>
        <v>13.75749979993137</v>
      </c>
      <c r="C85" s="79">
        <v>1</v>
      </c>
    </row>
    <row r="86" spans="1:3" x14ac:dyDescent="0.15">
      <c r="A86" s="77">
        <f>장기양수시험!D65</f>
        <v>2160</v>
      </c>
      <c r="B86" s="247">
        <f>장기양수시험!G65</f>
        <v>13.75749979993137</v>
      </c>
      <c r="C86" s="79">
        <v>1</v>
      </c>
    </row>
    <row r="87" spans="1:3" x14ac:dyDescent="0.15">
      <c r="A87" s="77">
        <f>장기양수시험!D66</f>
        <v>2220</v>
      </c>
      <c r="B87" s="247">
        <f>장기양수시험!G66</f>
        <v>13.75749979993137</v>
      </c>
      <c r="C87" s="79">
        <v>1</v>
      </c>
    </row>
    <row r="88" spans="1:3" x14ac:dyDescent="0.15">
      <c r="A88" s="77">
        <f>장기양수시험!D67</f>
        <v>2280</v>
      </c>
      <c r="B88" s="247">
        <f>장기양수시험!G67</f>
        <v>13.75749979993137</v>
      </c>
      <c r="C88" s="79">
        <v>1</v>
      </c>
    </row>
    <row r="89" spans="1:3" x14ac:dyDescent="0.15">
      <c r="A89" s="77">
        <f>장기양수시험!D68</f>
        <v>2340</v>
      </c>
      <c r="B89" s="247">
        <f>장기양수시험!G68</f>
        <v>13.75749979993137</v>
      </c>
      <c r="C89" s="79">
        <v>1</v>
      </c>
    </row>
    <row r="90" spans="1:3" x14ac:dyDescent="0.15">
      <c r="A90" s="77">
        <f>장기양수시험!D69</f>
        <v>2400</v>
      </c>
      <c r="B90" s="247">
        <f>장기양수시험!G69</f>
        <v>13.75749979993137</v>
      </c>
      <c r="C90" s="79">
        <v>1</v>
      </c>
    </row>
    <row r="91" spans="1:3" x14ac:dyDescent="0.15">
      <c r="A91" s="77">
        <f>장기양수시험!D70</f>
        <v>2460</v>
      </c>
      <c r="B91" s="247">
        <f>장기양수시험!G70</f>
        <v>13.75749979993137</v>
      </c>
      <c r="C91" s="79">
        <v>1</v>
      </c>
    </row>
    <row r="92" spans="1:3" x14ac:dyDescent="0.15">
      <c r="A92" s="77">
        <f>장기양수시험!D71</f>
        <v>2520</v>
      </c>
      <c r="B92" s="247">
        <f>장기양수시험!G71</f>
        <v>13.75749979993137</v>
      </c>
      <c r="C92" s="79">
        <v>1</v>
      </c>
    </row>
    <row r="93" spans="1:3" x14ac:dyDescent="0.15">
      <c r="A93" s="77">
        <f>장기양수시험!D72</f>
        <v>2580</v>
      </c>
      <c r="B93" s="247">
        <f>장기양수시험!G72</f>
        <v>13.75749979993137</v>
      </c>
      <c r="C93" s="79">
        <v>1</v>
      </c>
    </row>
    <row r="94" spans="1:3" x14ac:dyDescent="0.15">
      <c r="A94" s="77">
        <f>장기양수시험!D73</f>
        <v>2640</v>
      </c>
      <c r="B94" s="247">
        <f>장기양수시험!G73</f>
        <v>13.75749979993137</v>
      </c>
      <c r="C94" s="79">
        <v>1</v>
      </c>
    </row>
    <row r="95" spans="1:3" x14ac:dyDescent="0.15">
      <c r="A95" s="77">
        <f>장기양수시험!D74</f>
        <v>2700</v>
      </c>
      <c r="B95" s="247">
        <f>장기양수시험!G74</f>
        <v>13.75749979993137</v>
      </c>
      <c r="C95" s="79">
        <v>1</v>
      </c>
    </row>
    <row r="96" spans="1:3" x14ac:dyDescent="0.15">
      <c r="A96" s="77">
        <f>장기양수시험!D75</f>
        <v>2760</v>
      </c>
      <c r="B96" s="247">
        <f>장기양수시험!G75</f>
        <v>13.75749979993137</v>
      </c>
      <c r="C96" s="79">
        <v>1</v>
      </c>
    </row>
    <row r="97" spans="1:3" x14ac:dyDescent="0.15">
      <c r="A97" s="77">
        <f>장기양수시험!D76</f>
        <v>2820</v>
      </c>
      <c r="B97" s="247">
        <f>장기양수시험!G76</f>
        <v>13.75749979993137</v>
      </c>
      <c r="C97" s="79">
        <v>1</v>
      </c>
    </row>
    <row r="98" spans="1:3" x14ac:dyDescent="0.15">
      <c r="A98" s="77">
        <f>장기양수시험!D77</f>
        <v>2880</v>
      </c>
      <c r="B98" s="247">
        <f>장기양수시험!G77</f>
        <v>13.75749979993137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72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200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1.6728853614782413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13.75749979993137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9.5311209996387909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8.8102411844657968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8.1438846208540401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7.5279274799790148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6.9585578359876488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5.4960501242760369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5.2153071947377967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4.4562292366096488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4.1191853874572377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3.8076336192144464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3.7091103785047124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3.6131364452995047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3.5196458557845403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3.428574352971721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3.3398593425346759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3.2534398497870827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3.1692564777741672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3.0872513664486068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3.0073681529027554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2.7799079204386161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2.7079772767406087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2.3138363785860894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1.977061932112077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1.6893043603175018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5" customFormat="1" ht="20.100000000000001" customHeight="1" thickBot="1" x14ac:dyDescent="0.2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 x14ac:dyDescent="0.15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 x14ac:dyDescent="0.15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 x14ac:dyDescent="0.15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 x14ac:dyDescent="0.15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 x14ac:dyDescent="0.15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 x14ac:dyDescent="0.15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 x14ac:dyDescent="0.15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 x14ac:dyDescent="0.15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 x14ac:dyDescent="0.15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 x14ac:dyDescent="0.15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 x14ac:dyDescent="0.15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 x14ac:dyDescent="0.2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2020-06-01T04:42:26Z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