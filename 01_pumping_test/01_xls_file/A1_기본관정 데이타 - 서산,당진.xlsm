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printerSettings/printerSettings15.bin" ContentType="application/vnd.openxmlformats-officedocument.spreadsheetml.printerSettings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EC412D1E-F019-4618-97DD-06A797BD3E33}" xr6:coauthVersionLast="44" xr6:coauthVersionMax="45" xr10:uidLastSave="{00000000-0000-0000-0000-000000000000}"/>
  <bookViews>
    <workbookView xWindow="-120" yWindow="-120" windowWidth="29040" windowHeight="15840" tabRatio="666" firstSheet="1" activeTab="20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0" i="23" l="1"/>
  <c r="N68" i="23"/>
  <c r="N67" i="23"/>
  <c r="N64" i="23"/>
  <c r="M70" i="23"/>
  <c r="M68" i="23"/>
  <c r="M67" i="23"/>
  <c r="M64" i="23"/>
  <c r="L70" i="23"/>
  <c r="L68" i="23"/>
  <c r="L67" i="23"/>
  <c r="L64" i="23"/>
  <c r="K70" i="23"/>
  <c r="K68" i="23"/>
  <c r="K67" i="23"/>
  <c r="K64" i="23"/>
  <c r="J70" i="23"/>
  <c r="J68" i="23"/>
  <c r="J67" i="23"/>
  <c r="J64" i="23"/>
  <c r="I70" i="23"/>
  <c r="I68" i="23"/>
  <c r="I67" i="23"/>
  <c r="I64" i="23"/>
  <c r="H70" i="23"/>
  <c r="H68" i="23"/>
  <c r="H67" i="23"/>
  <c r="H64" i="23"/>
  <c r="G70" i="23"/>
  <c r="G68" i="23"/>
  <c r="G67" i="23"/>
  <c r="G64" i="23"/>
  <c r="F70" i="23"/>
  <c r="F68" i="23"/>
  <c r="F67" i="23"/>
  <c r="F64" i="23"/>
  <c r="E70" i="23"/>
  <c r="E68" i="23"/>
  <c r="E67" i="23"/>
  <c r="E64" i="23"/>
  <c r="D70" i="23"/>
  <c r="D68" i="23"/>
  <c r="D67" i="23"/>
  <c r="D64" i="23"/>
  <c r="C70" i="23"/>
  <c r="C68" i="23"/>
  <c r="C67" i="23"/>
  <c r="C64" i="23"/>
  <c r="B70" i="23"/>
  <c r="B68" i="23"/>
  <c r="B67" i="23"/>
  <c r="B64" i="23"/>
  <c r="F34" i="110"/>
  <c r="F40" i="111"/>
  <c r="F33" i="111"/>
  <c r="F40" i="110"/>
  <c r="J35" i="111"/>
  <c r="J32" i="111"/>
  <c r="J35" i="110"/>
  <c r="N37" i="111"/>
  <c r="F37" i="110"/>
  <c r="J38" i="111"/>
  <c r="F32" i="110"/>
  <c r="J36" i="111"/>
  <c r="D31" i="110"/>
  <c r="N38" i="111"/>
  <c r="F38" i="111"/>
  <c r="F35" i="111"/>
  <c r="F37" i="111"/>
  <c r="J34" i="111"/>
  <c r="N40" i="111"/>
  <c r="J37" i="110"/>
  <c r="D33" i="110"/>
  <c r="J34" i="110"/>
  <c r="F31" i="111"/>
  <c r="J33" i="110"/>
  <c r="F31" i="110"/>
  <c r="N39" i="111"/>
  <c r="J33" i="111"/>
  <c r="N35" i="111"/>
  <c r="J39" i="111"/>
  <c r="F34" i="111"/>
  <c r="N31" i="111"/>
  <c r="F32" i="111"/>
  <c r="F35" i="110"/>
  <c r="J31" i="110"/>
  <c r="N34" i="111"/>
  <c r="J40" i="110"/>
  <c r="J39" i="110"/>
  <c r="F36" i="111"/>
  <c r="N32" i="111"/>
  <c r="F39" i="111"/>
  <c r="J38" i="110"/>
  <c r="F36" i="110"/>
  <c r="J36" i="110"/>
  <c r="J32" i="110"/>
  <c r="F33" i="110"/>
  <c r="J40" i="111"/>
  <c r="J37" i="111"/>
  <c r="N33" i="111"/>
  <c r="J31" i="111"/>
  <c r="F39" i="110"/>
  <c r="F38" i="110"/>
  <c r="N36" i="111"/>
  <c r="K6" i="114" l="1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38" i="110"/>
  <c r="I34" i="111"/>
  <c r="H33" i="111"/>
  <c r="H37" i="111"/>
  <c r="M36" i="111"/>
  <c r="H34" i="110"/>
  <c r="H31" i="110"/>
  <c r="L38" i="111"/>
  <c r="E35" i="111"/>
  <c r="M34" i="111"/>
  <c r="D34" i="110"/>
  <c r="M35" i="111"/>
  <c r="I37" i="111"/>
  <c r="D38" i="110"/>
  <c r="E34" i="111"/>
  <c r="D33" i="111"/>
  <c r="E36" i="111"/>
  <c r="I39" i="111"/>
  <c r="L36" i="111"/>
  <c r="D35" i="110"/>
  <c r="M33" i="111"/>
  <c r="D40" i="110"/>
  <c r="H35" i="110"/>
  <c r="H38" i="111"/>
  <c r="H35" i="111"/>
  <c r="L37" i="111"/>
  <c r="I35" i="111"/>
  <c r="I40" i="111"/>
  <c r="D36" i="111"/>
  <c r="M38" i="111"/>
  <c r="D40" i="111"/>
  <c r="L33" i="111"/>
  <c r="H31" i="111"/>
  <c r="H36" i="111"/>
  <c r="D35" i="111"/>
  <c r="H40" i="111"/>
  <c r="M39" i="111"/>
  <c r="I31" i="111"/>
  <c r="H37" i="110"/>
  <c r="D31" i="111"/>
  <c r="L35" i="111"/>
  <c r="E38" i="111"/>
  <c r="L40" i="111"/>
  <c r="E39" i="111"/>
  <c r="E31" i="111"/>
  <c r="L39" i="111"/>
  <c r="E33" i="111"/>
  <c r="D32" i="110"/>
  <c r="H34" i="111"/>
  <c r="H32" i="111"/>
  <c r="H39" i="111"/>
  <c r="M31" i="111"/>
  <c r="H36" i="110"/>
  <c r="H39" i="110"/>
  <c r="I32" i="111"/>
  <c r="D37" i="111"/>
  <c r="D37" i="110"/>
  <c r="L31" i="111"/>
  <c r="I33" i="111"/>
  <c r="I38" i="111"/>
  <c r="L34" i="111"/>
  <c r="L32" i="111"/>
  <c r="D36" i="110"/>
  <c r="M37" i="111"/>
  <c r="M40" i="111"/>
  <c r="D34" i="111"/>
  <c r="M32" i="111"/>
  <c r="E32" i="111"/>
  <c r="D32" i="111"/>
  <c r="I36" i="111"/>
  <c r="E37" i="111"/>
  <c r="D38" i="111"/>
  <c r="E40" i="111"/>
  <c r="D39" i="110"/>
  <c r="H40" i="110"/>
  <c r="H32" i="110"/>
  <c r="H33" i="110"/>
  <c r="D39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O37" i="119" s="1"/>
  <c r="I40" i="110"/>
  <c r="E38" i="110"/>
  <c r="I32" i="110"/>
  <c r="E35" i="110"/>
  <c r="E32" i="110"/>
  <c r="E36" i="110"/>
  <c r="E39" i="110"/>
  <c r="E34" i="110"/>
  <c r="E40" i="110"/>
  <c r="I39" i="110"/>
  <c r="I38" i="110"/>
  <c r="E37" i="110"/>
  <c r="I36" i="110"/>
  <c r="I33" i="110"/>
  <c r="E31" i="110"/>
  <c r="E33" i="110"/>
  <c r="I35" i="110"/>
  <c r="I34" i="110"/>
  <c r="I37" i="110"/>
  <c r="I31" i="110"/>
  <c r="H15" i="110" l="1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L54" i="23" s="1"/>
  <c r="K53" i="23"/>
  <c r="K54" i="23" s="1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J54" i="23" s="1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D25" i="118" l="1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I26" i="113" s="1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F26" i="111" l="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I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L18" i="23" l="1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<sst xmlns="http://schemas.openxmlformats.org/spreadsheetml/2006/main" count="1474" uniqueCount="310">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</sst>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mm&quot;월&quot;\ dd&quot;일&quot;"/>
    <numFmt numFmtId="201" formatCode="#,##0.00000_);[Red]\(#,##0.00000\)"/>
    <numFmt numFmtId="202" formatCode="#,##0.000000_);[Red]\(#,##0.000000\)"/>
    <numFmt numFmtId="203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4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1" fontId="23" fillId="0" borderId="4" xfId="18" applyNumberFormat="1" applyFont="1" applyBorder="1">
      <alignment vertical="center"/>
    </xf>
    <xf numFmtId="191" fontId="23" fillId="0" borderId="4" xfId="0" applyNumberFormat="1" applyFont="1" applyBorder="1" applyAlignment="1">
      <alignment vertical="center"/>
    </xf>
    <xf numFmtId="191" fontId="23" fillId="0" borderId="7" xfId="0" applyNumberFormat="1" applyFont="1" applyBorder="1" applyAlignment="1">
      <alignment vertical="center"/>
    </xf>
    <xf numFmtId="191" fontId="23" fillId="0" borderId="30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4" xfId="0" applyNumberFormat="1" applyFont="1" applyBorder="1" applyAlignment="1">
      <alignment vertical="center"/>
    </xf>
    <xf numFmtId="191" fontId="23" fillId="0" borderId="32" xfId="0" applyNumberFormat="1" applyFont="1" applyBorder="1" applyAlignment="1">
      <alignment vertical="center"/>
    </xf>
    <xf numFmtId="191" fontId="23" fillId="0" borderId="31" xfId="18" applyNumberFormat="1" applyFont="1" applyBorder="1">
      <alignment vertical="center"/>
    </xf>
    <xf numFmtId="191" fontId="23" fillId="0" borderId="33" xfId="18" applyNumberFormat="1" applyFont="1" applyBorder="1">
      <alignment vertical="center"/>
    </xf>
    <xf numFmtId="191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1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1" fontId="23" fillId="0" borderId="14" xfId="18" applyNumberFormat="1" applyFont="1" applyBorder="1">
      <alignment vertical="center"/>
    </xf>
    <xf numFmtId="191" fontId="23" fillId="0" borderId="7" xfId="18" applyNumberFormat="1" applyFont="1" applyBorder="1">
      <alignment vertical="center"/>
    </xf>
    <xf numFmtId="191" fontId="23" fillId="0" borderId="17" xfId="18" applyNumberFormat="1" applyFont="1" applyBorder="1">
      <alignment vertical="center"/>
    </xf>
    <xf numFmtId="191" fontId="23" fillId="0" borderId="32" xfId="18" applyNumberFormat="1" applyFont="1" applyBorder="1">
      <alignment vertical="center"/>
    </xf>
    <xf numFmtId="191" fontId="23" fillId="0" borderId="29" xfId="18" applyNumberFormat="1" applyFont="1" applyBorder="1" applyAlignment="1">
      <alignment horizontal="center" vertical="center"/>
    </xf>
    <xf numFmtId="191" fontId="23" fillId="0" borderId="28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191" fontId="23" fillId="0" borderId="35" xfId="18" applyNumberFormat="1" applyFont="1" applyBorder="1">
      <alignment vertical="center"/>
    </xf>
    <xf numFmtId="191" fontId="23" fillId="0" borderId="26" xfId="18" applyNumberFormat="1" applyFont="1" applyBorder="1" applyAlignment="1">
      <alignment horizontal="center" vertical="center"/>
    </xf>
    <xf numFmtId="191" fontId="23" fillId="0" borderId="36" xfId="18" applyNumberFormat="1" applyFont="1" applyBorder="1" applyAlignment="1">
      <alignment horizontal="center" vertical="center"/>
    </xf>
    <xf numFmtId="191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5" fontId="11" fillId="0" borderId="40" xfId="17" applyNumberFormat="1" applyBorder="1">
      <alignment vertical="center"/>
    </xf>
    <xf numFmtId="185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8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6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90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7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1" fontId="23" fillId="0" borderId="5" xfId="18" applyNumberFormat="1" applyFont="1" applyBorder="1">
      <alignment vertical="center"/>
    </xf>
    <xf numFmtId="191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1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1" fontId="23" fillId="0" borderId="86" xfId="18" applyNumberFormat="1" applyFont="1" applyBorder="1">
      <alignment vertical="center"/>
    </xf>
    <xf numFmtId="191" fontId="23" fillId="0" borderId="84" xfId="18" applyNumberFormat="1" applyFont="1" applyBorder="1">
      <alignment vertical="center"/>
    </xf>
    <xf numFmtId="191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1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72" xfId="17" applyNumberFormat="1" applyFont="1" applyFill="1" applyBorder="1">
      <alignment vertical="center"/>
    </xf>
    <xf numFmtId="200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3" fontId="55" fillId="4" borderId="72" xfId="0" applyNumberFormat="1" applyFont="1" applyFill="1" applyBorder="1" applyAlignment="1">
      <alignment horizontal="center" vertical="center"/>
    </xf>
    <xf numFmtId="193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5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1" fontId="27" fillId="0" borderId="0" xfId="19" applyNumberFormat="1" applyFont="1">
      <alignment vertical="center"/>
    </xf>
    <xf numFmtId="202" fontId="27" fillId="0" borderId="0" xfId="19" applyNumberFormat="1" applyFont="1">
      <alignment vertical="center"/>
    </xf>
    <xf numFmtId="187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90" fontId="27" fillId="0" borderId="0" xfId="19" applyNumberFormat="1" applyFont="1">
      <alignment vertical="center"/>
    </xf>
    <xf numFmtId="203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1" fontId="23" fillId="0" borderId="117" xfId="18" applyNumberFormat="1" applyFont="1" applyBorder="1">
      <alignment vertical="center"/>
    </xf>
    <xf numFmtId="191" fontId="23" fillId="0" borderId="118" xfId="18" applyNumberFormat="1" applyFont="1" applyBorder="1">
      <alignment vertical="center"/>
    </xf>
    <xf numFmtId="191" fontId="23" fillId="0" borderId="116" xfId="0" applyNumberFormat="1" applyFont="1" applyBorder="1" applyAlignment="1">
      <alignment vertical="center"/>
    </xf>
    <xf numFmtId="191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1" fontId="23" fillId="0" borderId="44" xfId="18" applyNumberFormat="1" applyFont="1" applyBorder="1">
      <alignment vertical="center"/>
    </xf>
    <xf numFmtId="191" fontId="23" fillId="0" borderId="120" xfId="18" applyNumberFormat="1" applyFont="1" applyBorder="1">
      <alignment vertical="center"/>
    </xf>
    <xf numFmtId="191" fontId="23" fillId="0" borderId="119" xfId="0" applyNumberFormat="1" applyFont="1" applyBorder="1" applyAlignment="1">
      <alignment vertical="center"/>
    </xf>
    <xf numFmtId="191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1" fontId="23" fillId="0" borderId="92" xfId="18" applyNumberFormat="1" applyFont="1" applyBorder="1">
      <alignment vertical="center"/>
    </xf>
    <xf numFmtId="191" fontId="23" fillId="0" borderId="122" xfId="18" applyNumberFormat="1" applyFont="1" applyBorder="1">
      <alignment vertical="center"/>
    </xf>
    <xf numFmtId="191" fontId="23" fillId="0" borderId="121" xfId="0" applyNumberFormat="1" applyFont="1" applyBorder="1" applyAlignment="1">
      <alignment vertical="center"/>
    </xf>
    <xf numFmtId="191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1" fontId="23" fillId="0" borderId="124" xfId="0" applyNumberFormat="1" applyFont="1" applyBorder="1" applyAlignment="1">
      <alignment vertical="center"/>
    </xf>
    <xf numFmtId="191" fontId="23" fillId="0" borderId="125" xfId="0" applyNumberFormat="1" applyFont="1" applyBorder="1" applyAlignment="1">
      <alignment vertical="center"/>
    </xf>
    <xf numFmtId="191" fontId="23" fillId="0" borderId="123" xfId="18" applyNumberFormat="1" applyFont="1" applyBorder="1">
      <alignment vertical="center"/>
    </xf>
    <xf numFmtId="191" fontId="23" fillId="0" borderId="125" xfId="18" applyNumberFormat="1" applyFont="1" applyBorder="1">
      <alignment vertical="center"/>
    </xf>
    <xf numFmtId="191" fontId="23" fillId="0" borderId="44" xfId="0" applyNumberFormat="1" applyFont="1" applyBorder="1" applyAlignment="1">
      <alignment vertical="center"/>
    </xf>
    <xf numFmtId="191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1" fontId="23" fillId="0" borderId="46" xfId="0" applyNumberFormat="1" applyFont="1" applyBorder="1" applyAlignment="1">
      <alignment vertical="center"/>
    </xf>
    <xf numFmtId="191" fontId="23" fillId="0" borderId="127" xfId="0" applyNumberFormat="1" applyFont="1" applyBorder="1" applyAlignment="1">
      <alignment vertical="center"/>
    </xf>
    <xf numFmtId="191" fontId="23" fillId="0" borderId="126" xfId="18" applyNumberFormat="1" applyFont="1" applyBorder="1">
      <alignment vertical="center"/>
    </xf>
    <xf numFmtId="191" fontId="23" fillId="0" borderId="127" xfId="18" applyNumberFormat="1" applyFont="1" applyBorder="1">
      <alignment vertical="center"/>
    </xf>
    <xf numFmtId="191" fontId="23" fillId="22" borderId="123" xfId="18" applyNumberFormat="1" applyFont="1" applyFill="1" applyBorder="1" applyAlignment="1">
      <alignment horizontal="center" vertical="center"/>
    </xf>
    <xf numFmtId="191" fontId="23" fillId="22" borderId="124" xfId="18" applyNumberFormat="1" applyFont="1" applyFill="1" applyBorder="1" applyAlignment="1">
      <alignment horizontal="center" vertical="center"/>
    </xf>
    <xf numFmtId="191" fontId="23" fillId="22" borderId="125" xfId="18" applyNumberFormat="1" applyFont="1" applyFill="1" applyBorder="1" applyAlignment="1">
      <alignment horizontal="center" vertical="center"/>
    </xf>
    <xf numFmtId="191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1" fontId="23" fillId="0" borderId="45" xfId="18" applyNumberFormat="1" applyFont="1" applyBorder="1">
      <alignment vertical="center"/>
    </xf>
    <xf numFmtId="191" fontId="23" fillId="0" borderId="91" xfId="18" applyNumberFormat="1" applyFont="1" applyBorder="1">
      <alignment vertical="center"/>
    </xf>
    <xf numFmtId="191" fontId="23" fillId="0" borderId="123" xfId="18" applyNumberFormat="1" applyFont="1" applyBorder="1" applyAlignment="1">
      <alignment horizontal="center" vertical="center"/>
    </xf>
    <xf numFmtId="191" fontId="23" fillId="0" borderId="124" xfId="18" applyNumberFormat="1" applyFont="1" applyBorder="1">
      <alignment vertical="center"/>
    </xf>
    <xf numFmtId="191" fontId="23" fillId="0" borderId="128" xfId="18" applyNumberFormat="1" applyFont="1" applyBorder="1">
      <alignment vertical="center"/>
    </xf>
    <xf numFmtId="191" fontId="23" fillId="0" borderId="119" xfId="18" applyNumberFormat="1" applyFont="1" applyBorder="1" applyAlignment="1">
      <alignment horizontal="center" vertical="center"/>
    </xf>
    <xf numFmtId="191" fontId="23" fillId="0" borderId="126" xfId="18" applyNumberFormat="1" applyFont="1" applyBorder="1" applyAlignment="1">
      <alignment horizontal="center" vertical="center"/>
    </xf>
    <xf numFmtId="191" fontId="23" fillId="0" borderId="46" xfId="18" applyNumberFormat="1" applyFont="1" applyBorder="1">
      <alignment vertical="center"/>
    </xf>
    <xf numFmtId="191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9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6" fontId="35" fillId="0" borderId="140" xfId="26" applyNumberFormat="1" applyFont="1" applyBorder="1" applyAlignment="1">
      <alignment horizontal="center" vertical="center"/>
    </xf>
    <xf numFmtId="186" fontId="35" fillId="0" borderId="141" xfId="26" applyNumberFormat="1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35" fillId="0" borderId="142" xfId="26" applyFont="1" applyBorder="1" applyAlignment="1">
      <alignment horizontal="center" vertical="center"/>
    </xf>
    <xf numFmtId="0" fontId="1" fillId="20" borderId="140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176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176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176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176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200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200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176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3" xfId="0" applyFont="1" applyBorder="1" applyAlignment="1">
      <alignment horizontal="center" vertical="center"/>
    </xf>
    <xf numFmtId="0" fontId="45" fillId="0" borderId="144" xfId="0" applyFont="1" applyBorder="1" applyAlignment="1">
      <alignment horizontal="center" vertical="center"/>
    </xf>
    <xf numFmtId="200" fontId="45" fillId="0" borderId="144" xfId="0" quotePrefix="1" applyNumberFormat="1" applyFont="1" applyBorder="1" applyAlignment="1">
      <alignment horizontal="center" vertical="center"/>
    </xf>
    <xf numFmtId="0" fontId="45" fillId="0" borderId="144" xfId="0" applyFont="1" applyBorder="1" applyAlignment="1">
      <alignment horizontal="left" vertical="center"/>
    </xf>
    <xf numFmtId="0" fontId="47" fillId="0" borderId="144" xfId="0" applyFont="1" applyBorder="1" applyAlignment="1">
      <alignment horizontal="center" vertical="center"/>
    </xf>
    <xf numFmtId="0" fontId="4" fillId="16" borderId="144" xfId="22" applyFill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 wrapText="1"/>
    </xf>
    <xf numFmtId="0" fontId="31" fillId="0" borderId="144" xfId="0" applyFont="1" applyBorder="1" applyAlignment="1">
      <alignment horizontal="center" vertical="center"/>
    </xf>
    <xf numFmtId="176" fontId="45" fillId="0" borderId="144" xfId="21" applyFont="1" applyBorder="1">
      <alignment vertical="center"/>
    </xf>
    <xf numFmtId="0" fontId="45" fillId="0" borderId="14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3" fontId="23" fillId="0" borderId="119" xfId="0" applyNumberFormat="1" applyFont="1" applyBorder="1" applyAlignment="1">
      <alignment horizontal="center" vertical="center"/>
    </xf>
    <xf numFmtId="185" fontId="23" fillId="0" borderId="44" xfId="0" applyNumberFormat="1" applyFont="1" applyBorder="1" applyAlignment="1">
      <alignment horizontal="center" vertical="center"/>
    </xf>
    <xf numFmtId="194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3" fontId="23" fillId="0" borderId="121" xfId="0" applyNumberFormat="1" applyFont="1" applyBorder="1" applyAlignment="1">
      <alignment horizontal="center" vertical="center"/>
    </xf>
    <xf numFmtId="185" fontId="23" fillId="0" borderId="92" xfId="0" applyNumberFormat="1" applyFont="1" applyBorder="1" applyAlignment="1">
      <alignment horizontal="center" vertical="center"/>
    </xf>
    <xf numFmtId="194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3" fontId="23" fillId="0" borderId="143" xfId="0" applyNumberFormat="1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185" fontId="23" fillId="0" borderId="144" xfId="0" applyNumberFormat="1" applyFont="1" applyBorder="1" applyAlignment="1">
      <alignment horizontal="center" vertical="center"/>
    </xf>
    <xf numFmtId="194" fontId="23" fillId="0" borderId="145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7" fontId="23" fillId="0" borderId="143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90" fontId="23" fillId="0" borderId="119" xfId="0" applyNumberFormat="1" applyFont="1" applyBorder="1" applyAlignment="1">
      <alignment horizontal="center" vertical="center"/>
    </xf>
    <xf numFmtId="190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90" fontId="23" fillId="0" borderId="143" xfId="0" applyNumberFormat="1" applyFont="1" applyBorder="1" applyAlignment="1">
      <alignment horizontal="center" vertical="center"/>
    </xf>
    <xf numFmtId="2" fontId="23" fillId="0" borderId="145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9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90" fontId="23" fillId="0" borderId="45" xfId="0" applyNumberFormat="1" applyFont="1" applyBorder="1" applyAlignment="1">
      <alignment horizontal="center" vertical="center"/>
    </xf>
    <xf numFmtId="199" fontId="23" fillId="0" borderId="143" xfId="0" applyNumberFormat="1" applyFont="1" applyBorder="1" applyAlignment="1">
      <alignment horizontal="center" vertical="center"/>
    </xf>
    <xf numFmtId="38" fontId="23" fillId="0" borderId="144" xfId="0" applyNumberFormat="1" applyFont="1" applyBorder="1" applyAlignment="1">
      <alignment horizontal="center" vertical="center"/>
    </xf>
    <xf numFmtId="187" fontId="23" fillId="0" borderId="47" xfId="0" applyNumberFormat="1" applyFont="1" applyBorder="1" applyAlignment="1">
      <alignment horizontal="center" vertical="center"/>
    </xf>
    <xf numFmtId="187" fontId="23" fillId="0" borderId="146" xfId="0" applyNumberFormat="1" applyFont="1" applyBorder="1" applyAlignment="1">
      <alignment horizontal="center" vertical="center"/>
    </xf>
    <xf numFmtId="185" fontId="23" fillId="0" borderId="147" xfId="0" applyNumberFormat="1" applyFont="1" applyBorder="1" applyAlignment="1">
      <alignment horizontal="center" vertical="center"/>
    </xf>
    <xf numFmtId="194" fontId="23" fillId="0" borderId="148" xfId="0" applyNumberFormat="1" applyFont="1" applyBorder="1" applyAlignment="1">
      <alignment horizontal="center" vertical="center"/>
    </xf>
    <xf numFmtId="187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2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176" fontId="45" fillId="0" borderId="124" xfId="21" applyFont="1" applyBorder="1" applyAlignment="1">
      <alignment horizontal="center" vertical="center" wrapText="1"/>
    </xf>
    <xf numFmtId="176" fontId="45" fillId="0" borderId="46" xfId="21" applyFont="1" applyBorder="1" applyAlignment="1">
      <alignment horizontal="center" vertical="center" wrapText="1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1074.3</c:v>
                </c:pt>
                <c:pt idx="1">
                  <c:v>2141.8000000000002</c:v>
                </c:pt>
                <c:pt idx="2">
                  <c:v>1704.4</c:v>
                </c:pt>
                <c:pt idx="3">
                  <c:v>1642.6</c:v>
                </c:pt>
                <c:pt idx="4">
                  <c:v>1022.6</c:v>
                </c:pt>
                <c:pt idx="5">
                  <c:v>1000.1</c:v>
                </c:pt>
                <c:pt idx="6">
                  <c:v>815.1</c:v>
                </c:pt>
                <c:pt idx="7">
                  <c:v>922.1</c:v>
                </c:pt>
                <c:pt idx="8">
                  <c:v>830.4</c:v>
                </c:pt>
                <c:pt idx="9">
                  <c:v>1227.2</c:v>
                </c:pt>
                <c:pt idx="10">
                  <c:v>1238.0999999999999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22.3</c:v>
                </c:pt>
                <c:pt idx="1">
                  <c:v>38.299999999999997</c:v>
                </c:pt>
                <c:pt idx="2">
                  <c:v>44.1</c:v>
                </c:pt>
                <c:pt idx="3">
                  <c:v>82.8</c:v>
                </c:pt>
                <c:pt idx="4">
                  <c:v>94.6</c:v>
                </c:pt>
                <c:pt idx="5">
                  <c:v>117.4</c:v>
                </c:pt>
                <c:pt idx="6">
                  <c:v>303.60000000000002</c:v>
                </c:pt>
                <c:pt idx="7">
                  <c:v>255.1</c:v>
                </c:pt>
                <c:pt idx="8">
                  <c:v>111.2</c:v>
                </c:pt>
                <c:pt idx="9">
                  <c:v>64.900000000000006</c:v>
                </c:pt>
                <c:pt idx="10">
                  <c:v>57.7</c:v>
                </c:pt>
                <c:pt idx="11">
                  <c:v>46.3</c:v>
                </c:pt>
                <c:pt idx="12">
                  <c:v>103.2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257175</xdr:rowOff>
        </xdr:from>
        <xdr:to>
          <xdr:col>9</xdr:col>
          <xdr:colOff>1152525</xdr:colOff>
          <xdr:row>8</xdr:row>
          <xdr:rowOff>28575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8</xdr:row>
          <xdr:rowOff>133350</xdr:rowOff>
        </xdr:from>
        <xdr:to>
          <xdr:col>9</xdr:col>
          <xdr:colOff>1152525</xdr:colOff>
          <xdr:row>9</xdr:row>
          <xdr:rowOff>228600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47625</xdr:rowOff>
        </xdr:from>
        <xdr:to>
          <xdr:col>8</xdr:col>
          <xdr:colOff>1628775</xdr:colOff>
          <xdr:row>11</xdr:row>
          <xdr:rowOff>142875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10" Type="http://schemas.openxmlformats.org/officeDocument/2006/relationships/comments" Target="../comments2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>
      <c r="B2" s="214" t="s">
        <v>209</v>
      </c>
    </row>
    <row r="4" spans="2:17" ht="17.25" thickBot="1"/>
    <row r="5" spans="2:17" s="15" customFormat="1" ht="21.95" customHeight="1" thickTop="1">
      <c r="B5" s="26" t="s">
        <v>55</v>
      </c>
      <c r="C5" s="27" t="s">
        <v>56</v>
      </c>
      <c r="D5" s="27" t="s">
        <v>44</v>
      </c>
      <c r="E5" s="27" t="s">
        <v>45</v>
      </c>
      <c r="F5" s="27" t="s">
        <v>46</v>
      </c>
      <c r="G5" s="27" t="s">
        <v>47</v>
      </c>
      <c r="H5" s="27" t="s">
        <v>12</v>
      </c>
      <c r="I5" s="27" t="s">
        <v>13</v>
      </c>
      <c r="J5" s="27" t="s">
        <v>14</v>
      </c>
      <c r="K5" s="27" t="s">
        <v>15</v>
      </c>
      <c r="L5" s="27" t="s">
        <v>16</v>
      </c>
      <c r="M5" s="27" t="s">
        <v>17</v>
      </c>
      <c r="N5" s="28" t="s">
        <v>18</v>
      </c>
      <c r="O5" s="29" t="s">
        <v>58</v>
      </c>
      <c r="P5" s="30" t="s">
        <v>59</v>
      </c>
    </row>
    <row r="6" spans="2:17" ht="21.95" customHeight="1">
      <c r="B6" s="31">
        <v>1989</v>
      </c>
      <c r="C6" s="16">
        <v>64.900000000000006</v>
      </c>
      <c r="D6" s="16">
        <v>47.9</v>
      </c>
      <c r="E6" s="16">
        <v>96.1</v>
      </c>
      <c r="F6" s="16">
        <v>20.399999999999999</v>
      </c>
      <c r="G6" s="16">
        <v>59.4</v>
      </c>
      <c r="H6" s="16">
        <v>224.5</v>
      </c>
      <c r="I6" s="16">
        <v>105.1</v>
      </c>
      <c r="J6" s="16">
        <v>203.2</v>
      </c>
      <c r="K6" s="16">
        <v>206</v>
      </c>
      <c r="L6" s="16">
        <v>42.3</v>
      </c>
      <c r="M6" s="16">
        <v>112.9</v>
      </c>
      <c r="N6" s="23">
        <v>15</v>
      </c>
      <c r="O6" s="21">
        <f>ROUND(SUM(C6:N6),1)</f>
        <v>1197.7</v>
      </c>
      <c r="P6" s="25">
        <f>ROUND(O6/12,1)</f>
        <v>99.8</v>
      </c>
      <c r="Q6" s="207"/>
    </row>
    <row r="7" spans="2:17" ht="21.95" customHeight="1">
      <c r="B7" s="31">
        <v>1990</v>
      </c>
      <c r="C7" s="16">
        <v>51.3</v>
      </c>
      <c r="D7" s="16">
        <v>66.900000000000006</v>
      </c>
      <c r="E7" s="16">
        <v>65.5</v>
      </c>
      <c r="F7" s="16">
        <v>99.7</v>
      </c>
      <c r="G7" s="16">
        <v>94.3</v>
      </c>
      <c r="H7" s="16">
        <v>439.4</v>
      </c>
      <c r="I7" s="16">
        <v>254.5</v>
      </c>
      <c r="J7" s="16">
        <v>242.5</v>
      </c>
      <c r="K7" s="16">
        <v>320.60000000000002</v>
      </c>
      <c r="L7" s="16">
        <v>0</v>
      </c>
      <c r="M7" s="16">
        <v>105.7</v>
      </c>
      <c r="N7" s="23">
        <v>47.9</v>
      </c>
      <c r="O7" s="21">
        <f t="shared" ref="O7:O35" si="0">ROUND(SUM(C7:N7),1)</f>
        <v>1788.3</v>
      </c>
      <c r="P7" s="25">
        <f t="shared" ref="P7:P35" si="1">ROUND(O7/12,1)</f>
        <v>149</v>
      </c>
      <c r="Q7" s="207"/>
    </row>
    <row r="8" spans="2:17" ht="21.95" customHeight="1">
      <c r="B8" s="31">
        <v>1991</v>
      </c>
      <c r="C8" s="16">
        <v>19.3</v>
      </c>
      <c r="D8" s="16">
        <v>45.2</v>
      </c>
      <c r="E8" s="16">
        <v>69.400000000000006</v>
      </c>
      <c r="F8" s="16">
        <v>59.8</v>
      </c>
      <c r="G8" s="16">
        <v>209.1</v>
      </c>
      <c r="H8" s="16">
        <v>64.2</v>
      </c>
      <c r="I8" s="16">
        <v>228.5</v>
      </c>
      <c r="J8" s="16">
        <v>120</v>
      </c>
      <c r="K8" s="16">
        <v>198.7</v>
      </c>
      <c r="L8" s="16">
        <v>23.7</v>
      </c>
      <c r="M8" s="16">
        <v>21.2</v>
      </c>
      <c r="N8" s="23">
        <v>29.5</v>
      </c>
      <c r="O8" s="21">
        <f t="shared" si="0"/>
        <v>1088.5999999999999</v>
      </c>
      <c r="P8" s="25">
        <f t="shared" si="1"/>
        <v>90.7</v>
      </c>
      <c r="Q8" s="207"/>
    </row>
    <row r="9" spans="2:17" ht="21.95" customHeight="1">
      <c r="B9" s="31">
        <v>1992</v>
      </c>
      <c r="C9" s="16">
        <v>3.4</v>
      </c>
      <c r="D9" s="16">
        <v>21.7</v>
      </c>
      <c r="E9" s="16">
        <v>21.2</v>
      </c>
      <c r="F9" s="16">
        <v>68.2</v>
      </c>
      <c r="G9" s="16">
        <v>67</v>
      </c>
      <c r="H9" s="16">
        <v>79.2</v>
      </c>
      <c r="I9" s="16">
        <v>58</v>
      </c>
      <c r="J9" s="16">
        <v>344.9</v>
      </c>
      <c r="K9" s="16">
        <v>195.5</v>
      </c>
      <c r="L9" s="16">
        <v>32.1</v>
      </c>
      <c r="M9" s="16">
        <v>50.7</v>
      </c>
      <c r="N9" s="23">
        <v>75.7</v>
      </c>
      <c r="O9" s="21">
        <f t="shared" si="0"/>
        <v>1017.6</v>
      </c>
      <c r="P9" s="25">
        <f t="shared" si="1"/>
        <v>84.8</v>
      </c>
      <c r="Q9" s="207"/>
    </row>
    <row r="10" spans="2:17" ht="21.95" customHeight="1">
      <c r="B10" s="31">
        <v>1993</v>
      </c>
      <c r="C10" s="16">
        <v>9.1999999999999993</v>
      </c>
      <c r="D10" s="16">
        <v>68.2</v>
      </c>
      <c r="E10" s="16">
        <v>27.4</v>
      </c>
      <c r="F10" s="16">
        <v>45.2</v>
      </c>
      <c r="G10" s="16">
        <v>50.7</v>
      </c>
      <c r="H10" s="16">
        <v>151.80000000000001</v>
      </c>
      <c r="I10" s="16">
        <v>393.1</v>
      </c>
      <c r="J10" s="16">
        <v>95</v>
      </c>
      <c r="K10" s="16">
        <v>81.7</v>
      </c>
      <c r="L10" s="16">
        <v>31.5</v>
      </c>
      <c r="M10" s="16">
        <v>105.1</v>
      </c>
      <c r="N10" s="23">
        <v>34.700000000000003</v>
      </c>
      <c r="O10" s="21">
        <f t="shared" si="0"/>
        <v>1093.5999999999999</v>
      </c>
      <c r="P10" s="25">
        <f t="shared" si="1"/>
        <v>91.1</v>
      </c>
      <c r="Q10" s="207"/>
    </row>
    <row r="11" spans="2:17" ht="21.95" customHeight="1">
      <c r="B11" s="31">
        <v>1994</v>
      </c>
      <c r="C11" s="16">
        <v>14.6</v>
      </c>
      <c r="D11" s="16">
        <v>5.9</v>
      </c>
      <c r="E11" s="16">
        <v>65.599999999999994</v>
      </c>
      <c r="F11" s="16">
        <v>32.4</v>
      </c>
      <c r="G11" s="16">
        <v>156</v>
      </c>
      <c r="H11" s="16">
        <v>167.8</v>
      </c>
      <c r="I11" s="16">
        <v>107.1</v>
      </c>
      <c r="J11" s="16">
        <v>309.7</v>
      </c>
      <c r="K11" s="16">
        <v>99.2</v>
      </c>
      <c r="L11" s="16">
        <v>216.3</v>
      </c>
      <c r="M11" s="16">
        <v>23.3</v>
      </c>
      <c r="N11" s="23">
        <v>36.6</v>
      </c>
      <c r="O11" s="21">
        <f t="shared" si="0"/>
        <v>1234.5</v>
      </c>
      <c r="P11" s="25">
        <f t="shared" si="1"/>
        <v>102.9</v>
      </c>
      <c r="Q11" s="207"/>
    </row>
    <row r="12" spans="2:17" ht="21.95" customHeight="1">
      <c r="B12" s="31">
        <v>1995</v>
      </c>
      <c r="C12" s="16">
        <v>22.7</v>
      </c>
      <c r="D12" s="16">
        <v>7.2</v>
      </c>
      <c r="E12" s="16">
        <v>37.299999999999997</v>
      </c>
      <c r="F12" s="16">
        <v>48.2</v>
      </c>
      <c r="G12" s="16">
        <v>67.099999999999994</v>
      </c>
      <c r="H12" s="16">
        <v>24.5</v>
      </c>
      <c r="I12" s="16">
        <v>144.1</v>
      </c>
      <c r="J12" s="16">
        <v>992.7</v>
      </c>
      <c r="K12" s="16">
        <v>20.2</v>
      </c>
      <c r="L12" s="16">
        <v>19.3</v>
      </c>
      <c r="M12" s="16">
        <v>49.9</v>
      </c>
      <c r="N12" s="23">
        <v>15.1</v>
      </c>
      <c r="O12" s="21">
        <f t="shared" si="0"/>
        <v>1448.3</v>
      </c>
      <c r="P12" s="25">
        <f t="shared" si="1"/>
        <v>120.7</v>
      </c>
    </row>
    <row r="13" spans="2:17" ht="21.95" customHeight="1">
      <c r="B13" s="31">
        <v>1996</v>
      </c>
      <c r="C13" s="16">
        <v>29.1</v>
      </c>
      <c r="D13" s="16">
        <v>5.7</v>
      </c>
      <c r="E13" s="16">
        <v>115.1</v>
      </c>
      <c r="F13" s="16">
        <v>48.1</v>
      </c>
      <c r="G13" s="16">
        <v>20</v>
      </c>
      <c r="H13" s="16">
        <v>179.2</v>
      </c>
      <c r="I13" s="16">
        <v>152.80000000000001</v>
      </c>
      <c r="J13" s="16">
        <v>74.099999999999994</v>
      </c>
      <c r="K13" s="16">
        <v>6.4</v>
      </c>
      <c r="L13" s="16">
        <v>92.2</v>
      </c>
      <c r="M13" s="16">
        <v>72.099999999999994</v>
      </c>
      <c r="N13" s="23">
        <v>35.299999999999997</v>
      </c>
      <c r="O13" s="21">
        <f t="shared" si="0"/>
        <v>830.1</v>
      </c>
      <c r="P13" s="25">
        <f t="shared" si="1"/>
        <v>69.2</v>
      </c>
    </row>
    <row r="14" spans="2:17" ht="21.95" customHeight="1">
      <c r="B14" s="31">
        <v>1997</v>
      </c>
      <c r="C14" s="16">
        <v>20.5</v>
      </c>
      <c r="D14" s="16">
        <v>32.5</v>
      </c>
      <c r="E14" s="16">
        <v>29.6</v>
      </c>
      <c r="F14" s="16">
        <v>69.5</v>
      </c>
      <c r="G14" s="16">
        <v>232.8</v>
      </c>
      <c r="H14" s="16">
        <v>204.4</v>
      </c>
      <c r="I14" s="16">
        <v>298.7</v>
      </c>
      <c r="J14" s="16">
        <v>87.2</v>
      </c>
      <c r="K14" s="16">
        <v>16.100000000000001</v>
      </c>
      <c r="L14" s="16">
        <v>8.6999999999999993</v>
      </c>
      <c r="M14" s="16">
        <v>116.7</v>
      </c>
      <c r="N14" s="23">
        <v>40.200000000000003</v>
      </c>
      <c r="O14" s="21">
        <f t="shared" si="0"/>
        <v>1156.9000000000001</v>
      </c>
      <c r="P14" s="25">
        <f t="shared" si="1"/>
        <v>96.4</v>
      </c>
    </row>
    <row r="15" spans="2:17" ht="21.95" customHeight="1">
      <c r="B15" s="31">
        <v>1998</v>
      </c>
      <c r="C15" s="16">
        <v>40.1</v>
      </c>
      <c r="D15" s="16">
        <v>54.2</v>
      </c>
      <c r="E15" s="16">
        <v>35</v>
      </c>
      <c r="F15" s="16">
        <v>160.6</v>
      </c>
      <c r="G15" s="16">
        <v>95.5</v>
      </c>
      <c r="H15" s="16">
        <v>281.7</v>
      </c>
      <c r="I15" s="16">
        <v>295.60000000000002</v>
      </c>
      <c r="J15" s="16">
        <v>491.8</v>
      </c>
      <c r="K15" s="16">
        <v>168</v>
      </c>
      <c r="L15" s="16">
        <v>24.3</v>
      </c>
      <c r="M15" s="16">
        <v>55.6</v>
      </c>
      <c r="N15" s="23">
        <v>9.1999999999999993</v>
      </c>
      <c r="O15" s="21">
        <f t="shared" si="0"/>
        <v>1711.6</v>
      </c>
      <c r="P15" s="25">
        <f t="shared" si="1"/>
        <v>142.6</v>
      </c>
    </row>
    <row r="16" spans="2:17" ht="21.95" customHeight="1">
      <c r="B16" s="31">
        <v>1999</v>
      </c>
      <c r="C16" s="16">
        <v>8</v>
      </c>
      <c r="D16" s="16">
        <v>7.8</v>
      </c>
      <c r="E16" s="16">
        <v>59.9</v>
      </c>
      <c r="F16" s="16">
        <v>90.1</v>
      </c>
      <c r="G16" s="16">
        <v>178.8</v>
      </c>
      <c r="H16" s="16">
        <v>105.1</v>
      </c>
      <c r="I16" s="16">
        <v>175.6</v>
      </c>
      <c r="J16" s="16">
        <v>497.4</v>
      </c>
      <c r="K16" s="16">
        <v>532.6</v>
      </c>
      <c r="L16" s="16">
        <v>111.3</v>
      </c>
      <c r="M16" s="16">
        <v>36.6</v>
      </c>
      <c r="N16" s="23">
        <v>23.4</v>
      </c>
      <c r="O16" s="21">
        <f t="shared" si="0"/>
        <v>1826.6</v>
      </c>
      <c r="P16" s="25">
        <f t="shared" si="1"/>
        <v>152.19999999999999</v>
      </c>
    </row>
    <row r="17" spans="2:16" ht="21.95" customHeight="1">
      <c r="B17" s="31">
        <v>2000</v>
      </c>
      <c r="C17" s="16">
        <v>63</v>
      </c>
      <c r="D17" s="16">
        <v>2.9</v>
      </c>
      <c r="E17" s="16">
        <v>3.7</v>
      </c>
      <c r="F17" s="16">
        <v>38.1</v>
      </c>
      <c r="G17" s="16">
        <v>62.1</v>
      </c>
      <c r="H17" s="16">
        <v>204.4</v>
      </c>
      <c r="I17" s="16">
        <v>60.8</v>
      </c>
      <c r="J17" s="16">
        <v>608.1</v>
      </c>
      <c r="K17" s="16">
        <v>298.10000000000002</v>
      </c>
      <c r="L17" s="16">
        <v>34.4</v>
      </c>
      <c r="M17" s="16">
        <v>24.8</v>
      </c>
      <c r="N17" s="23">
        <v>24.4</v>
      </c>
      <c r="O17" s="21">
        <f t="shared" si="0"/>
        <v>1424.8</v>
      </c>
      <c r="P17" s="25">
        <f t="shared" si="1"/>
        <v>118.7</v>
      </c>
    </row>
    <row r="18" spans="2:16" ht="21.95" customHeight="1">
      <c r="B18" s="31">
        <v>2001</v>
      </c>
      <c r="C18" s="16">
        <v>66.900000000000006</v>
      </c>
      <c r="D18" s="16">
        <v>40.4</v>
      </c>
      <c r="E18" s="16">
        <v>12.7</v>
      </c>
      <c r="F18" s="16">
        <v>18.7</v>
      </c>
      <c r="G18" s="16">
        <v>17.8</v>
      </c>
      <c r="H18" s="16">
        <v>200.2</v>
      </c>
      <c r="I18" s="16">
        <v>402</v>
      </c>
      <c r="J18" s="16">
        <v>136.6</v>
      </c>
      <c r="K18" s="16">
        <v>15</v>
      </c>
      <c r="L18" s="16">
        <v>47.5</v>
      </c>
      <c r="M18" s="16">
        <v>8.1999999999999993</v>
      </c>
      <c r="N18" s="23">
        <v>20.8</v>
      </c>
      <c r="O18" s="21">
        <f t="shared" si="0"/>
        <v>986.8</v>
      </c>
      <c r="P18" s="25">
        <f t="shared" si="1"/>
        <v>82.2</v>
      </c>
    </row>
    <row r="19" spans="2:16" ht="21.95" customHeight="1">
      <c r="B19" s="31">
        <v>2002</v>
      </c>
      <c r="C19" s="16">
        <v>22.5</v>
      </c>
      <c r="D19" s="16">
        <v>7</v>
      </c>
      <c r="E19" s="16">
        <v>29.3</v>
      </c>
      <c r="F19" s="16">
        <v>179.5</v>
      </c>
      <c r="G19" s="16">
        <v>177.3</v>
      </c>
      <c r="H19" s="16">
        <v>60.8</v>
      </c>
      <c r="I19" s="16">
        <v>296.10000000000002</v>
      </c>
      <c r="J19" s="16">
        <v>428.2</v>
      </c>
      <c r="K19" s="16">
        <v>57.5</v>
      </c>
      <c r="L19" s="16">
        <v>78.3</v>
      </c>
      <c r="M19" s="16">
        <v>36.299999999999997</v>
      </c>
      <c r="N19" s="23">
        <v>14.8</v>
      </c>
      <c r="O19" s="21">
        <f t="shared" si="0"/>
        <v>1387.6</v>
      </c>
      <c r="P19" s="25">
        <f t="shared" si="1"/>
        <v>115.6</v>
      </c>
    </row>
    <row r="20" spans="2:16" ht="21.95" customHeight="1">
      <c r="B20" s="31">
        <v>2003</v>
      </c>
      <c r="C20" s="16">
        <v>20.9</v>
      </c>
      <c r="D20" s="16">
        <v>39</v>
      </c>
      <c r="E20" s="16">
        <v>22.5</v>
      </c>
      <c r="F20" s="16">
        <v>180</v>
      </c>
      <c r="G20" s="16">
        <v>105.5</v>
      </c>
      <c r="H20" s="16">
        <v>221.8</v>
      </c>
      <c r="I20" s="16">
        <v>290.2</v>
      </c>
      <c r="J20" s="16">
        <v>257.89999999999998</v>
      </c>
      <c r="K20" s="16">
        <v>201.9</v>
      </c>
      <c r="L20" s="16">
        <v>23</v>
      </c>
      <c r="M20" s="16">
        <v>53.6</v>
      </c>
      <c r="N20" s="23">
        <v>17.100000000000001</v>
      </c>
      <c r="O20" s="21">
        <f t="shared" si="0"/>
        <v>1433.4</v>
      </c>
      <c r="P20" s="25">
        <f t="shared" si="1"/>
        <v>119.5</v>
      </c>
    </row>
    <row r="21" spans="2:16" ht="21.95" customHeight="1">
      <c r="B21" s="31">
        <v>2004</v>
      </c>
      <c r="C21" s="16">
        <v>27.3</v>
      </c>
      <c r="D21" s="16">
        <v>26.3</v>
      </c>
      <c r="E21" s="16">
        <v>15.7</v>
      </c>
      <c r="F21" s="16">
        <v>80.2</v>
      </c>
      <c r="G21" s="16">
        <v>140.30000000000001</v>
      </c>
      <c r="H21" s="16">
        <v>211.1</v>
      </c>
      <c r="I21" s="16">
        <v>321.89999999999998</v>
      </c>
      <c r="J21" s="16">
        <v>131.19999999999999</v>
      </c>
      <c r="K21" s="16">
        <v>282.60000000000002</v>
      </c>
      <c r="L21" s="16">
        <v>1.8</v>
      </c>
      <c r="M21" s="16">
        <v>70.5</v>
      </c>
      <c r="N21" s="23">
        <v>32</v>
      </c>
      <c r="O21" s="21">
        <f t="shared" si="0"/>
        <v>1340.9</v>
      </c>
      <c r="P21" s="25">
        <f t="shared" si="1"/>
        <v>111.7</v>
      </c>
    </row>
    <row r="22" spans="2:16" ht="21.95" customHeight="1">
      <c r="B22" s="31">
        <v>2005</v>
      </c>
      <c r="C22" s="16">
        <v>10.4</v>
      </c>
      <c r="D22" s="16">
        <v>34</v>
      </c>
      <c r="E22" s="16">
        <v>36.1</v>
      </c>
      <c r="F22" s="16">
        <v>77.2</v>
      </c>
      <c r="G22" s="16">
        <v>56.1</v>
      </c>
      <c r="H22" s="16">
        <v>147</v>
      </c>
      <c r="I22" s="16">
        <v>386.1</v>
      </c>
      <c r="J22" s="16">
        <v>270.5</v>
      </c>
      <c r="K22" s="16">
        <v>228.7</v>
      </c>
      <c r="L22" s="16">
        <v>30.9</v>
      </c>
      <c r="M22" s="16">
        <v>19.600000000000001</v>
      </c>
      <c r="N22" s="23">
        <v>37.6</v>
      </c>
      <c r="O22" s="21">
        <f t="shared" si="0"/>
        <v>1334.2</v>
      </c>
      <c r="P22" s="25">
        <f t="shared" si="1"/>
        <v>111.2</v>
      </c>
    </row>
    <row r="23" spans="2:16" ht="21.95" customHeight="1">
      <c r="B23" s="31">
        <v>2006</v>
      </c>
      <c r="C23" s="16">
        <v>29.7</v>
      </c>
      <c r="D23" s="16">
        <v>18.899999999999999</v>
      </c>
      <c r="E23" s="16">
        <v>5</v>
      </c>
      <c r="F23" s="16">
        <v>77.3</v>
      </c>
      <c r="G23" s="16">
        <v>133.5</v>
      </c>
      <c r="H23" s="16">
        <v>226.8</v>
      </c>
      <c r="I23" s="16">
        <v>494.5</v>
      </c>
      <c r="J23" s="16">
        <v>58.2</v>
      </c>
      <c r="K23" s="16">
        <v>10.1</v>
      </c>
      <c r="L23" s="16">
        <v>10.5</v>
      </c>
      <c r="M23" s="16">
        <v>55</v>
      </c>
      <c r="N23" s="23">
        <v>19.7</v>
      </c>
      <c r="O23" s="21">
        <f t="shared" si="0"/>
        <v>1139.2</v>
      </c>
      <c r="P23" s="25">
        <f t="shared" si="1"/>
        <v>94.9</v>
      </c>
    </row>
    <row r="24" spans="2:16" ht="21.95" customHeight="1">
      <c r="B24" s="31">
        <v>2007</v>
      </c>
      <c r="C24" s="16">
        <v>13</v>
      </c>
      <c r="D24" s="16">
        <v>25.5</v>
      </c>
      <c r="E24" s="16">
        <v>127.2</v>
      </c>
      <c r="F24" s="16">
        <v>28.1</v>
      </c>
      <c r="G24" s="16">
        <v>108.5</v>
      </c>
      <c r="H24" s="16">
        <v>123.5</v>
      </c>
      <c r="I24" s="16">
        <v>257</v>
      </c>
      <c r="J24" s="16">
        <v>414.6</v>
      </c>
      <c r="K24" s="16">
        <v>305.8</v>
      </c>
      <c r="L24" s="16">
        <v>30.7</v>
      </c>
      <c r="M24" s="16">
        <v>14.4</v>
      </c>
      <c r="N24" s="23">
        <v>22.8</v>
      </c>
      <c r="O24" s="21">
        <f t="shared" si="0"/>
        <v>1471.1</v>
      </c>
      <c r="P24" s="25">
        <f t="shared" si="1"/>
        <v>122.6</v>
      </c>
    </row>
    <row r="25" spans="2:16" ht="21.95" customHeight="1">
      <c r="B25" s="31">
        <v>2008</v>
      </c>
      <c r="C25" s="16">
        <v>15</v>
      </c>
      <c r="D25" s="16">
        <v>7</v>
      </c>
      <c r="E25" s="16">
        <v>26</v>
      </c>
      <c r="F25" s="16">
        <v>46.1</v>
      </c>
      <c r="G25" s="16">
        <v>88.5</v>
      </c>
      <c r="H25" s="16">
        <v>118.1</v>
      </c>
      <c r="I25" s="16">
        <v>335.5</v>
      </c>
      <c r="J25" s="16">
        <v>114.2</v>
      </c>
      <c r="K25" s="16">
        <v>62.7</v>
      </c>
      <c r="L25" s="16">
        <v>34</v>
      </c>
      <c r="M25" s="16">
        <v>34.6</v>
      </c>
      <c r="N25" s="23">
        <v>27.9</v>
      </c>
      <c r="O25" s="21">
        <f t="shared" si="0"/>
        <v>909.6</v>
      </c>
      <c r="P25" s="25">
        <f t="shared" si="1"/>
        <v>75.8</v>
      </c>
    </row>
    <row r="26" spans="2:16" ht="21.95" customHeight="1">
      <c r="B26" s="31">
        <v>2009</v>
      </c>
      <c r="C26" s="16">
        <v>15.2</v>
      </c>
      <c r="D26" s="16">
        <v>26.5</v>
      </c>
      <c r="E26" s="16">
        <v>67</v>
      </c>
      <c r="F26" s="16">
        <v>43</v>
      </c>
      <c r="G26" s="16">
        <v>117.9</v>
      </c>
      <c r="H26" s="16">
        <v>74.900000000000006</v>
      </c>
      <c r="I26" s="16">
        <v>364.9</v>
      </c>
      <c r="J26" s="16">
        <v>196.3</v>
      </c>
      <c r="K26" s="16">
        <v>16</v>
      </c>
      <c r="L26" s="16">
        <v>49.2</v>
      </c>
      <c r="M26" s="16">
        <v>59.1</v>
      </c>
      <c r="N26" s="23">
        <v>44.3</v>
      </c>
      <c r="O26" s="21">
        <f t="shared" si="0"/>
        <v>1074.3</v>
      </c>
      <c r="P26" s="25">
        <f t="shared" si="1"/>
        <v>89.5</v>
      </c>
    </row>
    <row r="27" spans="2:16" ht="21.95" customHeight="1">
      <c r="B27" s="31">
        <v>2010</v>
      </c>
      <c r="C27" s="16">
        <v>55.5</v>
      </c>
      <c r="D27" s="16">
        <v>58.4</v>
      </c>
      <c r="E27" s="16">
        <v>79.2</v>
      </c>
      <c r="F27" s="16">
        <v>52.2</v>
      </c>
      <c r="G27" s="16">
        <v>168</v>
      </c>
      <c r="H27" s="16">
        <v>94.9</v>
      </c>
      <c r="I27" s="16">
        <v>447.1</v>
      </c>
      <c r="J27" s="16">
        <v>707</v>
      </c>
      <c r="K27" s="16">
        <v>402</v>
      </c>
      <c r="L27" s="16">
        <v>29.1</v>
      </c>
      <c r="M27" s="16">
        <v>12</v>
      </c>
      <c r="N27" s="23">
        <v>36.4</v>
      </c>
      <c r="O27" s="21">
        <f t="shared" si="0"/>
        <v>2141.8000000000002</v>
      </c>
      <c r="P27" s="25">
        <f t="shared" si="1"/>
        <v>178.5</v>
      </c>
    </row>
    <row r="28" spans="2:16" ht="21.95" customHeight="1">
      <c r="B28" s="31">
        <v>2011</v>
      </c>
      <c r="C28" s="16">
        <v>8.8000000000000007</v>
      </c>
      <c r="D28" s="16">
        <v>55.8</v>
      </c>
      <c r="E28" s="16">
        <v>34.5</v>
      </c>
      <c r="F28" s="16">
        <v>96.2</v>
      </c>
      <c r="G28" s="16">
        <v>107.9</v>
      </c>
      <c r="H28" s="16">
        <v>462.6</v>
      </c>
      <c r="I28" s="16">
        <v>656.5</v>
      </c>
      <c r="J28" s="16">
        <v>151.19999999999999</v>
      </c>
      <c r="K28" s="16">
        <v>50.3</v>
      </c>
      <c r="L28" s="16">
        <v>18.100000000000001</v>
      </c>
      <c r="M28" s="16">
        <v>48.9</v>
      </c>
      <c r="N28" s="23">
        <v>13.6</v>
      </c>
      <c r="O28" s="21">
        <f t="shared" si="0"/>
        <v>1704.4</v>
      </c>
      <c r="P28" s="25">
        <f t="shared" si="1"/>
        <v>142</v>
      </c>
    </row>
    <row r="29" spans="2:16" ht="21.95" customHeight="1">
      <c r="B29" s="31">
        <v>2012</v>
      </c>
      <c r="C29" s="16">
        <v>15.1</v>
      </c>
      <c r="D29" s="16">
        <v>2.4</v>
      </c>
      <c r="E29" s="16">
        <v>41.6</v>
      </c>
      <c r="F29" s="16">
        <v>113.5</v>
      </c>
      <c r="G29" s="16">
        <v>14.5</v>
      </c>
      <c r="H29" s="16">
        <v>91.1</v>
      </c>
      <c r="I29" s="16">
        <v>266.8</v>
      </c>
      <c r="J29" s="16">
        <v>647.9</v>
      </c>
      <c r="K29" s="16">
        <v>201.5</v>
      </c>
      <c r="L29" s="16">
        <v>100.7</v>
      </c>
      <c r="M29" s="16">
        <v>82.1</v>
      </c>
      <c r="N29" s="23">
        <v>65.400000000000006</v>
      </c>
      <c r="O29" s="21">
        <f t="shared" si="0"/>
        <v>1642.6</v>
      </c>
      <c r="P29" s="25">
        <f t="shared" si="1"/>
        <v>136.9</v>
      </c>
    </row>
    <row r="30" spans="2:16" ht="21.95" customHeight="1">
      <c r="B30" s="31">
        <v>2013</v>
      </c>
      <c r="C30" s="16">
        <v>36.799999999999997</v>
      </c>
      <c r="D30" s="16">
        <v>65.7</v>
      </c>
      <c r="E30" s="16">
        <v>60.8</v>
      </c>
      <c r="F30" s="16">
        <v>61.8</v>
      </c>
      <c r="G30" s="16">
        <v>114.9</v>
      </c>
      <c r="H30" s="16">
        <v>94.4</v>
      </c>
      <c r="I30" s="16">
        <v>213.8</v>
      </c>
      <c r="J30" s="16">
        <v>120.6</v>
      </c>
      <c r="K30" s="16">
        <v>147.4</v>
      </c>
      <c r="L30" s="16">
        <v>7.7</v>
      </c>
      <c r="M30" s="16">
        <v>65.900000000000006</v>
      </c>
      <c r="N30" s="23">
        <v>32.799999999999997</v>
      </c>
      <c r="O30" s="21">
        <f t="shared" si="0"/>
        <v>1022.6</v>
      </c>
      <c r="P30" s="25">
        <f t="shared" si="1"/>
        <v>85.2</v>
      </c>
    </row>
    <row r="31" spans="2:16" ht="21.95" customHeight="1">
      <c r="B31" s="31">
        <v>2014</v>
      </c>
      <c r="C31" s="16">
        <v>7</v>
      </c>
      <c r="D31" s="16">
        <v>17</v>
      </c>
      <c r="E31" s="16">
        <v>31.2</v>
      </c>
      <c r="F31" s="16">
        <v>85.6</v>
      </c>
      <c r="G31" s="16">
        <v>52.7</v>
      </c>
      <c r="H31" s="16">
        <v>69.3</v>
      </c>
      <c r="I31" s="16">
        <v>151.69999999999999</v>
      </c>
      <c r="J31" s="16">
        <v>242.3</v>
      </c>
      <c r="K31" s="16">
        <v>106.7</v>
      </c>
      <c r="L31" s="16">
        <v>117.2</v>
      </c>
      <c r="M31" s="16">
        <v>37.799999999999997</v>
      </c>
      <c r="N31" s="23">
        <v>81.599999999999994</v>
      </c>
      <c r="O31" s="21">
        <f t="shared" si="0"/>
        <v>1000.1</v>
      </c>
      <c r="P31" s="25">
        <f t="shared" si="1"/>
        <v>83.3</v>
      </c>
    </row>
    <row r="32" spans="2:16" ht="21.95" customHeight="1">
      <c r="B32" s="31">
        <v>2015</v>
      </c>
      <c r="C32" s="16">
        <v>20.7</v>
      </c>
      <c r="D32" s="16">
        <v>23.1</v>
      </c>
      <c r="E32" s="16">
        <v>20.6</v>
      </c>
      <c r="F32" s="16">
        <v>116.8</v>
      </c>
      <c r="G32" s="16">
        <v>40.6</v>
      </c>
      <c r="H32" s="16">
        <v>64.099999999999994</v>
      </c>
      <c r="I32" s="16">
        <v>158.5</v>
      </c>
      <c r="J32" s="16">
        <v>63.1</v>
      </c>
      <c r="K32" s="16">
        <v>15.1</v>
      </c>
      <c r="L32" s="16">
        <v>74.2</v>
      </c>
      <c r="M32" s="16">
        <v>154.69999999999999</v>
      </c>
      <c r="N32" s="23">
        <v>63.6</v>
      </c>
      <c r="O32" s="21">
        <f t="shared" si="0"/>
        <v>815.1</v>
      </c>
      <c r="P32" s="25">
        <f t="shared" si="1"/>
        <v>67.900000000000006</v>
      </c>
    </row>
    <row r="33" spans="2:16" ht="21.95" customHeight="1">
      <c r="B33" s="31">
        <v>2016</v>
      </c>
      <c r="C33" s="16">
        <v>21.9</v>
      </c>
      <c r="D33" s="16">
        <v>61.7</v>
      </c>
      <c r="E33" s="16">
        <v>24.3</v>
      </c>
      <c r="F33" s="16">
        <v>87</v>
      </c>
      <c r="G33" s="16">
        <v>153.69999999999999</v>
      </c>
      <c r="H33" s="16">
        <v>36.799999999999997</v>
      </c>
      <c r="I33" s="16">
        <v>295.60000000000002</v>
      </c>
      <c r="J33" s="16">
        <v>34</v>
      </c>
      <c r="K33" s="16">
        <v>53.1</v>
      </c>
      <c r="L33" s="16">
        <v>73.8</v>
      </c>
      <c r="M33" s="16">
        <v>17.5</v>
      </c>
      <c r="N33" s="23">
        <v>62.7</v>
      </c>
      <c r="O33" s="21">
        <f t="shared" si="0"/>
        <v>922.1</v>
      </c>
      <c r="P33" s="25">
        <f t="shared" si="1"/>
        <v>76.8</v>
      </c>
    </row>
    <row r="34" spans="2:16" ht="21.95" customHeight="1">
      <c r="B34" s="208">
        <v>2017</v>
      </c>
      <c r="C34" s="209">
        <v>21.3</v>
      </c>
      <c r="D34" s="209">
        <v>31.4</v>
      </c>
      <c r="E34" s="209">
        <v>4.8</v>
      </c>
      <c r="F34" s="209">
        <v>38.9</v>
      </c>
      <c r="G34" s="209">
        <v>27.9</v>
      </c>
      <c r="H34" s="209">
        <v>23.3</v>
      </c>
      <c r="I34" s="209">
        <v>327.8</v>
      </c>
      <c r="J34" s="209">
        <v>231.3</v>
      </c>
      <c r="K34" s="209">
        <v>37.6</v>
      </c>
      <c r="L34" s="209">
        <v>25.5</v>
      </c>
      <c r="M34" s="209">
        <v>24.7</v>
      </c>
      <c r="N34" s="210">
        <v>35.9</v>
      </c>
      <c r="O34" s="21">
        <f t="shared" si="0"/>
        <v>830.4</v>
      </c>
      <c r="P34" s="25">
        <f t="shared" si="1"/>
        <v>69.2</v>
      </c>
    </row>
    <row r="35" spans="2:16" ht="21.95" customHeight="1" thickBot="1">
      <c r="B35" s="32">
        <v>2018</v>
      </c>
      <c r="C35" s="19">
        <v>21</v>
      </c>
      <c r="D35" s="19">
        <v>40.5</v>
      </c>
      <c r="E35" s="19">
        <v>76.599999999999994</v>
      </c>
      <c r="F35" s="19">
        <v>132.80000000000001</v>
      </c>
      <c r="G35" s="19">
        <v>147.69999999999999</v>
      </c>
      <c r="H35" s="19">
        <v>162.30000000000001</v>
      </c>
      <c r="I35" s="19">
        <v>152.9</v>
      </c>
      <c r="J35" s="19">
        <v>156.80000000000001</v>
      </c>
      <c r="K35" s="19">
        <v>82.7</v>
      </c>
      <c r="L35" s="19">
        <v>153.19999999999999</v>
      </c>
      <c r="M35" s="19">
        <v>73.900000000000006</v>
      </c>
      <c r="N35" s="24">
        <v>26.8</v>
      </c>
      <c r="O35" s="22">
        <f t="shared" si="0"/>
        <v>1227.2</v>
      </c>
      <c r="P35" s="33">
        <f t="shared" si="1"/>
        <v>102.3</v>
      </c>
    </row>
    <row r="36" spans="2:16" ht="21.95" customHeight="1" thickTop="1">
      <c r="B36" s="34" t="s">
        <v>48</v>
      </c>
      <c r="C36" s="18">
        <f>ROUND(MAX(C6:C35),1)</f>
        <v>66.900000000000006</v>
      </c>
      <c r="D36" s="18">
        <f t="shared" ref="D36:N36" si="2">ROUND(MAX(D6:D35),1)</f>
        <v>68.2</v>
      </c>
      <c r="E36" s="18">
        <f t="shared" si="2"/>
        <v>127.2</v>
      </c>
      <c r="F36" s="18">
        <f t="shared" si="2"/>
        <v>180</v>
      </c>
      <c r="G36" s="18">
        <f t="shared" si="2"/>
        <v>232.8</v>
      </c>
      <c r="H36" s="18">
        <f t="shared" si="2"/>
        <v>462.6</v>
      </c>
      <c r="I36" s="18">
        <f t="shared" si="2"/>
        <v>656.5</v>
      </c>
      <c r="J36" s="18">
        <f t="shared" si="2"/>
        <v>992.7</v>
      </c>
      <c r="K36" s="18">
        <f t="shared" si="2"/>
        <v>532.6</v>
      </c>
      <c r="L36" s="18">
        <f t="shared" si="2"/>
        <v>216.3</v>
      </c>
      <c r="M36" s="18">
        <f t="shared" si="2"/>
        <v>154.69999999999999</v>
      </c>
      <c r="N36" s="228">
        <f t="shared" si="2"/>
        <v>81.599999999999994</v>
      </c>
      <c r="O36" s="225">
        <f>ROUND(MAX(O6:O35),1)</f>
        <v>2141.8000000000002</v>
      </c>
      <c r="P36" s="224">
        <f>ROUND(MAX(P6:P35),1)</f>
        <v>178.5</v>
      </c>
    </row>
    <row r="37" spans="2:16" ht="21.95" customHeight="1">
      <c r="B37" s="31" t="s">
        <v>49</v>
      </c>
      <c r="C37" s="17">
        <f>ROUND(MIN(C6:C35),1)</f>
        <v>3.4</v>
      </c>
      <c r="D37" s="17">
        <f t="shared" ref="D37:N37" si="3">ROUND(MIN(D6:D35),1)</f>
        <v>2.4</v>
      </c>
      <c r="E37" s="17">
        <f t="shared" si="3"/>
        <v>3.7</v>
      </c>
      <c r="F37" s="17">
        <f t="shared" si="3"/>
        <v>18.7</v>
      </c>
      <c r="G37" s="17">
        <f t="shared" si="3"/>
        <v>14.5</v>
      </c>
      <c r="H37" s="17">
        <f t="shared" si="3"/>
        <v>23.3</v>
      </c>
      <c r="I37" s="17">
        <f t="shared" si="3"/>
        <v>58</v>
      </c>
      <c r="J37" s="17">
        <f t="shared" si="3"/>
        <v>34</v>
      </c>
      <c r="K37" s="17">
        <f t="shared" si="3"/>
        <v>6.4</v>
      </c>
      <c r="L37" s="17">
        <f t="shared" si="3"/>
        <v>0</v>
      </c>
      <c r="M37" s="17">
        <f t="shared" si="3"/>
        <v>8.1999999999999993</v>
      </c>
      <c r="N37" s="25">
        <f t="shared" si="3"/>
        <v>9.1999999999999993</v>
      </c>
      <c r="O37" s="213">
        <f>ROUND(MIN(O6:O35),1)</f>
        <v>815.1</v>
      </c>
      <c r="P37" s="210">
        <f>ROUND(MIN(P6:P35),1)</f>
        <v>67.900000000000006</v>
      </c>
    </row>
    <row r="38" spans="2:16" ht="21.95" customHeight="1" thickBot="1">
      <c r="B38" s="32" t="s">
        <v>59</v>
      </c>
      <c r="C38" s="20">
        <f>ROUND(AVERAGE(C6:C35),1)</f>
        <v>25.8</v>
      </c>
      <c r="D38" s="20">
        <f t="shared" ref="D38:N38" si="4">ROUND(AVERAGE(D6:D35),1)</f>
        <v>31.6</v>
      </c>
      <c r="E38" s="20">
        <f t="shared" si="4"/>
        <v>44.7</v>
      </c>
      <c r="F38" s="20">
        <f t="shared" si="4"/>
        <v>76.5</v>
      </c>
      <c r="G38" s="20">
        <f t="shared" si="4"/>
        <v>102.2</v>
      </c>
      <c r="H38" s="20">
        <f t="shared" si="4"/>
        <v>153.6</v>
      </c>
      <c r="I38" s="20">
        <f t="shared" si="4"/>
        <v>269.8</v>
      </c>
      <c r="J38" s="20">
        <f t="shared" si="4"/>
        <v>281</v>
      </c>
      <c r="K38" s="20">
        <f t="shared" si="4"/>
        <v>147.30000000000001</v>
      </c>
      <c r="L38" s="20">
        <f t="shared" si="4"/>
        <v>51.4</v>
      </c>
      <c r="M38" s="20">
        <f t="shared" si="4"/>
        <v>54.8</v>
      </c>
      <c r="N38" s="33">
        <f t="shared" si="4"/>
        <v>34.799999999999997</v>
      </c>
      <c r="O38" s="38">
        <f>ROUND(AVERAGE(O6:O35),1)</f>
        <v>1273.4000000000001</v>
      </c>
      <c r="P38" s="24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9" t="s">
        <v>54</v>
      </c>
      <c r="C43" s="40" t="s">
        <v>43</v>
      </c>
      <c r="D43" s="40" t="s">
        <v>44</v>
      </c>
      <c r="E43" s="40" t="s">
        <v>45</v>
      </c>
      <c r="F43" s="40" t="s">
        <v>46</v>
      </c>
      <c r="G43" s="40" t="s">
        <v>47</v>
      </c>
      <c r="H43" s="40" t="s">
        <v>12</v>
      </c>
      <c r="I43" s="40" t="s">
        <v>13</v>
      </c>
      <c r="J43" s="40" t="s">
        <v>14</v>
      </c>
      <c r="K43" s="40" t="s">
        <v>15</v>
      </c>
      <c r="L43" s="40" t="s">
        <v>16</v>
      </c>
      <c r="M43" s="40" t="s">
        <v>17</v>
      </c>
      <c r="N43" s="41" t="s">
        <v>18</v>
      </c>
      <c r="O43" s="42" t="s">
        <v>57</v>
      </c>
      <c r="P43" s="41" t="s">
        <v>41</v>
      </c>
    </row>
    <row r="44" spans="2:16" ht="21.95" customHeight="1">
      <c r="B44" s="171">
        <v>2009</v>
      </c>
      <c r="C44" s="16">
        <v>15.2</v>
      </c>
      <c r="D44" s="16">
        <v>26.5</v>
      </c>
      <c r="E44" s="16">
        <v>67</v>
      </c>
      <c r="F44" s="16">
        <v>43</v>
      </c>
      <c r="G44" s="16">
        <v>117.9</v>
      </c>
      <c r="H44" s="16">
        <v>74.900000000000006</v>
      </c>
      <c r="I44" s="16">
        <v>364.9</v>
      </c>
      <c r="J44" s="16">
        <v>196.3</v>
      </c>
      <c r="K44" s="16">
        <v>16</v>
      </c>
      <c r="L44" s="16">
        <v>49.2</v>
      </c>
      <c r="M44" s="16">
        <v>59.1</v>
      </c>
      <c r="N44" s="23">
        <v>44.3</v>
      </c>
      <c r="O44" s="35">
        <f>ROUND(SUM(C44:N44),1)</f>
        <v>1074.3</v>
      </c>
      <c r="P44" s="23">
        <f>ROUND(O44/12,1)</f>
        <v>89.5</v>
      </c>
    </row>
    <row r="45" spans="2:16" ht="21.95" customHeight="1">
      <c r="B45" s="171">
        <v>2010</v>
      </c>
      <c r="C45" s="16">
        <v>55.5</v>
      </c>
      <c r="D45" s="16">
        <v>58.4</v>
      </c>
      <c r="E45" s="16">
        <v>79.2</v>
      </c>
      <c r="F45" s="16">
        <v>52.2</v>
      </c>
      <c r="G45" s="16">
        <v>168</v>
      </c>
      <c r="H45" s="16">
        <v>94.9</v>
      </c>
      <c r="I45" s="16">
        <v>447.1</v>
      </c>
      <c r="J45" s="16">
        <v>707</v>
      </c>
      <c r="K45" s="16">
        <v>402</v>
      </c>
      <c r="L45" s="16">
        <v>29.1</v>
      </c>
      <c r="M45" s="16">
        <v>12</v>
      </c>
      <c r="N45" s="23">
        <v>36.4</v>
      </c>
      <c r="O45" s="35">
        <f t="shared" ref="O45:O53" si="5">ROUND(SUM(C45:N45),1)</f>
        <v>2141.8000000000002</v>
      </c>
      <c r="P45" s="23">
        <f t="shared" ref="P45:P53" si="6">ROUND(O45/12,1)</f>
        <v>178.5</v>
      </c>
    </row>
    <row r="46" spans="2:16" ht="21.95" customHeight="1">
      <c r="B46" s="171">
        <v>2011</v>
      </c>
      <c r="C46" s="16">
        <v>8.8000000000000007</v>
      </c>
      <c r="D46" s="16">
        <v>55.8</v>
      </c>
      <c r="E46" s="16">
        <v>34.5</v>
      </c>
      <c r="F46" s="16">
        <v>96.2</v>
      </c>
      <c r="G46" s="16">
        <v>107.9</v>
      </c>
      <c r="H46" s="16">
        <v>462.6</v>
      </c>
      <c r="I46" s="16">
        <v>656.5</v>
      </c>
      <c r="J46" s="16">
        <v>151.19999999999999</v>
      </c>
      <c r="K46" s="16">
        <v>50.3</v>
      </c>
      <c r="L46" s="16">
        <v>18.100000000000001</v>
      </c>
      <c r="M46" s="16">
        <v>48.9</v>
      </c>
      <c r="N46" s="23">
        <v>13.6</v>
      </c>
      <c r="O46" s="35">
        <f t="shared" si="5"/>
        <v>1704.4</v>
      </c>
      <c r="P46" s="23">
        <f t="shared" si="6"/>
        <v>142</v>
      </c>
    </row>
    <row r="47" spans="2:16" ht="21.95" customHeight="1">
      <c r="B47" s="171">
        <v>2012</v>
      </c>
      <c r="C47" s="16">
        <v>15.1</v>
      </c>
      <c r="D47" s="16">
        <v>2.4</v>
      </c>
      <c r="E47" s="16">
        <v>41.6</v>
      </c>
      <c r="F47" s="16">
        <v>113.5</v>
      </c>
      <c r="G47" s="16">
        <v>14.5</v>
      </c>
      <c r="H47" s="16">
        <v>91.1</v>
      </c>
      <c r="I47" s="16">
        <v>266.8</v>
      </c>
      <c r="J47" s="16">
        <v>647.9</v>
      </c>
      <c r="K47" s="16">
        <v>201.5</v>
      </c>
      <c r="L47" s="16">
        <v>100.7</v>
      </c>
      <c r="M47" s="16">
        <v>82.1</v>
      </c>
      <c r="N47" s="23">
        <v>65.400000000000006</v>
      </c>
      <c r="O47" s="35">
        <f t="shared" si="5"/>
        <v>1642.6</v>
      </c>
      <c r="P47" s="23">
        <f t="shared" si="6"/>
        <v>136.9</v>
      </c>
    </row>
    <row r="48" spans="2:16" ht="21.95" customHeight="1">
      <c r="B48" s="171">
        <v>2013</v>
      </c>
      <c r="C48" s="16">
        <v>36.799999999999997</v>
      </c>
      <c r="D48" s="16">
        <v>65.7</v>
      </c>
      <c r="E48" s="16">
        <v>60.8</v>
      </c>
      <c r="F48" s="16">
        <v>61.8</v>
      </c>
      <c r="G48" s="16">
        <v>114.9</v>
      </c>
      <c r="H48" s="16">
        <v>94.4</v>
      </c>
      <c r="I48" s="16">
        <v>213.8</v>
      </c>
      <c r="J48" s="16">
        <v>120.6</v>
      </c>
      <c r="K48" s="16">
        <v>147.4</v>
      </c>
      <c r="L48" s="16">
        <v>7.7</v>
      </c>
      <c r="M48" s="16">
        <v>65.900000000000006</v>
      </c>
      <c r="N48" s="23">
        <v>32.799999999999997</v>
      </c>
      <c r="O48" s="35">
        <f t="shared" si="5"/>
        <v>1022.6</v>
      </c>
      <c r="P48" s="23">
        <f t="shared" si="6"/>
        <v>85.2</v>
      </c>
    </row>
    <row r="49" spans="2:16" ht="21.95" customHeight="1">
      <c r="B49" s="171">
        <v>2014</v>
      </c>
      <c r="C49" s="16">
        <v>7</v>
      </c>
      <c r="D49" s="16">
        <v>17</v>
      </c>
      <c r="E49" s="16">
        <v>31.2</v>
      </c>
      <c r="F49" s="16">
        <v>85.6</v>
      </c>
      <c r="G49" s="16">
        <v>52.7</v>
      </c>
      <c r="H49" s="16">
        <v>69.3</v>
      </c>
      <c r="I49" s="16">
        <v>151.69999999999999</v>
      </c>
      <c r="J49" s="16">
        <v>242.3</v>
      </c>
      <c r="K49" s="16">
        <v>106.7</v>
      </c>
      <c r="L49" s="16">
        <v>117.2</v>
      </c>
      <c r="M49" s="16">
        <v>37.799999999999997</v>
      </c>
      <c r="N49" s="23">
        <v>81.599999999999994</v>
      </c>
      <c r="O49" s="35">
        <f t="shared" si="5"/>
        <v>1000.1</v>
      </c>
      <c r="P49" s="23">
        <f t="shared" si="6"/>
        <v>83.3</v>
      </c>
    </row>
    <row r="50" spans="2:16" ht="21.95" customHeight="1">
      <c r="B50" s="171">
        <v>2015</v>
      </c>
      <c r="C50" s="16">
        <v>20.7</v>
      </c>
      <c r="D50" s="16">
        <v>23.1</v>
      </c>
      <c r="E50" s="16">
        <v>20.6</v>
      </c>
      <c r="F50" s="16">
        <v>116.8</v>
      </c>
      <c r="G50" s="16">
        <v>40.6</v>
      </c>
      <c r="H50" s="16">
        <v>64.099999999999994</v>
      </c>
      <c r="I50" s="16">
        <v>158.5</v>
      </c>
      <c r="J50" s="16">
        <v>63.1</v>
      </c>
      <c r="K50" s="16">
        <v>15.1</v>
      </c>
      <c r="L50" s="16">
        <v>74.2</v>
      </c>
      <c r="M50" s="16">
        <v>154.69999999999999</v>
      </c>
      <c r="N50" s="23">
        <v>63.6</v>
      </c>
      <c r="O50" s="35">
        <f t="shared" si="5"/>
        <v>815.1</v>
      </c>
      <c r="P50" s="23">
        <f t="shared" si="6"/>
        <v>67.900000000000006</v>
      </c>
    </row>
    <row r="51" spans="2:16" ht="21.95" customHeight="1">
      <c r="B51" s="171">
        <v>2016</v>
      </c>
      <c r="C51" s="16">
        <v>21.9</v>
      </c>
      <c r="D51" s="16">
        <v>61.7</v>
      </c>
      <c r="E51" s="16">
        <v>24.3</v>
      </c>
      <c r="F51" s="16">
        <v>87</v>
      </c>
      <c r="G51" s="16">
        <v>153.69999999999999</v>
      </c>
      <c r="H51" s="16">
        <v>36.799999999999997</v>
      </c>
      <c r="I51" s="16">
        <v>295.60000000000002</v>
      </c>
      <c r="J51" s="16">
        <v>34</v>
      </c>
      <c r="K51" s="16">
        <v>53.1</v>
      </c>
      <c r="L51" s="16">
        <v>73.8</v>
      </c>
      <c r="M51" s="16">
        <v>17.5</v>
      </c>
      <c r="N51" s="23">
        <v>62.7</v>
      </c>
      <c r="O51" s="35">
        <f t="shared" si="5"/>
        <v>922.1</v>
      </c>
      <c r="P51" s="23">
        <f t="shared" si="6"/>
        <v>76.8</v>
      </c>
    </row>
    <row r="52" spans="2:16" ht="21.95" customHeight="1">
      <c r="B52" s="212">
        <v>2017</v>
      </c>
      <c r="C52" s="209">
        <v>21.3</v>
      </c>
      <c r="D52" s="209">
        <v>31.4</v>
      </c>
      <c r="E52" s="209">
        <v>4.8</v>
      </c>
      <c r="F52" s="209">
        <v>38.9</v>
      </c>
      <c r="G52" s="209">
        <v>27.9</v>
      </c>
      <c r="H52" s="209">
        <v>23.3</v>
      </c>
      <c r="I52" s="209">
        <v>327.8</v>
      </c>
      <c r="J52" s="209">
        <v>231.3</v>
      </c>
      <c r="K52" s="209">
        <v>37.6</v>
      </c>
      <c r="L52" s="209">
        <v>25.5</v>
      </c>
      <c r="M52" s="209">
        <v>24.7</v>
      </c>
      <c r="N52" s="210">
        <v>35.9</v>
      </c>
      <c r="O52" s="35">
        <f t="shared" si="5"/>
        <v>830.4</v>
      </c>
      <c r="P52" s="23">
        <f t="shared" si="6"/>
        <v>69.2</v>
      </c>
    </row>
    <row r="53" spans="2:16" ht="21.95" customHeight="1" thickBot="1">
      <c r="B53" s="211">
        <v>2018</v>
      </c>
      <c r="C53" s="19">
        <v>21</v>
      </c>
      <c r="D53" s="19">
        <v>40.5</v>
      </c>
      <c r="E53" s="19">
        <v>76.599999999999994</v>
      </c>
      <c r="F53" s="19">
        <v>132.80000000000001</v>
      </c>
      <c r="G53" s="19">
        <v>147.69999999999999</v>
      </c>
      <c r="H53" s="19">
        <v>162.30000000000001</v>
      </c>
      <c r="I53" s="19">
        <v>152.9</v>
      </c>
      <c r="J53" s="19">
        <v>156.80000000000001</v>
      </c>
      <c r="K53" s="19">
        <v>82.7</v>
      </c>
      <c r="L53" s="19">
        <v>153.19999999999999</v>
      </c>
      <c r="M53" s="19">
        <v>73.900000000000006</v>
      </c>
      <c r="N53" s="24">
        <v>26.8</v>
      </c>
      <c r="O53" s="38">
        <f t="shared" si="5"/>
        <v>1227.2</v>
      </c>
      <c r="P53" s="24">
        <f t="shared" si="6"/>
        <v>102.3</v>
      </c>
    </row>
    <row r="54" spans="2:16" ht="21.95" customHeight="1" thickTop="1">
      <c r="B54" s="45" t="s">
        <v>60</v>
      </c>
      <c r="C54" s="36">
        <f>MAX(C44:C53)</f>
        <v>55.5</v>
      </c>
      <c r="D54" s="36">
        <f t="shared" ref="D54:P54" si="7">MAX(D44:D53)</f>
        <v>65.7</v>
      </c>
      <c r="E54" s="36">
        <f t="shared" si="7"/>
        <v>79.2</v>
      </c>
      <c r="F54" s="36">
        <f t="shared" si="7"/>
        <v>132.80000000000001</v>
      </c>
      <c r="G54" s="36">
        <f t="shared" si="7"/>
        <v>168</v>
      </c>
      <c r="H54" s="36">
        <f t="shared" si="7"/>
        <v>462.6</v>
      </c>
      <c r="I54" s="36">
        <f t="shared" si="7"/>
        <v>656.5</v>
      </c>
      <c r="J54" s="36">
        <f t="shared" si="7"/>
        <v>707</v>
      </c>
      <c r="K54" s="36">
        <f t="shared" si="7"/>
        <v>402</v>
      </c>
      <c r="L54" s="36">
        <f t="shared" si="7"/>
        <v>153.19999999999999</v>
      </c>
      <c r="M54" s="36">
        <f t="shared" si="7"/>
        <v>154.69999999999999</v>
      </c>
      <c r="N54" s="226">
        <f t="shared" si="7"/>
        <v>81.599999999999994</v>
      </c>
      <c r="O54" s="37">
        <f t="shared" si="7"/>
        <v>2141.8000000000002</v>
      </c>
      <c r="P54" s="226">
        <f t="shared" si="7"/>
        <v>178.5</v>
      </c>
    </row>
    <row r="55" spans="2:16" ht="21.95" customHeight="1">
      <c r="B55" s="43" t="s">
        <v>61</v>
      </c>
      <c r="C55" s="16">
        <f>MIN(C44:C53)</f>
        <v>7</v>
      </c>
      <c r="D55" s="16">
        <f t="shared" ref="D55:P55" si="8">MIN(D44:D53)</f>
        <v>2.4</v>
      </c>
      <c r="E55" s="16">
        <f t="shared" si="8"/>
        <v>4.8</v>
      </c>
      <c r="F55" s="16">
        <f t="shared" si="8"/>
        <v>38.9</v>
      </c>
      <c r="G55" s="16">
        <f t="shared" si="8"/>
        <v>14.5</v>
      </c>
      <c r="H55" s="16">
        <f t="shared" si="8"/>
        <v>23.3</v>
      </c>
      <c r="I55" s="16">
        <f t="shared" si="8"/>
        <v>151.69999999999999</v>
      </c>
      <c r="J55" s="16">
        <f t="shared" si="8"/>
        <v>34</v>
      </c>
      <c r="K55" s="16">
        <f t="shared" si="8"/>
        <v>15.1</v>
      </c>
      <c r="L55" s="16">
        <f t="shared" si="8"/>
        <v>7.7</v>
      </c>
      <c r="M55" s="16">
        <f t="shared" si="8"/>
        <v>12</v>
      </c>
      <c r="N55" s="23">
        <f t="shared" si="8"/>
        <v>13.6</v>
      </c>
      <c r="O55" s="35">
        <f>MIN(O44:O53)</f>
        <v>815.1</v>
      </c>
      <c r="P55" s="23">
        <f t="shared" si="8"/>
        <v>67.900000000000006</v>
      </c>
    </row>
    <row r="56" spans="2:16" ht="21.95" customHeight="1" thickBot="1">
      <c r="B56" s="44" t="s">
        <v>41</v>
      </c>
      <c r="C56" s="19">
        <f>ROUND(AVERAGE(C44:C53),1)</f>
        <v>22.3</v>
      </c>
      <c r="D56" s="19">
        <f t="shared" ref="D56:N56" si="9">ROUND(AVERAGE(D44:D53),1)</f>
        <v>38.299999999999997</v>
      </c>
      <c r="E56" s="19">
        <f t="shared" si="9"/>
        <v>44.1</v>
      </c>
      <c r="F56" s="19">
        <f t="shared" si="9"/>
        <v>82.8</v>
      </c>
      <c r="G56" s="19">
        <f t="shared" si="9"/>
        <v>94.6</v>
      </c>
      <c r="H56" s="19">
        <f t="shared" si="9"/>
        <v>117.4</v>
      </c>
      <c r="I56" s="19">
        <f t="shared" si="9"/>
        <v>303.60000000000002</v>
      </c>
      <c r="J56" s="19">
        <f t="shared" si="9"/>
        <v>255.1</v>
      </c>
      <c r="K56" s="19">
        <f t="shared" si="9"/>
        <v>111.2</v>
      </c>
      <c r="L56" s="19">
        <f t="shared" si="9"/>
        <v>64.900000000000006</v>
      </c>
      <c r="M56" s="19">
        <f t="shared" si="9"/>
        <v>57.7</v>
      </c>
      <c r="N56" s="24">
        <f t="shared" si="9"/>
        <v>46.3</v>
      </c>
      <c r="O56" s="38">
        <f>ROUND(AVERAGE(O44:O53),1)</f>
        <v>1238.0999999999999</v>
      </c>
      <c r="P56" s="24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2" sqref="S12"/>
    </sheetView>
  </sheetViews>
  <sheetFormatPr defaultRowHeight="16.5"/>
  <cols>
    <col min="1" max="1" width="8.88671875" style="14"/>
    <col min="2" max="2" width="5.88671875" style="12" customWidth="1"/>
    <col min="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9.25" customHeight="1">
      <c r="B2" s="515" t="s">
        <v>209</v>
      </c>
      <c r="C2" s="515"/>
      <c r="D2" s="515"/>
    </row>
    <row r="4" spans="2:17" ht="17.25" thickBot="1"/>
    <row r="5" spans="2:17" s="15" customFormat="1" ht="21.95" customHeight="1">
      <c r="B5" s="327" t="s">
        <v>55</v>
      </c>
      <c r="C5" s="328" t="s">
        <v>56</v>
      </c>
      <c r="D5" s="328" t="s">
        <v>44</v>
      </c>
      <c r="E5" s="328" t="s">
        <v>45</v>
      </c>
      <c r="F5" s="328" t="s">
        <v>46</v>
      </c>
      <c r="G5" s="328" t="s">
        <v>47</v>
      </c>
      <c r="H5" s="328" t="s">
        <v>12</v>
      </c>
      <c r="I5" s="328" t="s">
        <v>13</v>
      </c>
      <c r="J5" s="328" t="s">
        <v>14</v>
      </c>
      <c r="K5" s="328" t="s">
        <v>15</v>
      </c>
      <c r="L5" s="328" t="s">
        <v>16</v>
      </c>
      <c r="M5" s="328" t="s">
        <v>17</v>
      </c>
      <c r="N5" s="329" t="s">
        <v>18</v>
      </c>
      <c r="O5" s="327" t="s">
        <v>58</v>
      </c>
      <c r="P5" s="329" t="s">
        <v>59</v>
      </c>
    </row>
    <row r="6" spans="2:17" ht="21.95" customHeight="1">
      <c r="B6" s="330">
        <v>1989</v>
      </c>
      <c r="C6" s="331">
        <v>64.900000000000006</v>
      </c>
      <c r="D6" s="331">
        <v>47.9</v>
      </c>
      <c r="E6" s="331">
        <v>96.1</v>
      </c>
      <c r="F6" s="331">
        <v>20.399999999999999</v>
      </c>
      <c r="G6" s="331">
        <v>59.4</v>
      </c>
      <c r="H6" s="331">
        <v>224.5</v>
      </c>
      <c r="I6" s="331">
        <v>105.1</v>
      </c>
      <c r="J6" s="331">
        <v>203.2</v>
      </c>
      <c r="K6" s="331">
        <v>206</v>
      </c>
      <c r="L6" s="331">
        <v>42.3</v>
      </c>
      <c r="M6" s="331">
        <v>112.9</v>
      </c>
      <c r="N6" s="332">
        <v>15</v>
      </c>
      <c r="O6" s="333">
        <f>ROUND(SUM(C6:N6),1)</f>
        <v>1197.7</v>
      </c>
      <c r="P6" s="334">
        <f>ROUND(O6/12,1)</f>
        <v>99.8</v>
      </c>
      <c r="Q6" s="207"/>
    </row>
    <row r="7" spans="2:17" ht="21.95" customHeight="1">
      <c r="B7" s="335">
        <v>1990</v>
      </c>
      <c r="C7" s="336">
        <v>51.3</v>
      </c>
      <c r="D7" s="336">
        <v>66.900000000000006</v>
      </c>
      <c r="E7" s="336">
        <v>65.5</v>
      </c>
      <c r="F7" s="336">
        <v>99.7</v>
      </c>
      <c r="G7" s="336">
        <v>94.3</v>
      </c>
      <c r="H7" s="336">
        <v>439.4</v>
      </c>
      <c r="I7" s="336">
        <v>254.5</v>
      </c>
      <c r="J7" s="336">
        <v>242.5</v>
      </c>
      <c r="K7" s="336">
        <v>320.60000000000002</v>
      </c>
      <c r="L7" s="336">
        <v>0</v>
      </c>
      <c r="M7" s="336">
        <v>105.7</v>
      </c>
      <c r="N7" s="337">
        <v>47.9</v>
      </c>
      <c r="O7" s="338">
        <f t="shared" ref="O7:O35" si="0">ROUND(SUM(C7:N7),1)</f>
        <v>1788.3</v>
      </c>
      <c r="P7" s="339">
        <f t="shared" ref="P7:P35" si="1">ROUND(O7/12,1)</f>
        <v>149</v>
      </c>
      <c r="Q7" s="207"/>
    </row>
    <row r="8" spans="2:17" ht="21.95" customHeight="1">
      <c r="B8" s="335">
        <v>1991</v>
      </c>
      <c r="C8" s="336">
        <v>19.3</v>
      </c>
      <c r="D8" s="336">
        <v>45.2</v>
      </c>
      <c r="E8" s="336">
        <v>69.400000000000006</v>
      </c>
      <c r="F8" s="336">
        <v>59.8</v>
      </c>
      <c r="G8" s="336">
        <v>209.1</v>
      </c>
      <c r="H8" s="336">
        <v>64.2</v>
      </c>
      <c r="I8" s="336">
        <v>228.5</v>
      </c>
      <c r="J8" s="336">
        <v>120</v>
      </c>
      <c r="K8" s="336">
        <v>198.7</v>
      </c>
      <c r="L8" s="336">
        <v>23.7</v>
      </c>
      <c r="M8" s="336">
        <v>21.2</v>
      </c>
      <c r="N8" s="337">
        <v>29.5</v>
      </c>
      <c r="O8" s="338">
        <f t="shared" si="0"/>
        <v>1088.5999999999999</v>
      </c>
      <c r="P8" s="339">
        <f t="shared" si="1"/>
        <v>90.7</v>
      </c>
      <c r="Q8" s="207"/>
    </row>
    <row r="9" spans="2:17" ht="21.95" customHeight="1">
      <c r="B9" s="335">
        <v>1992</v>
      </c>
      <c r="C9" s="336">
        <v>3.4</v>
      </c>
      <c r="D9" s="336">
        <v>21.7</v>
      </c>
      <c r="E9" s="336">
        <v>21.2</v>
      </c>
      <c r="F9" s="336">
        <v>68.2</v>
      </c>
      <c r="G9" s="336">
        <v>67</v>
      </c>
      <c r="H9" s="336">
        <v>79.2</v>
      </c>
      <c r="I9" s="336">
        <v>58</v>
      </c>
      <c r="J9" s="336">
        <v>344.9</v>
      </c>
      <c r="K9" s="336">
        <v>195.5</v>
      </c>
      <c r="L9" s="336">
        <v>32.1</v>
      </c>
      <c r="M9" s="336">
        <v>50.7</v>
      </c>
      <c r="N9" s="337">
        <v>75.7</v>
      </c>
      <c r="O9" s="338">
        <f t="shared" si="0"/>
        <v>1017.6</v>
      </c>
      <c r="P9" s="339">
        <f t="shared" si="1"/>
        <v>84.8</v>
      </c>
      <c r="Q9" s="207"/>
    </row>
    <row r="10" spans="2:17" ht="21.95" customHeight="1">
      <c r="B10" s="335">
        <v>1993</v>
      </c>
      <c r="C10" s="336">
        <v>9.1999999999999993</v>
      </c>
      <c r="D10" s="336">
        <v>68.2</v>
      </c>
      <c r="E10" s="336">
        <v>27.4</v>
      </c>
      <c r="F10" s="336">
        <v>45.2</v>
      </c>
      <c r="G10" s="336">
        <v>50.7</v>
      </c>
      <c r="H10" s="336">
        <v>151.80000000000001</v>
      </c>
      <c r="I10" s="336">
        <v>393.1</v>
      </c>
      <c r="J10" s="336">
        <v>95</v>
      </c>
      <c r="K10" s="336">
        <v>81.7</v>
      </c>
      <c r="L10" s="336">
        <v>31.5</v>
      </c>
      <c r="M10" s="336">
        <v>105.1</v>
      </c>
      <c r="N10" s="337">
        <v>34.700000000000003</v>
      </c>
      <c r="O10" s="338">
        <f t="shared" si="0"/>
        <v>1093.5999999999999</v>
      </c>
      <c r="P10" s="339">
        <f t="shared" si="1"/>
        <v>91.1</v>
      </c>
      <c r="Q10" s="207"/>
    </row>
    <row r="11" spans="2:17" ht="21.95" customHeight="1">
      <c r="B11" s="335">
        <v>1994</v>
      </c>
      <c r="C11" s="336">
        <v>14.6</v>
      </c>
      <c r="D11" s="336">
        <v>5.9</v>
      </c>
      <c r="E11" s="336">
        <v>65.599999999999994</v>
      </c>
      <c r="F11" s="336">
        <v>32.4</v>
      </c>
      <c r="G11" s="336">
        <v>156</v>
      </c>
      <c r="H11" s="336">
        <v>167.8</v>
      </c>
      <c r="I11" s="336">
        <v>107.1</v>
      </c>
      <c r="J11" s="336">
        <v>309.7</v>
      </c>
      <c r="K11" s="336">
        <v>99.2</v>
      </c>
      <c r="L11" s="336">
        <v>216.3</v>
      </c>
      <c r="M11" s="336">
        <v>23.3</v>
      </c>
      <c r="N11" s="337">
        <v>36.6</v>
      </c>
      <c r="O11" s="338">
        <f t="shared" si="0"/>
        <v>1234.5</v>
      </c>
      <c r="P11" s="339">
        <f t="shared" si="1"/>
        <v>102.9</v>
      </c>
      <c r="Q11" s="207"/>
    </row>
    <row r="12" spans="2:17" ht="21.95" customHeight="1">
      <c r="B12" s="335">
        <v>1995</v>
      </c>
      <c r="C12" s="336">
        <v>22.7</v>
      </c>
      <c r="D12" s="336">
        <v>7.2</v>
      </c>
      <c r="E12" s="336">
        <v>37.299999999999997</v>
      </c>
      <c r="F12" s="336">
        <v>48.2</v>
      </c>
      <c r="G12" s="336">
        <v>67.099999999999994</v>
      </c>
      <c r="H12" s="336">
        <v>24.5</v>
      </c>
      <c r="I12" s="336">
        <v>144.1</v>
      </c>
      <c r="J12" s="336">
        <v>992.7</v>
      </c>
      <c r="K12" s="336">
        <v>20.2</v>
      </c>
      <c r="L12" s="336">
        <v>19.3</v>
      </c>
      <c r="M12" s="336">
        <v>49.9</v>
      </c>
      <c r="N12" s="337">
        <v>15.1</v>
      </c>
      <c r="O12" s="338">
        <f t="shared" si="0"/>
        <v>1448.3</v>
      </c>
      <c r="P12" s="339">
        <f t="shared" si="1"/>
        <v>120.7</v>
      </c>
    </row>
    <row r="13" spans="2:17" ht="21.95" customHeight="1">
      <c r="B13" s="335">
        <v>1996</v>
      </c>
      <c r="C13" s="336">
        <v>29.1</v>
      </c>
      <c r="D13" s="336">
        <v>5.7</v>
      </c>
      <c r="E13" s="336">
        <v>115.1</v>
      </c>
      <c r="F13" s="336">
        <v>48.1</v>
      </c>
      <c r="G13" s="336">
        <v>20</v>
      </c>
      <c r="H13" s="336">
        <v>179.2</v>
      </c>
      <c r="I13" s="336">
        <v>152.80000000000001</v>
      </c>
      <c r="J13" s="336">
        <v>74.099999999999994</v>
      </c>
      <c r="K13" s="336">
        <v>6.4</v>
      </c>
      <c r="L13" s="336">
        <v>92.2</v>
      </c>
      <c r="M13" s="336">
        <v>72.099999999999994</v>
      </c>
      <c r="N13" s="337">
        <v>35.299999999999997</v>
      </c>
      <c r="O13" s="338">
        <f t="shared" si="0"/>
        <v>830.1</v>
      </c>
      <c r="P13" s="339">
        <f t="shared" si="1"/>
        <v>69.2</v>
      </c>
    </row>
    <row r="14" spans="2:17" ht="21.95" customHeight="1">
      <c r="B14" s="335">
        <v>1997</v>
      </c>
      <c r="C14" s="336">
        <v>20.5</v>
      </c>
      <c r="D14" s="336">
        <v>32.5</v>
      </c>
      <c r="E14" s="336">
        <v>29.6</v>
      </c>
      <c r="F14" s="336">
        <v>69.5</v>
      </c>
      <c r="G14" s="336">
        <v>232.8</v>
      </c>
      <c r="H14" s="336">
        <v>204.4</v>
      </c>
      <c r="I14" s="336">
        <v>298.7</v>
      </c>
      <c r="J14" s="336">
        <v>87.2</v>
      </c>
      <c r="K14" s="336">
        <v>16.100000000000001</v>
      </c>
      <c r="L14" s="336">
        <v>8.6999999999999993</v>
      </c>
      <c r="M14" s="336">
        <v>116.7</v>
      </c>
      <c r="N14" s="337">
        <v>40.200000000000003</v>
      </c>
      <c r="O14" s="338">
        <f t="shared" si="0"/>
        <v>1156.9000000000001</v>
      </c>
      <c r="P14" s="339">
        <f t="shared" si="1"/>
        <v>96.4</v>
      </c>
    </row>
    <row r="15" spans="2:17" ht="21.95" customHeight="1">
      <c r="B15" s="335">
        <v>1998</v>
      </c>
      <c r="C15" s="336">
        <v>40.1</v>
      </c>
      <c r="D15" s="336">
        <v>54.2</v>
      </c>
      <c r="E15" s="336">
        <v>35</v>
      </c>
      <c r="F15" s="336">
        <v>160.6</v>
      </c>
      <c r="G15" s="336">
        <v>95.5</v>
      </c>
      <c r="H15" s="336">
        <v>281.7</v>
      </c>
      <c r="I15" s="336">
        <v>295.60000000000002</v>
      </c>
      <c r="J15" s="336">
        <v>491.8</v>
      </c>
      <c r="K15" s="336">
        <v>168</v>
      </c>
      <c r="L15" s="336">
        <v>24.3</v>
      </c>
      <c r="M15" s="336">
        <v>55.6</v>
      </c>
      <c r="N15" s="337">
        <v>9.1999999999999993</v>
      </c>
      <c r="O15" s="338">
        <f t="shared" si="0"/>
        <v>1711.6</v>
      </c>
      <c r="P15" s="339">
        <f t="shared" si="1"/>
        <v>142.6</v>
      </c>
    </row>
    <row r="16" spans="2:17" ht="21.95" customHeight="1">
      <c r="B16" s="335">
        <v>1999</v>
      </c>
      <c r="C16" s="336">
        <v>8</v>
      </c>
      <c r="D16" s="336">
        <v>7.8</v>
      </c>
      <c r="E16" s="336">
        <v>59.9</v>
      </c>
      <c r="F16" s="336">
        <v>90.1</v>
      </c>
      <c r="G16" s="336">
        <v>178.8</v>
      </c>
      <c r="H16" s="336">
        <v>105.1</v>
      </c>
      <c r="I16" s="336">
        <v>175.6</v>
      </c>
      <c r="J16" s="336">
        <v>497.4</v>
      </c>
      <c r="K16" s="336">
        <v>532.6</v>
      </c>
      <c r="L16" s="336">
        <v>111.3</v>
      </c>
      <c r="M16" s="336">
        <v>36.6</v>
      </c>
      <c r="N16" s="337">
        <v>23.4</v>
      </c>
      <c r="O16" s="338">
        <f t="shared" si="0"/>
        <v>1826.6</v>
      </c>
      <c r="P16" s="339">
        <f t="shared" si="1"/>
        <v>152.19999999999999</v>
      </c>
    </row>
    <row r="17" spans="2:16" ht="21.95" customHeight="1">
      <c r="B17" s="335">
        <v>2000</v>
      </c>
      <c r="C17" s="336">
        <v>63</v>
      </c>
      <c r="D17" s="336">
        <v>2.9</v>
      </c>
      <c r="E17" s="336">
        <v>3.7</v>
      </c>
      <c r="F17" s="336">
        <v>38.1</v>
      </c>
      <c r="G17" s="336">
        <v>62.1</v>
      </c>
      <c r="H17" s="336">
        <v>204.4</v>
      </c>
      <c r="I17" s="336">
        <v>60.8</v>
      </c>
      <c r="J17" s="336">
        <v>608.1</v>
      </c>
      <c r="K17" s="336">
        <v>298.10000000000002</v>
      </c>
      <c r="L17" s="336">
        <v>34.4</v>
      </c>
      <c r="M17" s="336">
        <v>24.8</v>
      </c>
      <c r="N17" s="337">
        <v>24.4</v>
      </c>
      <c r="O17" s="338">
        <f t="shared" si="0"/>
        <v>1424.8</v>
      </c>
      <c r="P17" s="339">
        <f t="shared" si="1"/>
        <v>118.7</v>
      </c>
    </row>
    <row r="18" spans="2:16" ht="21.95" customHeight="1">
      <c r="B18" s="335">
        <v>2001</v>
      </c>
      <c r="C18" s="336">
        <v>66.900000000000006</v>
      </c>
      <c r="D18" s="336">
        <v>40.4</v>
      </c>
      <c r="E18" s="336">
        <v>12.7</v>
      </c>
      <c r="F18" s="336">
        <v>18.7</v>
      </c>
      <c r="G18" s="336">
        <v>17.8</v>
      </c>
      <c r="H18" s="336">
        <v>200.2</v>
      </c>
      <c r="I18" s="336">
        <v>402</v>
      </c>
      <c r="J18" s="336">
        <v>136.6</v>
      </c>
      <c r="K18" s="336">
        <v>15</v>
      </c>
      <c r="L18" s="336">
        <v>47.5</v>
      </c>
      <c r="M18" s="336">
        <v>8.1999999999999993</v>
      </c>
      <c r="N18" s="337">
        <v>20.8</v>
      </c>
      <c r="O18" s="338">
        <f t="shared" si="0"/>
        <v>986.8</v>
      </c>
      <c r="P18" s="339">
        <f t="shared" si="1"/>
        <v>82.2</v>
      </c>
    </row>
    <row r="19" spans="2:16" ht="21.95" customHeight="1">
      <c r="B19" s="335">
        <v>2002</v>
      </c>
      <c r="C19" s="336">
        <v>22.5</v>
      </c>
      <c r="D19" s="336">
        <v>7</v>
      </c>
      <c r="E19" s="336">
        <v>29.3</v>
      </c>
      <c r="F19" s="336">
        <v>179.5</v>
      </c>
      <c r="G19" s="336">
        <v>177.3</v>
      </c>
      <c r="H19" s="336">
        <v>60.8</v>
      </c>
      <c r="I19" s="336">
        <v>296.10000000000002</v>
      </c>
      <c r="J19" s="336">
        <v>428.2</v>
      </c>
      <c r="K19" s="336">
        <v>57.5</v>
      </c>
      <c r="L19" s="336">
        <v>78.3</v>
      </c>
      <c r="M19" s="336">
        <v>36.299999999999997</v>
      </c>
      <c r="N19" s="337">
        <v>14.8</v>
      </c>
      <c r="O19" s="338">
        <f t="shared" si="0"/>
        <v>1387.6</v>
      </c>
      <c r="P19" s="339">
        <f t="shared" si="1"/>
        <v>115.6</v>
      </c>
    </row>
    <row r="20" spans="2:16" ht="21.95" customHeight="1">
      <c r="B20" s="335">
        <v>2003</v>
      </c>
      <c r="C20" s="336">
        <v>20.9</v>
      </c>
      <c r="D20" s="336">
        <v>39</v>
      </c>
      <c r="E20" s="336">
        <v>22.5</v>
      </c>
      <c r="F20" s="336">
        <v>180</v>
      </c>
      <c r="G20" s="336">
        <v>105.5</v>
      </c>
      <c r="H20" s="336">
        <v>221.8</v>
      </c>
      <c r="I20" s="336">
        <v>290.2</v>
      </c>
      <c r="J20" s="336">
        <v>257.89999999999998</v>
      </c>
      <c r="K20" s="336">
        <v>201.9</v>
      </c>
      <c r="L20" s="336">
        <v>23</v>
      </c>
      <c r="M20" s="336">
        <v>53.6</v>
      </c>
      <c r="N20" s="337">
        <v>17.100000000000001</v>
      </c>
      <c r="O20" s="338">
        <f t="shared" si="0"/>
        <v>1433.4</v>
      </c>
      <c r="P20" s="339">
        <f t="shared" si="1"/>
        <v>119.5</v>
      </c>
    </row>
    <row r="21" spans="2:16" ht="21.95" customHeight="1">
      <c r="B21" s="335">
        <v>2004</v>
      </c>
      <c r="C21" s="336">
        <v>27.3</v>
      </c>
      <c r="D21" s="336">
        <v>26.3</v>
      </c>
      <c r="E21" s="336">
        <v>15.7</v>
      </c>
      <c r="F21" s="336">
        <v>80.2</v>
      </c>
      <c r="G21" s="336">
        <v>140.30000000000001</v>
      </c>
      <c r="H21" s="336">
        <v>211.1</v>
      </c>
      <c r="I21" s="336">
        <v>321.89999999999998</v>
      </c>
      <c r="J21" s="336">
        <v>131.19999999999999</v>
      </c>
      <c r="K21" s="336">
        <v>282.60000000000002</v>
      </c>
      <c r="L21" s="336">
        <v>1.8</v>
      </c>
      <c r="M21" s="336">
        <v>70.5</v>
      </c>
      <c r="N21" s="337">
        <v>32</v>
      </c>
      <c r="O21" s="338">
        <f t="shared" si="0"/>
        <v>1340.9</v>
      </c>
      <c r="P21" s="339">
        <f t="shared" si="1"/>
        <v>111.7</v>
      </c>
    </row>
    <row r="22" spans="2:16" ht="21.95" customHeight="1">
      <c r="B22" s="335">
        <v>2005</v>
      </c>
      <c r="C22" s="336">
        <v>10.4</v>
      </c>
      <c r="D22" s="336">
        <v>34</v>
      </c>
      <c r="E22" s="336">
        <v>36.1</v>
      </c>
      <c r="F22" s="336">
        <v>77.2</v>
      </c>
      <c r="G22" s="336">
        <v>56.1</v>
      </c>
      <c r="H22" s="336">
        <v>147</v>
      </c>
      <c r="I22" s="336">
        <v>386.1</v>
      </c>
      <c r="J22" s="336">
        <v>270.5</v>
      </c>
      <c r="K22" s="336">
        <v>228.7</v>
      </c>
      <c r="L22" s="336">
        <v>30.9</v>
      </c>
      <c r="M22" s="336">
        <v>19.600000000000001</v>
      </c>
      <c r="N22" s="337">
        <v>37.6</v>
      </c>
      <c r="O22" s="338">
        <f t="shared" si="0"/>
        <v>1334.2</v>
      </c>
      <c r="P22" s="339">
        <f t="shared" si="1"/>
        <v>111.2</v>
      </c>
    </row>
    <row r="23" spans="2:16" ht="21.95" customHeight="1">
      <c r="B23" s="335">
        <v>2006</v>
      </c>
      <c r="C23" s="336">
        <v>29.7</v>
      </c>
      <c r="D23" s="336">
        <v>18.899999999999999</v>
      </c>
      <c r="E23" s="336">
        <v>5</v>
      </c>
      <c r="F23" s="336">
        <v>77.3</v>
      </c>
      <c r="G23" s="336">
        <v>133.5</v>
      </c>
      <c r="H23" s="336">
        <v>226.8</v>
      </c>
      <c r="I23" s="336">
        <v>494.5</v>
      </c>
      <c r="J23" s="336">
        <v>58.2</v>
      </c>
      <c r="K23" s="336">
        <v>10.1</v>
      </c>
      <c r="L23" s="336">
        <v>10.5</v>
      </c>
      <c r="M23" s="336">
        <v>55</v>
      </c>
      <c r="N23" s="337">
        <v>19.7</v>
      </c>
      <c r="O23" s="338">
        <f t="shared" si="0"/>
        <v>1139.2</v>
      </c>
      <c r="P23" s="339">
        <f t="shared" si="1"/>
        <v>94.9</v>
      </c>
    </row>
    <row r="24" spans="2:16" ht="21.95" customHeight="1">
      <c r="B24" s="335">
        <v>2007</v>
      </c>
      <c r="C24" s="336">
        <v>13</v>
      </c>
      <c r="D24" s="336">
        <v>25.5</v>
      </c>
      <c r="E24" s="336">
        <v>127.2</v>
      </c>
      <c r="F24" s="336">
        <v>28.1</v>
      </c>
      <c r="G24" s="336">
        <v>108.5</v>
      </c>
      <c r="H24" s="336">
        <v>123.5</v>
      </c>
      <c r="I24" s="336">
        <v>257</v>
      </c>
      <c r="J24" s="336">
        <v>414.6</v>
      </c>
      <c r="K24" s="336">
        <v>305.8</v>
      </c>
      <c r="L24" s="336">
        <v>30.7</v>
      </c>
      <c r="M24" s="336">
        <v>14.4</v>
      </c>
      <c r="N24" s="337">
        <v>22.8</v>
      </c>
      <c r="O24" s="338">
        <f t="shared" si="0"/>
        <v>1471.1</v>
      </c>
      <c r="P24" s="339">
        <f t="shared" si="1"/>
        <v>122.6</v>
      </c>
    </row>
    <row r="25" spans="2:16" ht="21.95" customHeight="1">
      <c r="B25" s="335">
        <v>2008</v>
      </c>
      <c r="C25" s="336">
        <v>15</v>
      </c>
      <c r="D25" s="336">
        <v>7</v>
      </c>
      <c r="E25" s="336">
        <v>26</v>
      </c>
      <c r="F25" s="336">
        <v>46.1</v>
      </c>
      <c r="G25" s="336">
        <v>88.5</v>
      </c>
      <c r="H25" s="336">
        <v>118.1</v>
      </c>
      <c r="I25" s="336">
        <v>335.5</v>
      </c>
      <c r="J25" s="336">
        <v>114.2</v>
      </c>
      <c r="K25" s="336">
        <v>62.7</v>
      </c>
      <c r="L25" s="336">
        <v>34</v>
      </c>
      <c r="M25" s="336">
        <v>34.6</v>
      </c>
      <c r="N25" s="337">
        <v>27.9</v>
      </c>
      <c r="O25" s="338">
        <f t="shared" si="0"/>
        <v>909.6</v>
      </c>
      <c r="P25" s="339">
        <f t="shared" si="1"/>
        <v>75.8</v>
      </c>
    </row>
    <row r="26" spans="2:16" ht="21.95" customHeight="1">
      <c r="B26" s="335">
        <v>2009</v>
      </c>
      <c r="C26" s="336">
        <v>15.2</v>
      </c>
      <c r="D26" s="336">
        <v>26.5</v>
      </c>
      <c r="E26" s="336">
        <v>67</v>
      </c>
      <c r="F26" s="336">
        <v>43</v>
      </c>
      <c r="G26" s="336">
        <v>117.9</v>
      </c>
      <c r="H26" s="336">
        <v>74.900000000000006</v>
      </c>
      <c r="I26" s="336">
        <v>364.9</v>
      </c>
      <c r="J26" s="336">
        <v>196.3</v>
      </c>
      <c r="K26" s="336">
        <v>16</v>
      </c>
      <c r="L26" s="336">
        <v>49.2</v>
      </c>
      <c r="M26" s="336">
        <v>59.1</v>
      </c>
      <c r="N26" s="337">
        <v>44.3</v>
      </c>
      <c r="O26" s="338">
        <f t="shared" si="0"/>
        <v>1074.3</v>
      </c>
      <c r="P26" s="339">
        <f t="shared" si="1"/>
        <v>89.5</v>
      </c>
    </row>
    <row r="27" spans="2:16" ht="21.95" customHeight="1">
      <c r="B27" s="335">
        <v>2010</v>
      </c>
      <c r="C27" s="336">
        <v>55.5</v>
      </c>
      <c r="D27" s="336">
        <v>58.4</v>
      </c>
      <c r="E27" s="336">
        <v>79.2</v>
      </c>
      <c r="F27" s="336">
        <v>52.2</v>
      </c>
      <c r="G27" s="336">
        <v>168</v>
      </c>
      <c r="H27" s="336">
        <v>94.9</v>
      </c>
      <c r="I27" s="336">
        <v>447.1</v>
      </c>
      <c r="J27" s="336">
        <v>707</v>
      </c>
      <c r="K27" s="336">
        <v>402</v>
      </c>
      <c r="L27" s="336">
        <v>29.1</v>
      </c>
      <c r="M27" s="336">
        <v>12</v>
      </c>
      <c r="N27" s="337">
        <v>36.4</v>
      </c>
      <c r="O27" s="338">
        <f t="shared" si="0"/>
        <v>2141.8000000000002</v>
      </c>
      <c r="P27" s="339">
        <f t="shared" si="1"/>
        <v>178.5</v>
      </c>
    </row>
    <row r="28" spans="2:16" ht="21.95" customHeight="1">
      <c r="B28" s="335">
        <v>2011</v>
      </c>
      <c r="C28" s="336">
        <v>8.8000000000000007</v>
      </c>
      <c r="D28" s="336">
        <v>55.8</v>
      </c>
      <c r="E28" s="336">
        <v>34.5</v>
      </c>
      <c r="F28" s="336">
        <v>96.2</v>
      </c>
      <c r="G28" s="336">
        <v>107.9</v>
      </c>
      <c r="H28" s="336">
        <v>462.6</v>
      </c>
      <c r="I28" s="336">
        <v>656.5</v>
      </c>
      <c r="J28" s="336">
        <v>151.19999999999999</v>
      </c>
      <c r="K28" s="336">
        <v>50.3</v>
      </c>
      <c r="L28" s="336">
        <v>18.100000000000001</v>
      </c>
      <c r="M28" s="336">
        <v>48.9</v>
      </c>
      <c r="N28" s="337">
        <v>13.6</v>
      </c>
      <c r="O28" s="338">
        <f t="shared" si="0"/>
        <v>1704.4</v>
      </c>
      <c r="P28" s="339">
        <f t="shared" si="1"/>
        <v>142</v>
      </c>
    </row>
    <row r="29" spans="2:16" ht="21.95" customHeight="1">
      <c r="B29" s="335">
        <v>2012</v>
      </c>
      <c r="C29" s="336">
        <v>15.1</v>
      </c>
      <c r="D29" s="336">
        <v>2.4</v>
      </c>
      <c r="E29" s="336">
        <v>41.6</v>
      </c>
      <c r="F29" s="336">
        <v>113.5</v>
      </c>
      <c r="G29" s="336">
        <v>14.5</v>
      </c>
      <c r="H29" s="336">
        <v>91.1</v>
      </c>
      <c r="I29" s="336">
        <v>266.8</v>
      </c>
      <c r="J29" s="336">
        <v>647.9</v>
      </c>
      <c r="K29" s="336">
        <v>201.5</v>
      </c>
      <c r="L29" s="336">
        <v>100.7</v>
      </c>
      <c r="M29" s="336">
        <v>82.1</v>
      </c>
      <c r="N29" s="337">
        <v>65.400000000000006</v>
      </c>
      <c r="O29" s="338">
        <f t="shared" si="0"/>
        <v>1642.6</v>
      </c>
      <c r="P29" s="339">
        <f t="shared" si="1"/>
        <v>136.9</v>
      </c>
    </row>
    <row r="30" spans="2:16" ht="21.95" customHeight="1">
      <c r="B30" s="335">
        <v>2013</v>
      </c>
      <c r="C30" s="336">
        <v>36.799999999999997</v>
      </c>
      <c r="D30" s="336">
        <v>65.7</v>
      </c>
      <c r="E30" s="336">
        <v>60.8</v>
      </c>
      <c r="F30" s="336">
        <v>61.8</v>
      </c>
      <c r="G30" s="336">
        <v>114.9</v>
      </c>
      <c r="H30" s="336">
        <v>94.4</v>
      </c>
      <c r="I30" s="336">
        <v>213.8</v>
      </c>
      <c r="J30" s="336">
        <v>120.6</v>
      </c>
      <c r="K30" s="336">
        <v>147.4</v>
      </c>
      <c r="L30" s="336">
        <v>7.7</v>
      </c>
      <c r="M30" s="336">
        <v>65.900000000000006</v>
      </c>
      <c r="N30" s="337">
        <v>32.799999999999997</v>
      </c>
      <c r="O30" s="338">
        <f t="shared" si="0"/>
        <v>1022.6</v>
      </c>
      <c r="P30" s="339">
        <f t="shared" si="1"/>
        <v>85.2</v>
      </c>
    </row>
    <row r="31" spans="2:16" ht="21.95" customHeight="1">
      <c r="B31" s="335">
        <v>2014</v>
      </c>
      <c r="C31" s="336">
        <v>7</v>
      </c>
      <c r="D31" s="336">
        <v>17</v>
      </c>
      <c r="E31" s="336">
        <v>31.2</v>
      </c>
      <c r="F31" s="336">
        <v>85.6</v>
      </c>
      <c r="G31" s="336">
        <v>52.7</v>
      </c>
      <c r="H31" s="336">
        <v>69.3</v>
      </c>
      <c r="I31" s="336">
        <v>151.69999999999999</v>
      </c>
      <c r="J31" s="336">
        <v>242.3</v>
      </c>
      <c r="K31" s="336">
        <v>106.7</v>
      </c>
      <c r="L31" s="336">
        <v>117.2</v>
      </c>
      <c r="M31" s="336">
        <v>37.799999999999997</v>
      </c>
      <c r="N31" s="337">
        <v>81.599999999999994</v>
      </c>
      <c r="O31" s="338">
        <f t="shared" si="0"/>
        <v>1000.1</v>
      </c>
      <c r="P31" s="339">
        <f t="shared" si="1"/>
        <v>83.3</v>
      </c>
    </row>
    <row r="32" spans="2:16" ht="21.95" customHeight="1">
      <c r="B32" s="335">
        <v>2015</v>
      </c>
      <c r="C32" s="336">
        <v>20.7</v>
      </c>
      <c r="D32" s="336">
        <v>23.1</v>
      </c>
      <c r="E32" s="336">
        <v>20.6</v>
      </c>
      <c r="F32" s="336">
        <v>116.8</v>
      </c>
      <c r="G32" s="336">
        <v>40.6</v>
      </c>
      <c r="H32" s="336">
        <v>64.099999999999994</v>
      </c>
      <c r="I32" s="336">
        <v>158.5</v>
      </c>
      <c r="J32" s="336">
        <v>63.1</v>
      </c>
      <c r="K32" s="336">
        <v>15.1</v>
      </c>
      <c r="L32" s="336">
        <v>74.2</v>
      </c>
      <c r="M32" s="336">
        <v>154.69999999999999</v>
      </c>
      <c r="N32" s="337">
        <v>63.6</v>
      </c>
      <c r="O32" s="338">
        <f t="shared" si="0"/>
        <v>815.1</v>
      </c>
      <c r="P32" s="339">
        <f t="shared" si="1"/>
        <v>67.900000000000006</v>
      </c>
    </row>
    <row r="33" spans="2:16" ht="21.95" customHeight="1">
      <c r="B33" s="335">
        <v>2016</v>
      </c>
      <c r="C33" s="336">
        <v>21.9</v>
      </c>
      <c r="D33" s="336">
        <v>61.7</v>
      </c>
      <c r="E33" s="336">
        <v>24.3</v>
      </c>
      <c r="F33" s="336">
        <v>87</v>
      </c>
      <c r="G33" s="336">
        <v>153.69999999999999</v>
      </c>
      <c r="H33" s="336">
        <v>36.799999999999997</v>
      </c>
      <c r="I33" s="336">
        <v>295.60000000000002</v>
      </c>
      <c r="J33" s="336">
        <v>34</v>
      </c>
      <c r="K33" s="336">
        <v>53.1</v>
      </c>
      <c r="L33" s="336">
        <v>73.8</v>
      </c>
      <c r="M33" s="336">
        <v>17.5</v>
      </c>
      <c r="N33" s="337">
        <v>62.7</v>
      </c>
      <c r="O33" s="338">
        <f t="shared" si="0"/>
        <v>922.1</v>
      </c>
      <c r="P33" s="339">
        <f t="shared" si="1"/>
        <v>76.8</v>
      </c>
    </row>
    <row r="34" spans="2:16" ht="21.95" customHeight="1">
      <c r="B34" s="335">
        <v>2017</v>
      </c>
      <c r="C34" s="336">
        <v>21.3</v>
      </c>
      <c r="D34" s="336">
        <v>31.4</v>
      </c>
      <c r="E34" s="336">
        <v>4.8</v>
      </c>
      <c r="F34" s="336">
        <v>38.9</v>
      </c>
      <c r="G34" s="336">
        <v>27.9</v>
      </c>
      <c r="H34" s="336">
        <v>23.3</v>
      </c>
      <c r="I34" s="336">
        <v>327.8</v>
      </c>
      <c r="J34" s="336">
        <v>231.3</v>
      </c>
      <c r="K34" s="336">
        <v>37.6</v>
      </c>
      <c r="L34" s="336">
        <v>25.5</v>
      </c>
      <c r="M34" s="336">
        <v>24.7</v>
      </c>
      <c r="N34" s="337">
        <v>35.9</v>
      </c>
      <c r="O34" s="338">
        <f t="shared" si="0"/>
        <v>830.4</v>
      </c>
      <c r="P34" s="339">
        <f t="shared" si="1"/>
        <v>69.2</v>
      </c>
    </row>
    <row r="35" spans="2:16" ht="21.95" customHeight="1" thickBot="1">
      <c r="B35" s="340">
        <v>2018</v>
      </c>
      <c r="C35" s="341">
        <v>21</v>
      </c>
      <c r="D35" s="341">
        <v>40.5</v>
      </c>
      <c r="E35" s="341">
        <v>76.599999999999994</v>
      </c>
      <c r="F35" s="341">
        <v>132.80000000000001</v>
      </c>
      <c r="G35" s="341">
        <v>147.69999999999999</v>
      </c>
      <c r="H35" s="341">
        <v>162.30000000000001</v>
      </c>
      <c r="I35" s="341">
        <v>152.9</v>
      </c>
      <c r="J35" s="341">
        <v>156.80000000000001</v>
      </c>
      <c r="K35" s="341">
        <v>82.7</v>
      </c>
      <c r="L35" s="341">
        <v>153.19999999999999</v>
      </c>
      <c r="M35" s="341">
        <v>73.900000000000006</v>
      </c>
      <c r="N35" s="342">
        <v>26.8</v>
      </c>
      <c r="O35" s="343">
        <f t="shared" si="0"/>
        <v>1227.2</v>
      </c>
      <c r="P35" s="344">
        <f t="shared" si="1"/>
        <v>102.3</v>
      </c>
    </row>
    <row r="36" spans="2:16" ht="21.95" customHeight="1">
      <c r="B36" s="345" t="s">
        <v>48</v>
      </c>
      <c r="C36" s="346">
        <f>ROUND(MAX(C6:C35),1)</f>
        <v>66.900000000000006</v>
      </c>
      <c r="D36" s="346">
        <f t="shared" ref="D36:N36" si="2">ROUND(MAX(D6:D35),1)</f>
        <v>68.2</v>
      </c>
      <c r="E36" s="346">
        <f t="shared" si="2"/>
        <v>127.2</v>
      </c>
      <c r="F36" s="346">
        <f t="shared" si="2"/>
        <v>180</v>
      </c>
      <c r="G36" s="346">
        <f t="shared" si="2"/>
        <v>232.8</v>
      </c>
      <c r="H36" s="346">
        <f t="shared" si="2"/>
        <v>462.6</v>
      </c>
      <c r="I36" s="346">
        <f t="shared" si="2"/>
        <v>656.5</v>
      </c>
      <c r="J36" s="346">
        <f t="shared" si="2"/>
        <v>992.7</v>
      </c>
      <c r="K36" s="346">
        <f t="shared" si="2"/>
        <v>532.6</v>
      </c>
      <c r="L36" s="346">
        <f t="shared" si="2"/>
        <v>216.3</v>
      </c>
      <c r="M36" s="346">
        <f t="shared" si="2"/>
        <v>154.69999999999999</v>
      </c>
      <c r="N36" s="347">
        <f t="shared" si="2"/>
        <v>81.599999999999994</v>
      </c>
      <c r="O36" s="348">
        <f>ROUND(MAX(O6:O35),1)</f>
        <v>2141.8000000000002</v>
      </c>
      <c r="P36" s="349">
        <f>ROUND(MAX(P6:P35),1)</f>
        <v>178.5</v>
      </c>
    </row>
    <row r="37" spans="2:16" ht="21.95" customHeight="1">
      <c r="B37" s="335" t="s">
        <v>49</v>
      </c>
      <c r="C37" s="350">
        <f>ROUND(MIN(C6:C35),1)</f>
        <v>3.4</v>
      </c>
      <c r="D37" s="350">
        <f t="shared" ref="D37:N37" si="3">ROUND(MIN(D6:D35),1)</f>
        <v>2.4</v>
      </c>
      <c r="E37" s="350">
        <f t="shared" si="3"/>
        <v>3.7</v>
      </c>
      <c r="F37" s="350">
        <f t="shared" si="3"/>
        <v>18.7</v>
      </c>
      <c r="G37" s="350">
        <f t="shared" si="3"/>
        <v>14.5</v>
      </c>
      <c r="H37" s="350">
        <f t="shared" si="3"/>
        <v>23.3</v>
      </c>
      <c r="I37" s="350">
        <f t="shared" si="3"/>
        <v>58</v>
      </c>
      <c r="J37" s="350">
        <f t="shared" si="3"/>
        <v>34</v>
      </c>
      <c r="K37" s="350">
        <f t="shared" si="3"/>
        <v>6.4</v>
      </c>
      <c r="L37" s="350">
        <f t="shared" si="3"/>
        <v>0</v>
      </c>
      <c r="M37" s="350">
        <f t="shared" si="3"/>
        <v>8.1999999999999993</v>
      </c>
      <c r="N37" s="339">
        <f t="shared" si="3"/>
        <v>9.1999999999999993</v>
      </c>
      <c r="O37" s="351">
        <f>ROUND(MIN(O6:O35),1)</f>
        <v>815.1</v>
      </c>
      <c r="P37" s="337">
        <f>ROUND(MIN(P6:P35),1)</f>
        <v>67.900000000000006</v>
      </c>
    </row>
    <row r="38" spans="2:16" ht="21.95" customHeight="1" thickBot="1">
      <c r="B38" s="352" t="s">
        <v>59</v>
      </c>
      <c r="C38" s="353">
        <f>ROUND(AVERAGE(C6:C35),1)</f>
        <v>25.8</v>
      </c>
      <c r="D38" s="353">
        <f t="shared" ref="D38:N38" si="4">ROUND(AVERAGE(D6:D35),1)</f>
        <v>31.6</v>
      </c>
      <c r="E38" s="353">
        <f t="shared" si="4"/>
        <v>44.7</v>
      </c>
      <c r="F38" s="353">
        <f t="shared" si="4"/>
        <v>76.5</v>
      </c>
      <c r="G38" s="353">
        <f t="shared" si="4"/>
        <v>102.2</v>
      </c>
      <c r="H38" s="353">
        <f t="shared" si="4"/>
        <v>153.6</v>
      </c>
      <c r="I38" s="353">
        <f t="shared" si="4"/>
        <v>269.8</v>
      </c>
      <c r="J38" s="353">
        <f t="shared" si="4"/>
        <v>281</v>
      </c>
      <c r="K38" s="353">
        <f t="shared" si="4"/>
        <v>147.30000000000001</v>
      </c>
      <c r="L38" s="353">
        <f t="shared" si="4"/>
        <v>51.4</v>
      </c>
      <c r="M38" s="353">
        <f t="shared" si="4"/>
        <v>54.8</v>
      </c>
      <c r="N38" s="354">
        <f t="shared" si="4"/>
        <v>34.799999999999997</v>
      </c>
      <c r="O38" s="355">
        <f>ROUND(AVERAGE(O6:O35),1)</f>
        <v>1273.4000000000001</v>
      </c>
      <c r="P38" s="356">
        <f>ROUND(AVERAGE(P6:P35),1)</f>
        <v>106.1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7" t="s">
        <v>54</v>
      </c>
      <c r="C43" s="358" t="s">
        <v>43</v>
      </c>
      <c r="D43" s="358" t="s">
        <v>44</v>
      </c>
      <c r="E43" s="358" t="s">
        <v>45</v>
      </c>
      <c r="F43" s="358" t="s">
        <v>46</v>
      </c>
      <c r="G43" s="358" t="s">
        <v>47</v>
      </c>
      <c r="H43" s="358" t="s">
        <v>12</v>
      </c>
      <c r="I43" s="358" t="s">
        <v>13</v>
      </c>
      <c r="J43" s="358" t="s">
        <v>14</v>
      </c>
      <c r="K43" s="358" t="s">
        <v>15</v>
      </c>
      <c r="L43" s="358" t="s">
        <v>16</v>
      </c>
      <c r="M43" s="358" t="s">
        <v>17</v>
      </c>
      <c r="N43" s="359" t="s">
        <v>18</v>
      </c>
      <c r="O43" s="360" t="s">
        <v>57</v>
      </c>
      <c r="P43" s="359" t="s">
        <v>41</v>
      </c>
    </row>
    <row r="44" spans="2:16" ht="21.95" customHeight="1">
      <c r="B44" s="361">
        <v>2009</v>
      </c>
      <c r="C44" s="336">
        <v>15.2</v>
      </c>
      <c r="D44" s="336">
        <v>26.5</v>
      </c>
      <c r="E44" s="336">
        <v>67</v>
      </c>
      <c r="F44" s="336">
        <v>43</v>
      </c>
      <c r="G44" s="336">
        <v>117.9</v>
      </c>
      <c r="H44" s="336">
        <v>74.900000000000006</v>
      </c>
      <c r="I44" s="336">
        <v>364.9</v>
      </c>
      <c r="J44" s="336">
        <v>196.3</v>
      </c>
      <c r="K44" s="336">
        <v>16</v>
      </c>
      <c r="L44" s="336">
        <v>49.2</v>
      </c>
      <c r="M44" s="336">
        <v>59.1</v>
      </c>
      <c r="N44" s="337">
        <v>44.3</v>
      </c>
      <c r="O44" s="362">
        <f>ROUND(SUM(C44:N44),1)</f>
        <v>1074.3</v>
      </c>
      <c r="P44" s="337">
        <f>ROUND(O44/12,1)</f>
        <v>89.5</v>
      </c>
    </row>
    <row r="45" spans="2:16" ht="21.95" customHeight="1">
      <c r="B45" s="361">
        <v>2010</v>
      </c>
      <c r="C45" s="336">
        <v>55.5</v>
      </c>
      <c r="D45" s="336">
        <v>58.4</v>
      </c>
      <c r="E45" s="336">
        <v>79.2</v>
      </c>
      <c r="F45" s="336">
        <v>52.2</v>
      </c>
      <c r="G45" s="336">
        <v>168</v>
      </c>
      <c r="H45" s="336">
        <v>94.9</v>
      </c>
      <c r="I45" s="336">
        <v>447.1</v>
      </c>
      <c r="J45" s="336">
        <v>707</v>
      </c>
      <c r="K45" s="336">
        <v>402</v>
      </c>
      <c r="L45" s="336">
        <v>29.1</v>
      </c>
      <c r="M45" s="336">
        <v>12</v>
      </c>
      <c r="N45" s="337">
        <v>36.4</v>
      </c>
      <c r="O45" s="362">
        <f t="shared" ref="O45:O53" si="5">ROUND(SUM(C45:N45),1)</f>
        <v>2141.8000000000002</v>
      </c>
      <c r="P45" s="337">
        <f t="shared" ref="P45:P53" si="6">ROUND(O45/12,1)</f>
        <v>178.5</v>
      </c>
    </row>
    <row r="46" spans="2:16" ht="21.95" customHeight="1">
      <c r="B46" s="361">
        <v>2011</v>
      </c>
      <c r="C46" s="336">
        <v>8.8000000000000007</v>
      </c>
      <c r="D46" s="336">
        <v>55.8</v>
      </c>
      <c r="E46" s="336">
        <v>34.5</v>
      </c>
      <c r="F46" s="336">
        <v>96.2</v>
      </c>
      <c r="G46" s="336">
        <v>107.9</v>
      </c>
      <c r="H46" s="336">
        <v>462.6</v>
      </c>
      <c r="I46" s="336">
        <v>656.5</v>
      </c>
      <c r="J46" s="336">
        <v>151.19999999999999</v>
      </c>
      <c r="K46" s="336">
        <v>50.3</v>
      </c>
      <c r="L46" s="336">
        <v>18.100000000000001</v>
      </c>
      <c r="M46" s="336">
        <v>48.9</v>
      </c>
      <c r="N46" s="337">
        <v>13.6</v>
      </c>
      <c r="O46" s="362">
        <f t="shared" si="5"/>
        <v>1704.4</v>
      </c>
      <c r="P46" s="337">
        <f t="shared" si="6"/>
        <v>142</v>
      </c>
    </row>
    <row r="47" spans="2:16" ht="21.95" customHeight="1">
      <c r="B47" s="361">
        <v>2012</v>
      </c>
      <c r="C47" s="336">
        <v>15.1</v>
      </c>
      <c r="D47" s="336">
        <v>2.4</v>
      </c>
      <c r="E47" s="336">
        <v>41.6</v>
      </c>
      <c r="F47" s="336">
        <v>113.5</v>
      </c>
      <c r="G47" s="336">
        <v>14.5</v>
      </c>
      <c r="H47" s="336">
        <v>91.1</v>
      </c>
      <c r="I47" s="336">
        <v>266.8</v>
      </c>
      <c r="J47" s="336">
        <v>647.9</v>
      </c>
      <c r="K47" s="336">
        <v>201.5</v>
      </c>
      <c r="L47" s="336">
        <v>100.7</v>
      </c>
      <c r="M47" s="336">
        <v>82.1</v>
      </c>
      <c r="N47" s="337">
        <v>65.400000000000006</v>
      </c>
      <c r="O47" s="362">
        <f t="shared" si="5"/>
        <v>1642.6</v>
      </c>
      <c r="P47" s="337">
        <f t="shared" si="6"/>
        <v>136.9</v>
      </c>
    </row>
    <row r="48" spans="2:16" ht="21.95" customHeight="1">
      <c r="B48" s="361">
        <v>2013</v>
      </c>
      <c r="C48" s="336">
        <v>36.799999999999997</v>
      </c>
      <c r="D48" s="336">
        <v>65.7</v>
      </c>
      <c r="E48" s="336">
        <v>60.8</v>
      </c>
      <c r="F48" s="336">
        <v>61.8</v>
      </c>
      <c r="G48" s="336">
        <v>114.9</v>
      </c>
      <c r="H48" s="336">
        <v>94.4</v>
      </c>
      <c r="I48" s="336">
        <v>213.8</v>
      </c>
      <c r="J48" s="336">
        <v>120.6</v>
      </c>
      <c r="K48" s="336">
        <v>147.4</v>
      </c>
      <c r="L48" s="336">
        <v>7.7</v>
      </c>
      <c r="M48" s="336">
        <v>65.900000000000006</v>
      </c>
      <c r="N48" s="337">
        <v>32.799999999999997</v>
      </c>
      <c r="O48" s="362">
        <f t="shared" si="5"/>
        <v>1022.6</v>
      </c>
      <c r="P48" s="337">
        <f t="shared" si="6"/>
        <v>85.2</v>
      </c>
    </row>
    <row r="49" spans="2:16" ht="21.95" customHeight="1">
      <c r="B49" s="361">
        <v>2014</v>
      </c>
      <c r="C49" s="336">
        <v>7</v>
      </c>
      <c r="D49" s="336">
        <v>17</v>
      </c>
      <c r="E49" s="336">
        <v>31.2</v>
      </c>
      <c r="F49" s="336">
        <v>85.6</v>
      </c>
      <c r="G49" s="336">
        <v>52.7</v>
      </c>
      <c r="H49" s="336">
        <v>69.3</v>
      </c>
      <c r="I49" s="336">
        <v>151.69999999999999</v>
      </c>
      <c r="J49" s="336">
        <v>242.3</v>
      </c>
      <c r="K49" s="336">
        <v>106.7</v>
      </c>
      <c r="L49" s="336">
        <v>117.2</v>
      </c>
      <c r="M49" s="336">
        <v>37.799999999999997</v>
      </c>
      <c r="N49" s="337">
        <v>81.599999999999994</v>
      </c>
      <c r="O49" s="362">
        <f t="shared" si="5"/>
        <v>1000.1</v>
      </c>
      <c r="P49" s="337">
        <f t="shared" si="6"/>
        <v>83.3</v>
      </c>
    </row>
    <row r="50" spans="2:16" ht="21.95" customHeight="1">
      <c r="B50" s="361">
        <v>2015</v>
      </c>
      <c r="C50" s="336">
        <v>20.7</v>
      </c>
      <c r="D50" s="336">
        <v>23.1</v>
      </c>
      <c r="E50" s="336">
        <v>20.6</v>
      </c>
      <c r="F50" s="336">
        <v>116.8</v>
      </c>
      <c r="G50" s="336">
        <v>40.6</v>
      </c>
      <c r="H50" s="336">
        <v>64.099999999999994</v>
      </c>
      <c r="I50" s="336">
        <v>158.5</v>
      </c>
      <c r="J50" s="336">
        <v>63.1</v>
      </c>
      <c r="K50" s="336">
        <v>15.1</v>
      </c>
      <c r="L50" s="336">
        <v>74.2</v>
      </c>
      <c r="M50" s="336">
        <v>154.69999999999999</v>
      </c>
      <c r="N50" s="337">
        <v>63.6</v>
      </c>
      <c r="O50" s="362">
        <f t="shared" si="5"/>
        <v>815.1</v>
      </c>
      <c r="P50" s="337">
        <f t="shared" si="6"/>
        <v>67.900000000000006</v>
      </c>
    </row>
    <row r="51" spans="2:16" ht="21.95" customHeight="1">
      <c r="B51" s="361">
        <v>2016</v>
      </c>
      <c r="C51" s="336">
        <v>21.9</v>
      </c>
      <c r="D51" s="336">
        <v>61.7</v>
      </c>
      <c r="E51" s="336">
        <v>24.3</v>
      </c>
      <c r="F51" s="336">
        <v>87</v>
      </c>
      <c r="G51" s="336">
        <v>153.69999999999999</v>
      </c>
      <c r="H51" s="336">
        <v>36.799999999999997</v>
      </c>
      <c r="I51" s="336">
        <v>295.60000000000002</v>
      </c>
      <c r="J51" s="336">
        <v>34</v>
      </c>
      <c r="K51" s="336">
        <v>53.1</v>
      </c>
      <c r="L51" s="336">
        <v>73.8</v>
      </c>
      <c r="M51" s="336">
        <v>17.5</v>
      </c>
      <c r="N51" s="337">
        <v>62.7</v>
      </c>
      <c r="O51" s="362">
        <f t="shared" si="5"/>
        <v>922.1</v>
      </c>
      <c r="P51" s="337">
        <f t="shared" si="6"/>
        <v>76.8</v>
      </c>
    </row>
    <row r="52" spans="2:16" ht="21.95" customHeight="1">
      <c r="B52" s="361">
        <v>2017</v>
      </c>
      <c r="C52" s="336">
        <v>21.3</v>
      </c>
      <c r="D52" s="336">
        <v>31.4</v>
      </c>
      <c r="E52" s="336">
        <v>4.8</v>
      </c>
      <c r="F52" s="336">
        <v>38.9</v>
      </c>
      <c r="G52" s="336">
        <v>27.9</v>
      </c>
      <c r="H52" s="336">
        <v>23.3</v>
      </c>
      <c r="I52" s="336">
        <v>327.8</v>
      </c>
      <c r="J52" s="336">
        <v>231.3</v>
      </c>
      <c r="K52" s="336">
        <v>37.6</v>
      </c>
      <c r="L52" s="336">
        <v>25.5</v>
      </c>
      <c r="M52" s="336">
        <v>24.7</v>
      </c>
      <c r="N52" s="337">
        <v>35.9</v>
      </c>
      <c r="O52" s="362">
        <f t="shared" si="5"/>
        <v>830.4</v>
      </c>
      <c r="P52" s="337">
        <f t="shared" si="6"/>
        <v>69.2</v>
      </c>
    </row>
    <row r="53" spans="2:16" ht="21.95" customHeight="1" thickBot="1">
      <c r="B53" s="340">
        <v>2018</v>
      </c>
      <c r="C53" s="341">
        <v>21</v>
      </c>
      <c r="D53" s="341">
        <v>40.5</v>
      </c>
      <c r="E53" s="341">
        <v>76.599999999999994</v>
      </c>
      <c r="F53" s="341">
        <v>132.80000000000001</v>
      </c>
      <c r="G53" s="341">
        <v>147.69999999999999</v>
      </c>
      <c r="H53" s="341">
        <v>162.30000000000001</v>
      </c>
      <c r="I53" s="341">
        <v>152.9</v>
      </c>
      <c r="J53" s="341">
        <v>156.80000000000001</v>
      </c>
      <c r="K53" s="341">
        <v>82.7</v>
      </c>
      <c r="L53" s="341">
        <v>153.19999999999999</v>
      </c>
      <c r="M53" s="341">
        <v>73.900000000000006</v>
      </c>
      <c r="N53" s="342">
        <v>26.8</v>
      </c>
      <c r="O53" s="363">
        <f t="shared" si="5"/>
        <v>1227.2</v>
      </c>
      <c r="P53" s="342">
        <f t="shared" si="6"/>
        <v>102.3</v>
      </c>
    </row>
    <row r="54" spans="2:16" ht="21.95" customHeight="1">
      <c r="B54" s="364" t="s">
        <v>60</v>
      </c>
      <c r="C54" s="365">
        <f>MAX(C44:C53)</f>
        <v>55.5</v>
      </c>
      <c r="D54" s="365">
        <f t="shared" ref="D54:P54" si="7">MAX(D44:D53)</f>
        <v>65.7</v>
      </c>
      <c r="E54" s="365">
        <f t="shared" si="7"/>
        <v>79.2</v>
      </c>
      <c r="F54" s="365">
        <f t="shared" si="7"/>
        <v>132.80000000000001</v>
      </c>
      <c r="G54" s="365">
        <f t="shared" si="7"/>
        <v>168</v>
      </c>
      <c r="H54" s="365">
        <f t="shared" si="7"/>
        <v>462.6</v>
      </c>
      <c r="I54" s="365">
        <f t="shared" si="7"/>
        <v>656.5</v>
      </c>
      <c r="J54" s="365">
        <f t="shared" si="7"/>
        <v>707</v>
      </c>
      <c r="K54" s="365">
        <f t="shared" si="7"/>
        <v>402</v>
      </c>
      <c r="L54" s="365">
        <f t="shared" si="7"/>
        <v>153.19999999999999</v>
      </c>
      <c r="M54" s="365">
        <f t="shared" si="7"/>
        <v>154.69999999999999</v>
      </c>
      <c r="N54" s="349">
        <f t="shared" si="7"/>
        <v>81.599999999999994</v>
      </c>
      <c r="O54" s="366">
        <f t="shared" si="7"/>
        <v>2141.8000000000002</v>
      </c>
      <c r="P54" s="349">
        <f t="shared" si="7"/>
        <v>178.5</v>
      </c>
    </row>
    <row r="55" spans="2:16" ht="21.95" customHeight="1">
      <c r="B55" s="367" t="s">
        <v>61</v>
      </c>
      <c r="C55" s="336">
        <f>MIN(C44:C53)</f>
        <v>7</v>
      </c>
      <c r="D55" s="336">
        <f t="shared" ref="D55:P55" si="8">MIN(D44:D53)</f>
        <v>2.4</v>
      </c>
      <c r="E55" s="336">
        <f t="shared" si="8"/>
        <v>4.8</v>
      </c>
      <c r="F55" s="336">
        <f t="shared" si="8"/>
        <v>38.9</v>
      </c>
      <c r="G55" s="336">
        <f t="shared" si="8"/>
        <v>14.5</v>
      </c>
      <c r="H55" s="336">
        <f t="shared" si="8"/>
        <v>23.3</v>
      </c>
      <c r="I55" s="336">
        <f t="shared" si="8"/>
        <v>151.69999999999999</v>
      </c>
      <c r="J55" s="336">
        <f t="shared" si="8"/>
        <v>34</v>
      </c>
      <c r="K55" s="336">
        <f t="shared" si="8"/>
        <v>15.1</v>
      </c>
      <c r="L55" s="336">
        <f t="shared" si="8"/>
        <v>7.7</v>
      </c>
      <c r="M55" s="336">
        <f t="shared" si="8"/>
        <v>12</v>
      </c>
      <c r="N55" s="337">
        <f t="shared" si="8"/>
        <v>13.6</v>
      </c>
      <c r="O55" s="362">
        <f>MIN(O44:O53)</f>
        <v>815.1</v>
      </c>
      <c r="P55" s="337">
        <f t="shared" si="8"/>
        <v>67.900000000000006</v>
      </c>
    </row>
    <row r="56" spans="2:16" ht="21.95" customHeight="1" thickBot="1">
      <c r="B56" s="368" t="s">
        <v>41</v>
      </c>
      <c r="C56" s="369">
        <f>ROUND(AVERAGE(C44:C53),1)</f>
        <v>22.3</v>
      </c>
      <c r="D56" s="369">
        <f t="shared" ref="D56:N56" si="9">ROUND(AVERAGE(D44:D53),1)</f>
        <v>38.299999999999997</v>
      </c>
      <c r="E56" s="369">
        <f t="shared" si="9"/>
        <v>44.1</v>
      </c>
      <c r="F56" s="369">
        <f t="shared" si="9"/>
        <v>82.8</v>
      </c>
      <c r="G56" s="369">
        <f t="shared" si="9"/>
        <v>94.6</v>
      </c>
      <c r="H56" s="369">
        <f t="shared" si="9"/>
        <v>117.4</v>
      </c>
      <c r="I56" s="369">
        <f t="shared" si="9"/>
        <v>303.60000000000002</v>
      </c>
      <c r="J56" s="369">
        <f t="shared" si="9"/>
        <v>255.1</v>
      </c>
      <c r="K56" s="369">
        <f t="shared" si="9"/>
        <v>111.2</v>
      </c>
      <c r="L56" s="369">
        <f t="shared" si="9"/>
        <v>64.900000000000006</v>
      </c>
      <c r="M56" s="369">
        <f t="shared" si="9"/>
        <v>57.7</v>
      </c>
      <c r="N56" s="356">
        <f t="shared" si="9"/>
        <v>46.3</v>
      </c>
      <c r="O56" s="370">
        <f>ROUND(AVERAGE(O44:O53),1)</f>
        <v>1238.0999999999999</v>
      </c>
      <c r="P56" s="356">
        <f>ROUND(AVERAGE(P44:P53),1)</f>
        <v>103.2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105473" r:id="rId3" name="CommandButton1">
          <controlPr defaultSize="0" autoLine="0" autoPict="0" r:id="rId4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D24" sqref="D24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 ht="17.25" thickTop="1">
      <c r="B7" s="371"/>
      <c r="C7" s="372" t="s">
        <v>7</v>
      </c>
      <c r="D7" s="372" t="s">
        <v>8</v>
      </c>
      <c r="E7" s="372" t="s">
        <v>9</v>
      </c>
      <c r="F7" s="372" t="s">
        <v>10</v>
      </c>
      <c r="G7" s="372" t="s">
        <v>11</v>
      </c>
      <c r="H7" s="372" t="s">
        <v>12</v>
      </c>
      <c r="I7" s="372" t="s">
        <v>13</v>
      </c>
      <c r="J7" s="372" t="s">
        <v>14</v>
      </c>
      <c r="K7" s="372" t="s">
        <v>15</v>
      </c>
      <c r="L7" s="372" t="s">
        <v>16</v>
      </c>
      <c r="M7" s="372" t="s">
        <v>17</v>
      </c>
      <c r="N7" s="372" t="s">
        <v>18</v>
      </c>
      <c r="O7" s="372" t="s">
        <v>39</v>
      </c>
      <c r="P7" s="373" t="s">
        <v>20</v>
      </c>
    </row>
    <row r="8" spans="2:16">
      <c r="B8" s="374">
        <f>'30Year'!B44</f>
        <v>2009</v>
      </c>
      <c r="C8" s="375">
        <f>'30Year'!C44</f>
        <v>15.2</v>
      </c>
      <c r="D8" s="375">
        <f>'30Year'!D44</f>
        <v>26.5</v>
      </c>
      <c r="E8" s="375">
        <f>'30Year'!E44</f>
        <v>67</v>
      </c>
      <c r="F8" s="375">
        <f>'30Year'!F44</f>
        <v>43</v>
      </c>
      <c r="G8" s="375">
        <f>'30Year'!G44</f>
        <v>117.9</v>
      </c>
      <c r="H8" s="375">
        <f>'30Year'!H44</f>
        <v>74.900000000000006</v>
      </c>
      <c r="I8" s="375">
        <f>'30Year'!I44</f>
        <v>364.9</v>
      </c>
      <c r="J8" s="375">
        <f>'30Year'!J44</f>
        <v>196.3</v>
      </c>
      <c r="K8" s="375">
        <f>'30Year'!K44</f>
        <v>16</v>
      </c>
      <c r="L8" s="375">
        <f>'30Year'!L44</f>
        <v>49.2</v>
      </c>
      <c r="M8" s="375">
        <f>'30Year'!M44</f>
        <v>59.1</v>
      </c>
      <c r="N8" s="375">
        <f>'30Year'!N44</f>
        <v>44.3</v>
      </c>
      <c r="O8" s="375">
        <f>'30Year'!O44</f>
        <v>1074.3</v>
      </c>
      <c r="P8" s="376">
        <f>'30Year'!P44</f>
        <v>89.5</v>
      </c>
    </row>
    <row r="9" spans="2:16">
      <c r="B9" s="374">
        <f>'30Year'!B45</f>
        <v>2010</v>
      </c>
      <c r="C9" s="375">
        <f>'30Year'!C45</f>
        <v>55.5</v>
      </c>
      <c r="D9" s="375">
        <f>'30Year'!D45</f>
        <v>58.4</v>
      </c>
      <c r="E9" s="375">
        <f>'30Year'!E45</f>
        <v>79.2</v>
      </c>
      <c r="F9" s="375">
        <f>'30Year'!F45</f>
        <v>52.2</v>
      </c>
      <c r="G9" s="375">
        <f>'30Year'!G45</f>
        <v>168</v>
      </c>
      <c r="H9" s="375">
        <f>'30Year'!H45</f>
        <v>94.9</v>
      </c>
      <c r="I9" s="375">
        <f>'30Year'!I45</f>
        <v>447.1</v>
      </c>
      <c r="J9" s="375">
        <f>'30Year'!J45</f>
        <v>707</v>
      </c>
      <c r="K9" s="375">
        <f>'30Year'!K45</f>
        <v>402</v>
      </c>
      <c r="L9" s="375">
        <f>'30Year'!L45</f>
        <v>29.1</v>
      </c>
      <c r="M9" s="375">
        <f>'30Year'!M45</f>
        <v>12</v>
      </c>
      <c r="N9" s="375">
        <f>'30Year'!N45</f>
        <v>36.4</v>
      </c>
      <c r="O9" s="375">
        <f>'30Year'!O45</f>
        <v>2141.8000000000002</v>
      </c>
      <c r="P9" s="376">
        <f>'30Year'!P45</f>
        <v>178.5</v>
      </c>
    </row>
    <row r="10" spans="2:16">
      <c r="B10" s="374">
        <f>'30Year'!B46</f>
        <v>2011</v>
      </c>
      <c r="C10" s="375">
        <f>'30Year'!C46</f>
        <v>8.8000000000000007</v>
      </c>
      <c r="D10" s="375">
        <f>'30Year'!D46</f>
        <v>55.8</v>
      </c>
      <c r="E10" s="375">
        <f>'30Year'!E46</f>
        <v>34.5</v>
      </c>
      <c r="F10" s="375">
        <f>'30Year'!F46</f>
        <v>96.2</v>
      </c>
      <c r="G10" s="375">
        <f>'30Year'!G46</f>
        <v>107.9</v>
      </c>
      <c r="H10" s="375">
        <f>'30Year'!H46</f>
        <v>462.6</v>
      </c>
      <c r="I10" s="375">
        <f>'30Year'!I46</f>
        <v>656.5</v>
      </c>
      <c r="J10" s="375">
        <f>'30Year'!J46</f>
        <v>151.19999999999999</v>
      </c>
      <c r="K10" s="375">
        <f>'30Year'!K46</f>
        <v>50.3</v>
      </c>
      <c r="L10" s="375">
        <f>'30Year'!L46</f>
        <v>18.100000000000001</v>
      </c>
      <c r="M10" s="375">
        <f>'30Year'!M46</f>
        <v>48.9</v>
      </c>
      <c r="N10" s="375">
        <f>'30Year'!N46</f>
        <v>13.6</v>
      </c>
      <c r="O10" s="375">
        <f>'30Year'!O46</f>
        <v>1704.4</v>
      </c>
      <c r="P10" s="376">
        <f>'30Year'!P46</f>
        <v>142</v>
      </c>
    </row>
    <row r="11" spans="2:16">
      <c r="B11" s="374">
        <f>'30Year'!B47</f>
        <v>2012</v>
      </c>
      <c r="C11" s="375">
        <f>'30Year'!C47</f>
        <v>15.1</v>
      </c>
      <c r="D11" s="375">
        <f>'30Year'!D47</f>
        <v>2.4</v>
      </c>
      <c r="E11" s="375">
        <f>'30Year'!E47</f>
        <v>41.6</v>
      </c>
      <c r="F11" s="375">
        <f>'30Year'!F47</f>
        <v>113.5</v>
      </c>
      <c r="G11" s="375">
        <f>'30Year'!G47</f>
        <v>14.5</v>
      </c>
      <c r="H11" s="375">
        <f>'30Year'!H47</f>
        <v>91.1</v>
      </c>
      <c r="I11" s="375">
        <f>'30Year'!I47</f>
        <v>266.8</v>
      </c>
      <c r="J11" s="375">
        <f>'30Year'!J47</f>
        <v>647.9</v>
      </c>
      <c r="K11" s="375">
        <f>'30Year'!K47</f>
        <v>201.5</v>
      </c>
      <c r="L11" s="375">
        <f>'30Year'!L47</f>
        <v>100.7</v>
      </c>
      <c r="M11" s="375">
        <f>'30Year'!M47</f>
        <v>82.1</v>
      </c>
      <c r="N11" s="375">
        <f>'30Year'!N47</f>
        <v>65.400000000000006</v>
      </c>
      <c r="O11" s="375">
        <f>'30Year'!O47</f>
        <v>1642.6</v>
      </c>
      <c r="P11" s="376">
        <f>'30Year'!P47</f>
        <v>136.9</v>
      </c>
    </row>
    <row r="12" spans="2:16">
      <c r="B12" s="374">
        <f>'30Year'!B48</f>
        <v>2013</v>
      </c>
      <c r="C12" s="375">
        <f>'30Year'!C48</f>
        <v>36.799999999999997</v>
      </c>
      <c r="D12" s="375">
        <f>'30Year'!D48</f>
        <v>65.7</v>
      </c>
      <c r="E12" s="375">
        <f>'30Year'!E48</f>
        <v>60.8</v>
      </c>
      <c r="F12" s="375">
        <f>'30Year'!F48</f>
        <v>61.8</v>
      </c>
      <c r="G12" s="375">
        <f>'30Year'!G48</f>
        <v>114.9</v>
      </c>
      <c r="H12" s="375">
        <f>'30Year'!H48</f>
        <v>94.4</v>
      </c>
      <c r="I12" s="375">
        <f>'30Year'!I48</f>
        <v>213.8</v>
      </c>
      <c r="J12" s="375">
        <f>'30Year'!J48</f>
        <v>120.6</v>
      </c>
      <c r="K12" s="375">
        <f>'30Year'!K48</f>
        <v>147.4</v>
      </c>
      <c r="L12" s="375">
        <f>'30Year'!L48</f>
        <v>7.7</v>
      </c>
      <c r="M12" s="375">
        <f>'30Year'!M48</f>
        <v>65.900000000000006</v>
      </c>
      <c r="N12" s="375">
        <f>'30Year'!N48</f>
        <v>32.799999999999997</v>
      </c>
      <c r="O12" s="375">
        <f>'30Year'!O48</f>
        <v>1022.6</v>
      </c>
      <c r="P12" s="376">
        <f>'30Year'!P48</f>
        <v>85.2</v>
      </c>
    </row>
    <row r="13" spans="2:16">
      <c r="B13" s="374">
        <f>'30Year'!B49</f>
        <v>2014</v>
      </c>
      <c r="C13" s="375">
        <f>'30Year'!C49</f>
        <v>7</v>
      </c>
      <c r="D13" s="375">
        <f>'30Year'!D49</f>
        <v>17</v>
      </c>
      <c r="E13" s="375">
        <f>'30Year'!E49</f>
        <v>31.2</v>
      </c>
      <c r="F13" s="375">
        <f>'30Year'!F49</f>
        <v>85.6</v>
      </c>
      <c r="G13" s="375">
        <f>'30Year'!G49</f>
        <v>52.7</v>
      </c>
      <c r="H13" s="375">
        <f>'30Year'!H49</f>
        <v>69.3</v>
      </c>
      <c r="I13" s="375">
        <f>'30Year'!I49</f>
        <v>151.69999999999999</v>
      </c>
      <c r="J13" s="375">
        <f>'30Year'!J49</f>
        <v>242.3</v>
      </c>
      <c r="K13" s="375">
        <f>'30Year'!K49</f>
        <v>106.7</v>
      </c>
      <c r="L13" s="375">
        <f>'30Year'!L49</f>
        <v>117.2</v>
      </c>
      <c r="M13" s="375">
        <f>'30Year'!M49</f>
        <v>37.799999999999997</v>
      </c>
      <c r="N13" s="375">
        <f>'30Year'!N49</f>
        <v>81.599999999999994</v>
      </c>
      <c r="O13" s="375">
        <f>'30Year'!O49</f>
        <v>1000.1</v>
      </c>
      <c r="P13" s="376">
        <f>'30Year'!P49</f>
        <v>83.3</v>
      </c>
    </row>
    <row r="14" spans="2:16">
      <c r="B14" s="374">
        <f>'30Year'!B50</f>
        <v>2015</v>
      </c>
      <c r="C14" s="375">
        <f>'30Year'!C50</f>
        <v>20.7</v>
      </c>
      <c r="D14" s="375">
        <f>'30Year'!D50</f>
        <v>23.1</v>
      </c>
      <c r="E14" s="375">
        <f>'30Year'!E50</f>
        <v>20.6</v>
      </c>
      <c r="F14" s="375">
        <f>'30Year'!F50</f>
        <v>116.8</v>
      </c>
      <c r="G14" s="375">
        <f>'30Year'!G50</f>
        <v>40.6</v>
      </c>
      <c r="H14" s="375">
        <f>'30Year'!H50</f>
        <v>64.099999999999994</v>
      </c>
      <c r="I14" s="375">
        <f>'30Year'!I50</f>
        <v>158.5</v>
      </c>
      <c r="J14" s="375">
        <f>'30Year'!J50</f>
        <v>63.1</v>
      </c>
      <c r="K14" s="375">
        <f>'30Year'!K50</f>
        <v>15.1</v>
      </c>
      <c r="L14" s="375">
        <f>'30Year'!L50</f>
        <v>74.2</v>
      </c>
      <c r="M14" s="375">
        <f>'30Year'!M50</f>
        <v>154.69999999999999</v>
      </c>
      <c r="N14" s="375">
        <f>'30Year'!N50</f>
        <v>63.6</v>
      </c>
      <c r="O14" s="375">
        <f>'30Year'!O50</f>
        <v>815.1</v>
      </c>
      <c r="P14" s="376">
        <f>'30Year'!P50</f>
        <v>67.900000000000006</v>
      </c>
    </row>
    <row r="15" spans="2:16">
      <c r="B15" s="374">
        <f>'30Year'!B51</f>
        <v>2016</v>
      </c>
      <c r="C15" s="375">
        <f>'30Year'!C51</f>
        <v>21.9</v>
      </c>
      <c r="D15" s="375">
        <f>'30Year'!D51</f>
        <v>61.7</v>
      </c>
      <c r="E15" s="375">
        <f>'30Year'!E51</f>
        <v>24.3</v>
      </c>
      <c r="F15" s="375">
        <f>'30Year'!F51</f>
        <v>87</v>
      </c>
      <c r="G15" s="375">
        <f>'30Year'!G51</f>
        <v>153.69999999999999</v>
      </c>
      <c r="H15" s="375">
        <f>'30Year'!H51</f>
        <v>36.799999999999997</v>
      </c>
      <c r="I15" s="375">
        <f>'30Year'!I51</f>
        <v>295.60000000000002</v>
      </c>
      <c r="J15" s="375">
        <f>'30Year'!J51</f>
        <v>34</v>
      </c>
      <c r="K15" s="375">
        <f>'30Year'!K51</f>
        <v>53.1</v>
      </c>
      <c r="L15" s="375">
        <f>'30Year'!L51</f>
        <v>73.8</v>
      </c>
      <c r="M15" s="375">
        <f>'30Year'!M51</f>
        <v>17.5</v>
      </c>
      <c r="N15" s="375">
        <f>'30Year'!N51</f>
        <v>62.7</v>
      </c>
      <c r="O15" s="375">
        <f>'30Year'!O51</f>
        <v>922.1</v>
      </c>
      <c r="P15" s="376">
        <f>'30Year'!P51</f>
        <v>76.8</v>
      </c>
    </row>
    <row r="16" spans="2:16">
      <c r="B16" s="374">
        <f>'30Year'!B52</f>
        <v>2017</v>
      </c>
      <c r="C16" s="375">
        <f>'30Year'!C52</f>
        <v>21.3</v>
      </c>
      <c r="D16" s="375">
        <f>'30Year'!D52</f>
        <v>31.4</v>
      </c>
      <c r="E16" s="375">
        <f>'30Year'!E52</f>
        <v>4.8</v>
      </c>
      <c r="F16" s="375">
        <f>'30Year'!F52</f>
        <v>38.9</v>
      </c>
      <c r="G16" s="375">
        <f>'30Year'!G52</f>
        <v>27.9</v>
      </c>
      <c r="H16" s="375">
        <f>'30Year'!H52</f>
        <v>23.3</v>
      </c>
      <c r="I16" s="375">
        <f>'30Year'!I52</f>
        <v>327.8</v>
      </c>
      <c r="J16" s="375">
        <f>'30Year'!J52</f>
        <v>231.3</v>
      </c>
      <c r="K16" s="375">
        <f>'30Year'!K52</f>
        <v>37.6</v>
      </c>
      <c r="L16" s="375">
        <f>'30Year'!L52</f>
        <v>25.5</v>
      </c>
      <c r="M16" s="375">
        <f>'30Year'!M52</f>
        <v>24.7</v>
      </c>
      <c r="N16" s="375">
        <f>'30Year'!N52</f>
        <v>35.9</v>
      </c>
      <c r="O16" s="375">
        <f>'30Year'!O52</f>
        <v>830.4</v>
      </c>
      <c r="P16" s="376">
        <f>'30Year'!P52</f>
        <v>69.2</v>
      </c>
    </row>
    <row r="17" spans="2:16">
      <c r="B17" s="374">
        <f>'30Year'!B53</f>
        <v>2018</v>
      </c>
      <c r="C17" s="375">
        <f>'30Year'!C53</f>
        <v>21</v>
      </c>
      <c r="D17" s="375">
        <f>'30Year'!D53</f>
        <v>40.5</v>
      </c>
      <c r="E17" s="375">
        <f>'30Year'!E53</f>
        <v>76.599999999999994</v>
      </c>
      <c r="F17" s="375">
        <f>'30Year'!F53</f>
        <v>132.80000000000001</v>
      </c>
      <c r="G17" s="375">
        <f>'30Year'!G53</f>
        <v>147.69999999999999</v>
      </c>
      <c r="H17" s="375">
        <f>'30Year'!H53</f>
        <v>162.30000000000001</v>
      </c>
      <c r="I17" s="375">
        <f>'30Year'!I53</f>
        <v>152.9</v>
      </c>
      <c r="J17" s="375">
        <f>'30Year'!J53</f>
        <v>156.80000000000001</v>
      </c>
      <c r="K17" s="375">
        <f>'30Year'!K53</f>
        <v>82.7</v>
      </c>
      <c r="L17" s="375">
        <f>'30Year'!L53</f>
        <v>153.19999999999999</v>
      </c>
      <c r="M17" s="375">
        <f>'30Year'!M53</f>
        <v>73.900000000000006</v>
      </c>
      <c r="N17" s="375">
        <f>'30Year'!N53</f>
        <v>26.8</v>
      </c>
      <c r="O17" s="375">
        <f>'30Year'!O53</f>
        <v>1227.2</v>
      </c>
      <c r="P17" s="376">
        <f>'30Year'!P53</f>
        <v>102.3</v>
      </c>
    </row>
    <row r="18" spans="2:16">
      <c r="B18" s="377" t="s">
        <v>20</v>
      </c>
      <c r="C18" s="378">
        <f>'30Year'!C56</f>
        <v>22.3</v>
      </c>
      <c r="D18" s="378">
        <f>'30Year'!D56</f>
        <v>38.299999999999997</v>
      </c>
      <c r="E18" s="378">
        <f>'30Year'!E56</f>
        <v>44.1</v>
      </c>
      <c r="F18" s="378">
        <f>'30Year'!F56</f>
        <v>82.8</v>
      </c>
      <c r="G18" s="378">
        <f>'30Year'!G56</f>
        <v>94.6</v>
      </c>
      <c r="H18" s="378">
        <f>'30Year'!H56</f>
        <v>117.4</v>
      </c>
      <c r="I18" s="378">
        <f>'30Year'!I56</f>
        <v>303.60000000000002</v>
      </c>
      <c r="J18" s="378">
        <f>'30Year'!J56</f>
        <v>255.1</v>
      </c>
      <c r="K18" s="378">
        <f>'30Year'!K56</f>
        <v>111.2</v>
      </c>
      <c r="L18" s="378">
        <f>'30Year'!L56</f>
        <v>64.900000000000006</v>
      </c>
      <c r="M18" s="378">
        <f>'30Year'!M56</f>
        <v>57.7</v>
      </c>
      <c r="N18" s="378">
        <f>'30Year'!N56</f>
        <v>46.3</v>
      </c>
      <c r="O18" s="378">
        <f>'30Year'!O56</f>
        <v>1238.0999999999999</v>
      </c>
      <c r="P18" s="379">
        <f>'30Year'!P56</f>
        <v>103.2</v>
      </c>
    </row>
    <row r="19" spans="2:16" ht="17.25" thickBot="1">
      <c r="B19" s="380" t="s">
        <v>23</v>
      </c>
      <c r="C19" s="381">
        <f>'30Year'!C38</f>
        <v>25.8</v>
      </c>
      <c r="D19" s="381">
        <f>'30Year'!D38</f>
        <v>31.6</v>
      </c>
      <c r="E19" s="381">
        <f>'30Year'!E38</f>
        <v>44.7</v>
      </c>
      <c r="F19" s="381">
        <f>'30Year'!F38</f>
        <v>76.5</v>
      </c>
      <c r="G19" s="381">
        <f>'30Year'!G38</f>
        <v>102.2</v>
      </c>
      <c r="H19" s="381">
        <f>'30Year'!H38</f>
        <v>153.6</v>
      </c>
      <c r="I19" s="381">
        <f>'30Year'!I38</f>
        <v>269.8</v>
      </c>
      <c r="J19" s="381">
        <f>'30Year'!J38</f>
        <v>281</v>
      </c>
      <c r="K19" s="381">
        <f>'30Year'!K38</f>
        <v>147.30000000000001</v>
      </c>
      <c r="L19" s="381">
        <f>'30Year'!L38</f>
        <v>51.4</v>
      </c>
      <c r="M19" s="381">
        <f>'30Year'!M38</f>
        <v>54.8</v>
      </c>
      <c r="N19" s="381">
        <f>'30Year'!N38</f>
        <v>34.799999999999997</v>
      </c>
      <c r="O19" s="381">
        <f>'30Year'!O38</f>
        <v>1273.4000000000001</v>
      </c>
      <c r="P19" s="382">
        <f>'30Year'!P38</f>
        <v>106.1</v>
      </c>
    </row>
    <row r="20" spans="2:16" ht="17.25" thickTop="1"/>
    <row r="21" spans="2:16" ht="17.25" thickBot="1"/>
    <row r="22" spans="2:16">
      <c r="B22" s="383" t="s">
        <v>40</v>
      </c>
      <c r="C22" s="384" t="s">
        <v>307</v>
      </c>
    </row>
    <row r="23" spans="2:16">
      <c r="B23" s="385">
        <f>B8</f>
        <v>2009</v>
      </c>
      <c r="C23" s="386">
        <f>O8</f>
        <v>1074.3</v>
      </c>
    </row>
    <row r="24" spans="2:16">
      <c r="B24" s="385">
        <f t="shared" ref="B24:B33" si="0">B9</f>
        <v>2010</v>
      </c>
      <c r="C24" s="386">
        <f t="shared" ref="C24:C33" si="1">O9</f>
        <v>2141.8000000000002</v>
      </c>
    </row>
    <row r="25" spans="2:16">
      <c r="B25" s="385">
        <f t="shared" si="0"/>
        <v>2011</v>
      </c>
      <c r="C25" s="386">
        <f t="shared" si="1"/>
        <v>1704.4</v>
      </c>
    </row>
    <row r="26" spans="2:16">
      <c r="B26" s="385">
        <f t="shared" si="0"/>
        <v>2012</v>
      </c>
      <c r="C26" s="386">
        <f t="shared" si="1"/>
        <v>1642.6</v>
      </c>
    </row>
    <row r="27" spans="2:16">
      <c r="B27" s="385">
        <f t="shared" si="0"/>
        <v>2013</v>
      </c>
      <c r="C27" s="386">
        <f t="shared" si="1"/>
        <v>1022.6</v>
      </c>
    </row>
    <row r="28" spans="2:16">
      <c r="B28" s="385">
        <f t="shared" si="0"/>
        <v>2014</v>
      </c>
      <c r="C28" s="386">
        <f t="shared" si="1"/>
        <v>1000.1</v>
      </c>
    </row>
    <row r="29" spans="2:16">
      <c r="B29" s="385">
        <f t="shared" si="0"/>
        <v>2015</v>
      </c>
      <c r="C29" s="386">
        <f t="shared" si="1"/>
        <v>815.1</v>
      </c>
    </row>
    <row r="30" spans="2:16">
      <c r="B30" s="385">
        <f t="shared" si="0"/>
        <v>2016</v>
      </c>
      <c r="C30" s="386">
        <f t="shared" si="1"/>
        <v>922.1</v>
      </c>
    </row>
    <row r="31" spans="2:16">
      <c r="B31" s="385">
        <f t="shared" si="0"/>
        <v>2017</v>
      </c>
      <c r="C31" s="386">
        <f t="shared" si="1"/>
        <v>830.4</v>
      </c>
    </row>
    <row r="32" spans="2:16">
      <c r="B32" s="385">
        <f t="shared" si="0"/>
        <v>2018</v>
      </c>
      <c r="C32" s="386">
        <f t="shared" si="1"/>
        <v>1227.2</v>
      </c>
    </row>
    <row r="33" spans="2:3" ht="17.25" thickBot="1">
      <c r="B33" s="387" t="str">
        <f t="shared" si="0"/>
        <v>평균</v>
      </c>
      <c r="C33" s="388">
        <f t="shared" si="1"/>
        <v>1238.0999999999999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topLeftCell="A7" workbookViewId="0">
      <selection activeCell="S13" sqref="S13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>
      <c r="B3" s="383"/>
      <c r="C3" s="389" t="s">
        <v>43</v>
      </c>
      <c r="D3" s="389" t="s">
        <v>44</v>
      </c>
      <c r="E3" s="389" t="s">
        <v>45</v>
      </c>
      <c r="F3" s="389" t="s">
        <v>46</v>
      </c>
      <c r="G3" s="389" t="s">
        <v>47</v>
      </c>
      <c r="H3" s="389" t="s">
        <v>12</v>
      </c>
      <c r="I3" s="389" t="s">
        <v>13</v>
      </c>
      <c r="J3" s="389" t="s">
        <v>14</v>
      </c>
      <c r="K3" s="389" t="s">
        <v>15</v>
      </c>
      <c r="L3" s="389" t="s">
        <v>16</v>
      </c>
      <c r="M3" s="389" t="s">
        <v>17</v>
      </c>
      <c r="N3" s="389" t="s">
        <v>18</v>
      </c>
      <c r="O3" s="384" t="s">
        <v>41</v>
      </c>
    </row>
    <row r="4" spans="2:15" ht="17.25" thickBot="1">
      <c r="B4" s="387" t="s">
        <v>41</v>
      </c>
      <c r="C4" s="390">
        <f>'30Year'!C56</f>
        <v>22.3</v>
      </c>
      <c r="D4" s="390">
        <f>'30Year'!D56</f>
        <v>38.299999999999997</v>
      </c>
      <c r="E4" s="390">
        <f>'30Year'!E56</f>
        <v>44.1</v>
      </c>
      <c r="F4" s="390">
        <f>'30Year'!F56</f>
        <v>82.8</v>
      </c>
      <c r="G4" s="390">
        <f>'30Year'!G56</f>
        <v>94.6</v>
      </c>
      <c r="H4" s="390">
        <f>'30Year'!H56</f>
        <v>117.4</v>
      </c>
      <c r="I4" s="390">
        <f>'30Year'!I56</f>
        <v>303.60000000000002</v>
      </c>
      <c r="J4" s="390">
        <f>'30Year'!J56</f>
        <v>255.1</v>
      </c>
      <c r="K4" s="390">
        <f>'30Year'!K56</f>
        <v>111.2</v>
      </c>
      <c r="L4" s="390">
        <f>'30Year'!L56</f>
        <v>64.900000000000006</v>
      </c>
      <c r="M4" s="390">
        <f>'30Year'!M56</f>
        <v>57.7</v>
      </c>
      <c r="N4" s="390">
        <f>'30Year'!N56</f>
        <v>46.3</v>
      </c>
      <c r="O4" s="391">
        <f>'30Year'!P56</f>
        <v>103.2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topLeftCell="A49" zoomScaleNormal="100" workbookViewId="0">
      <selection activeCell="G75" sqref="G7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27" t="s">
        <v>201</v>
      </c>
    </row>
    <row r="3" spans="2:16" ht="17.25" thickBot="1"/>
    <row r="4" spans="2:16" ht="23.25" customHeight="1">
      <c r="B4" s="392"/>
      <c r="C4" s="393" t="s">
        <v>7</v>
      </c>
      <c r="D4" s="394" t="s">
        <v>8</v>
      </c>
      <c r="E4" s="394" t="s">
        <v>9</v>
      </c>
      <c r="F4" s="394" t="s">
        <v>10</v>
      </c>
      <c r="G4" s="394" t="s">
        <v>11</v>
      </c>
      <c r="H4" s="394" t="s">
        <v>12</v>
      </c>
      <c r="I4" s="394" t="s">
        <v>13</v>
      </c>
      <c r="J4" s="394" t="s">
        <v>14</v>
      </c>
      <c r="K4" s="394" t="s">
        <v>15</v>
      </c>
      <c r="L4" s="394" t="s">
        <v>16</v>
      </c>
      <c r="M4" s="394" t="s">
        <v>17</v>
      </c>
      <c r="N4" s="395" t="s">
        <v>18</v>
      </c>
      <c r="O4" s="393" t="s">
        <v>19</v>
      </c>
      <c r="P4" s="395" t="s">
        <v>20</v>
      </c>
    </row>
    <row r="5" spans="2:16" ht="22.15" customHeight="1">
      <c r="B5" s="396">
        <v>2009</v>
      </c>
      <c r="C5" s="397">
        <f>'30Year'!C44</f>
        <v>15.2</v>
      </c>
      <c r="D5" s="398">
        <f>'30Year'!D44</f>
        <v>26.5</v>
      </c>
      <c r="E5" s="398">
        <f>'30Year'!E44</f>
        <v>67</v>
      </c>
      <c r="F5" s="398">
        <f>'30Year'!F44</f>
        <v>43</v>
      </c>
      <c r="G5" s="398">
        <f>'30Year'!G44</f>
        <v>117.9</v>
      </c>
      <c r="H5" s="398">
        <f>'30Year'!H44</f>
        <v>74.900000000000006</v>
      </c>
      <c r="I5" s="398">
        <f>'30Year'!I44</f>
        <v>364.9</v>
      </c>
      <c r="J5" s="398">
        <f>'30Year'!J44</f>
        <v>196.3</v>
      </c>
      <c r="K5" s="398">
        <f>'30Year'!K44</f>
        <v>16</v>
      </c>
      <c r="L5" s="398">
        <f>'30Year'!L44</f>
        <v>49.2</v>
      </c>
      <c r="M5" s="398">
        <f>'30Year'!M44</f>
        <v>59.1</v>
      </c>
      <c r="N5" s="399">
        <f>'30Year'!N44</f>
        <v>44.3</v>
      </c>
      <c r="O5" s="397">
        <f>'30Year'!O44</f>
        <v>1074.3</v>
      </c>
      <c r="P5" s="399">
        <f>'30Year'!P44</f>
        <v>89.5</v>
      </c>
    </row>
    <row r="6" spans="2:16" ht="22.15" customHeight="1">
      <c r="B6" s="396">
        <v>2010</v>
      </c>
      <c r="C6" s="397">
        <f>'30Year'!C45</f>
        <v>55.5</v>
      </c>
      <c r="D6" s="398">
        <f>'30Year'!D45</f>
        <v>58.4</v>
      </c>
      <c r="E6" s="398">
        <f>'30Year'!E45</f>
        <v>79.2</v>
      </c>
      <c r="F6" s="398">
        <f>'30Year'!F45</f>
        <v>52.2</v>
      </c>
      <c r="G6" s="398">
        <f>'30Year'!G45</f>
        <v>168</v>
      </c>
      <c r="H6" s="398">
        <f>'30Year'!H45</f>
        <v>94.9</v>
      </c>
      <c r="I6" s="398">
        <f>'30Year'!I45</f>
        <v>447.1</v>
      </c>
      <c r="J6" s="398">
        <f>'30Year'!J45</f>
        <v>707</v>
      </c>
      <c r="K6" s="398">
        <f>'30Year'!K45</f>
        <v>402</v>
      </c>
      <c r="L6" s="398">
        <f>'30Year'!L45</f>
        <v>29.1</v>
      </c>
      <c r="M6" s="398">
        <f>'30Year'!M45</f>
        <v>12</v>
      </c>
      <c r="N6" s="399">
        <f>'30Year'!N45</f>
        <v>36.4</v>
      </c>
      <c r="O6" s="397">
        <f>'30Year'!O45</f>
        <v>2141.8000000000002</v>
      </c>
      <c r="P6" s="399">
        <f>'30Year'!P45</f>
        <v>178.5</v>
      </c>
    </row>
    <row r="7" spans="2:16" ht="22.15" customHeight="1">
      <c r="B7" s="396">
        <v>2011</v>
      </c>
      <c r="C7" s="397">
        <f>'30Year'!C46</f>
        <v>8.8000000000000007</v>
      </c>
      <c r="D7" s="398">
        <f>'30Year'!D46</f>
        <v>55.8</v>
      </c>
      <c r="E7" s="398">
        <f>'30Year'!E46</f>
        <v>34.5</v>
      </c>
      <c r="F7" s="398">
        <f>'30Year'!F46</f>
        <v>96.2</v>
      </c>
      <c r="G7" s="398">
        <f>'30Year'!G46</f>
        <v>107.9</v>
      </c>
      <c r="H7" s="398">
        <f>'30Year'!H46</f>
        <v>462.6</v>
      </c>
      <c r="I7" s="398">
        <f>'30Year'!I46</f>
        <v>656.5</v>
      </c>
      <c r="J7" s="398">
        <f>'30Year'!J46</f>
        <v>151.19999999999999</v>
      </c>
      <c r="K7" s="398">
        <f>'30Year'!K46</f>
        <v>50.3</v>
      </c>
      <c r="L7" s="398">
        <f>'30Year'!L46</f>
        <v>18.100000000000001</v>
      </c>
      <c r="M7" s="398">
        <f>'30Year'!M46</f>
        <v>48.9</v>
      </c>
      <c r="N7" s="399">
        <f>'30Year'!N46</f>
        <v>13.6</v>
      </c>
      <c r="O7" s="397">
        <f>'30Year'!O46</f>
        <v>1704.4</v>
      </c>
      <c r="P7" s="399">
        <f>'30Year'!P46</f>
        <v>142</v>
      </c>
    </row>
    <row r="8" spans="2:16" ht="22.15" customHeight="1">
      <c r="B8" s="396">
        <v>2012</v>
      </c>
      <c r="C8" s="397">
        <f>'30Year'!C47</f>
        <v>15.1</v>
      </c>
      <c r="D8" s="398">
        <f>'30Year'!D47</f>
        <v>2.4</v>
      </c>
      <c r="E8" s="398">
        <f>'30Year'!E47</f>
        <v>41.6</v>
      </c>
      <c r="F8" s="398">
        <f>'30Year'!F47</f>
        <v>113.5</v>
      </c>
      <c r="G8" s="398">
        <f>'30Year'!G47</f>
        <v>14.5</v>
      </c>
      <c r="H8" s="398">
        <f>'30Year'!H47</f>
        <v>91.1</v>
      </c>
      <c r="I8" s="398">
        <f>'30Year'!I47</f>
        <v>266.8</v>
      </c>
      <c r="J8" s="398">
        <f>'30Year'!J47</f>
        <v>647.9</v>
      </c>
      <c r="K8" s="398">
        <f>'30Year'!K47</f>
        <v>201.5</v>
      </c>
      <c r="L8" s="398">
        <f>'30Year'!L47</f>
        <v>100.7</v>
      </c>
      <c r="M8" s="398">
        <f>'30Year'!M47</f>
        <v>82.1</v>
      </c>
      <c r="N8" s="399">
        <f>'30Year'!N47</f>
        <v>65.400000000000006</v>
      </c>
      <c r="O8" s="397">
        <f>'30Year'!O47</f>
        <v>1642.6</v>
      </c>
      <c r="P8" s="399">
        <f>'30Year'!P47</f>
        <v>136.9</v>
      </c>
    </row>
    <row r="9" spans="2:16" ht="22.15" customHeight="1">
      <c r="B9" s="396">
        <v>2013</v>
      </c>
      <c r="C9" s="397">
        <f>'30Year'!C48</f>
        <v>36.799999999999997</v>
      </c>
      <c r="D9" s="398">
        <f>'30Year'!D48</f>
        <v>65.7</v>
      </c>
      <c r="E9" s="398">
        <f>'30Year'!E48</f>
        <v>60.8</v>
      </c>
      <c r="F9" s="398">
        <f>'30Year'!F48</f>
        <v>61.8</v>
      </c>
      <c r="G9" s="398">
        <f>'30Year'!G48</f>
        <v>114.9</v>
      </c>
      <c r="H9" s="398">
        <f>'30Year'!H48</f>
        <v>94.4</v>
      </c>
      <c r="I9" s="398">
        <f>'30Year'!I48</f>
        <v>213.8</v>
      </c>
      <c r="J9" s="398">
        <f>'30Year'!J48</f>
        <v>120.6</v>
      </c>
      <c r="K9" s="398">
        <f>'30Year'!K48</f>
        <v>147.4</v>
      </c>
      <c r="L9" s="398">
        <f>'30Year'!L48</f>
        <v>7.7</v>
      </c>
      <c r="M9" s="398">
        <f>'30Year'!M48</f>
        <v>65.900000000000006</v>
      </c>
      <c r="N9" s="399">
        <f>'30Year'!N48</f>
        <v>32.799999999999997</v>
      </c>
      <c r="O9" s="397">
        <f>'30Year'!O48</f>
        <v>1022.6</v>
      </c>
      <c r="P9" s="399">
        <f>'30Year'!P48</f>
        <v>85.2</v>
      </c>
    </row>
    <row r="10" spans="2:16" ht="22.15" customHeight="1">
      <c r="B10" s="396">
        <v>2014</v>
      </c>
      <c r="C10" s="397">
        <f>'30Year'!C49</f>
        <v>7</v>
      </c>
      <c r="D10" s="398">
        <f>'30Year'!D49</f>
        <v>17</v>
      </c>
      <c r="E10" s="398">
        <f>'30Year'!E49</f>
        <v>31.2</v>
      </c>
      <c r="F10" s="398">
        <f>'30Year'!F49</f>
        <v>85.6</v>
      </c>
      <c r="G10" s="398">
        <f>'30Year'!G49</f>
        <v>52.7</v>
      </c>
      <c r="H10" s="398">
        <f>'30Year'!H49</f>
        <v>69.3</v>
      </c>
      <c r="I10" s="398">
        <f>'30Year'!I49</f>
        <v>151.69999999999999</v>
      </c>
      <c r="J10" s="398">
        <f>'30Year'!J49</f>
        <v>242.3</v>
      </c>
      <c r="K10" s="398">
        <f>'30Year'!K49</f>
        <v>106.7</v>
      </c>
      <c r="L10" s="398">
        <f>'30Year'!L49</f>
        <v>117.2</v>
      </c>
      <c r="M10" s="398">
        <f>'30Year'!M49</f>
        <v>37.799999999999997</v>
      </c>
      <c r="N10" s="399">
        <f>'30Year'!N49</f>
        <v>81.599999999999994</v>
      </c>
      <c r="O10" s="397">
        <f>'30Year'!O49</f>
        <v>1000.1</v>
      </c>
      <c r="P10" s="399">
        <f>'30Year'!P49</f>
        <v>83.3</v>
      </c>
    </row>
    <row r="11" spans="2:16" ht="22.15" customHeight="1">
      <c r="B11" s="396">
        <v>2015</v>
      </c>
      <c r="C11" s="397">
        <f>'30Year'!C50</f>
        <v>20.7</v>
      </c>
      <c r="D11" s="398">
        <f>'30Year'!D50</f>
        <v>23.1</v>
      </c>
      <c r="E11" s="398">
        <f>'30Year'!E50</f>
        <v>20.6</v>
      </c>
      <c r="F11" s="398">
        <f>'30Year'!F50</f>
        <v>116.8</v>
      </c>
      <c r="G11" s="398">
        <f>'30Year'!G50</f>
        <v>40.6</v>
      </c>
      <c r="H11" s="398">
        <f>'30Year'!H50</f>
        <v>64.099999999999994</v>
      </c>
      <c r="I11" s="398">
        <f>'30Year'!I50</f>
        <v>158.5</v>
      </c>
      <c r="J11" s="398">
        <f>'30Year'!J50</f>
        <v>63.1</v>
      </c>
      <c r="K11" s="398">
        <f>'30Year'!K50</f>
        <v>15.1</v>
      </c>
      <c r="L11" s="398">
        <f>'30Year'!L50</f>
        <v>74.2</v>
      </c>
      <c r="M11" s="398">
        <f>'30Year'!M50</f>
        <v>154.69999999999999</v>
      </c>
      <c r="N11" s="399">
        <f>'30Year'!N50</f>
        <v>63.6</v>
      </c>
      <c r="O11" s="397">
        <f>'30Year'!O50</f>
        <v>815.1</v>
      </c>
      <c r="P11" s="399">
        <f>'30Year'!P50</f>
        <v>67.900000000000006</v>
      </c>
    </row>
    <row r="12" spans="2:16" ht="22.15" customHeight="1">
      <c r="B12" s="396">
        <v>2016</v>
      </c>
      <c r="C12" s="397">
        <f>'30Year'!C51</f>
        <v>21.9</v>
      </c>
      <c r="D12" s="398">
        <f>'30Year'!D51</f>
        <v>61.7</v>
      </c>
      <c r="E12" s="398">
        <f>'30Year'!E51</f>
        <v>24.3</v>
      </c>
      <c r="F12" s="398">
        <f>'30Year'!F51</f>
        <v>87</v>
      </c>
      <c r="G12" s="398">
        <f>'30Year'!G51</f>
        <v>153.69999999999999</v>
      </c>
      <c r="H12" s="398">
        <f>'30Year'!H51</f>
        <v>36.799999999999997</v>
      </c>
      <c r="I12" s="398">
        <f>'30Year'!I51</f>
        <v>295.60000000000002</v>
      </c>
      <c r="J12" s="398">
        <f>'30Year'!J51</f>
        <v>34</v>
      </c>
      <c r="K12" s="398">
        <f>'30Year'!K51</f>
        <v>53.1</v>
      </c>
      <c r="L12" s="398">
        <f>'30Year'!L51</f>
        <v>73.8</v>
      </c>
      <c r="M12" s="398">
        <f>'30Year'!M51</f>
        <v>17.5</v>
      </c>
      <c r="N12" s="399">
        <f>'30Year'!N51</f>
        <v>62.7</v>
      </c>
      <c r="O12" s="397">
        <f>'30Year'!O51</f>
        <v>922.1</v>
      </c>
      <c r="P12" s="399">
        <f>'30Year'!P51</f>
        <v>76.8</v>
      </c>
    </row>
    <row r="13" spans="2:16" ht="22.15" customHeight="1">
      <c r="B13" s="396">
        <v>2017</v>
      </c>
      <c r="C13" s="397">
        <f>'30Year'!C52</f>
        <v>21.3</v>
      </c>
      <c r="D13" s="398">
        <f>'30Year'!D52</f>
        <v>31.4</v>
      </c>
      <c r="E13" s="398">
        <f>'30Year'!E52</f>
        <v>4.8</v>
      </c>
      <c r="F13" s="398">
        <f>'30Year'!F52</f>
        <v>38.9</v>
      </c>
      <c r="G13" s="398">
        <f>'30Year'!G52</f>
        <v>27.9</v>
      </c>
      <c r="H13" s="398">
        <f>'30Year'!H52</f>
        <v>23.3</v>
      </c>
      <c r="I13" s="398">
        <f>'30Year'!I52</f>
        <v>327.8</v>
      </c>
      <c r="J13" s="398">
        <f>'30Year'!J52</f>
        <v>231.3</v>
      </c>
      <c r="K13" s="398">
        <f>'30Year'!K52</f>
        <v>37.6</v>
      </c>
      <c r="L13" s="398">
        <f>'30Year'!L52</f>
        <v>25.5</v>
      </c>
      <c r="M13" s="398">
        <f>'30Year'!M52</f>
        <v>24.7</v>
      </c>
      <c r="N13" s="399">
        <f>'30Year'!N52</f>
        <v>35.9</v>
      </c>
      <c r="O13" s="397">
        <f>'30Year'!O52</f>
        <v>830.4</v>
      </c>
      <c r="P13" s="399">
        <f>'30Year'!P52</f>
        <v>69.2</v>
      </c>
    </row>
    <row r="14" spans="2:16" ht="22.15" customHeight="1" thickBot="1">
      <c r="B14" s="400">
        <v>2018</v>
      </c>
      <c r="C14" s="401">
        <f>'30Year'!C53</f>
        <v>21</v>
      </c>
      <c r="D14" s="402">
        <f>'30Year'!D53</f>
        <v>40.5</v>
      </c>
      <c r="E14" s="402">
        <f>'30Year'!E53</f>
        <v>76.599999999999994</v>
      </c>
      <c r="F14" s="402">
        <f>'30Year'!F53</f>
        <v>132.80000000000001</v>
      </c>
      <c r="G14" s="402">
        <f>'30Year'!G53</f>
        <v>147.69999999999999</v>
      </c>
      <c r="H14" s="402">
        <f>'30Year'!H53</f>
        <v>162.30000000000001</v>
      </c>
      <c r="I14" s="402">
        <f>'30Year'!I53</f>
        <v>152.9</v>
      </c>
      <c r="J14" s="402">
        <f>'30Year'!J53</f>
        <v>156.80000000000001</v>
      </c>
      <c r="K14" s="402">
        <f>'30Year'!K53</f>
        <v>82.7</v>
      </c>
      <c r="L14" s="402">
        <f>'30Year'!L53</f>
        <v>153.19999999999999</v>
      </c>
      <c r="M14" s="402">
        <f>'30Year'!M53</f>
        <v>73.900000000000006</v>
      </c>
      <c r="N14" s="403">
        <f>'30Year'!N53</f>
        <v>26.8</v>
      </c>
      <c r="O14" s="401">
        <f>'30Year'!O53</f>
        <v>1227.2</v>
      </c>
      <c r="P14" s="403">
        <f>'30Year'!P53</f>
        <v>102.3</v>
      </c>
    </row>
    <row r="15" spans="2:16" ht="22.15" customHeight="1">
      <c r="B15" s="404" t="s">
        <v>21</v>
      </c>
      <c r="C15" s="405">
        <f>'30Year'!C54</f>
        <v>55.5</v>
      </c>
      <c r="D15" s="406">
        <f>'30Year'!D54</f>
        <v>65.7</v>
      </c>
      <c r="E15" s="406">
        <f>'30Year'!E54</f>
        <v>79.2</v>
      </c>
      <c r="F15" s="406">
        <f>'30Year'!F54</f>
        <v>132.80000000000001</v>
      </c>
      <c r="G15" s="406">
        <f>'30Year'!G54</f>
        <v>168</v>
      </c>
      <c r="H15" s="406">
        <f>'30Year'!H54</f>
        <v>462.6</v>
      </c>
      <c r="I15" s="406">
        <f>'30Year'!I54</f>
        <v>656.5</v>
      </c>
      <c r="J15" s="406">
        <f>'30Year'!J54</f>
        <v>707</v>
      </c>
      <c r="K15" s="406">
        <f>'30Year'!K54</f>
        <v>402</v>
      </c>
      <c r="L15" s="406">
        <f>'30Year'!L54</f>
        <v>153.19999999999999</v>
      </c>
      <c r="M15" s="406">
        <f>'30Year'!M54</f>
        <v>154.69999999999999</v>
      </c>
      <c r="N15" s="407">
        <f>'30Year'!N54</f>
        <v>81.599999999999994</v>
      </c>
      <c r="O15" s="405">
        <f>'30Year'!O54</f>
        <v>2141.8000000000002</v>
      </c>
      <c r="P15" s="407">
        <f>'30Year'!P54</f>
        <v>178.5</v>
      </c>
    </row>
    <row r="16" spans="2:16" ht="22.15" customHeight="1">
      <c r="B16" s="396" t="s">
        <v>22</v>
      </c>
      <c r="C16" s="397">
        <f>'30Year'!C55</f>
        <v>7</v>
      </c>
      <c r="D16" s="398">
        <f>'30Year'!D55</f>
        <v>2.4</v>
      </c>
      <c r="E16" s="398">
        <f>'30Year'!E55</f>
        <v>4.8</v>
      </c>
      <c r="F16" s="398">
        <f>'30Year'!F55</f>
        <v>38.9</v>
      </c>
      <c r="G16" s="398">
        <f>'30Year'!G55</f>
        <v>14.5</v>
      </c>
      <c r="H16" s="398">
        <f>'30Year'!H55</f>
        <v>23.3</v>
      </c>
      <c r="I16" s="398">
        <f>'30Year'!I55</f>
        <v>151.69999999999999</v>
      </c>
      <c r="J16" s="398">
        <f>'30Year'!J55</f>
        <v>34</v>
      </c>
      <c r="K16" s="398">
        <f>'30Year'!K55</f>
        <v>15.1</v>
      </c>
      <c r="L16" s="398">
        <f>'30Year'!L55</f>
        <v>7.7</v>
      </c>
      <c r="M16" s="398">
        <f>'30Year'!M55</f>
        <v>12</v>
      </c>
      <c r="N16" s="399">
        <f>'30Year'!N55</f>
        <v>13.6</v>
      </c>
      <c r="O16" s="408">
        <f>'30Year'!O55</f>
        <v>815.1</v>
      </c>
      <c r="P16" s="399">
        <f>'30Year'!P55</f>
        <v>67.900000000000006</v>
      </c>
    </row>
    <row r="17" spans="1:16" ht="22.15" customHeight="1" thickBot="1">
      <c r="B17" s="409" t="s">
        <v>20</v>
      </c>
      <c r="C17" s="410">
        <f>'30Year'!C56</f>
        <v>22.3</v>
      </c>
      <c r="D17" s="411">
        <f>'30Year'!D56</f>
        <v>38.299999999999997</v>
      </c>
      <c r="E17" s="411">
        <f>'30Year'!E56</f>
        <v>44.1</v>
      </c>
      <c r="F17" s="411">
        <f>'30Year'!F56</f>
        <v>82.8</v>
      </c>
      <c r="G17" s="412">
        <f>'30Year'!G56</f>
        <v>94.6</v>
      </c>
      <c r="H17" s="412">
        <f>'30Year'!H56</f>
        <v>117.4</v>
      </c>
      <c r="I17" s="412">
        <f>'30Year'!I56</f>
        <v>303.60000000000002</v>
      </c>
      <c r="J17" s="412">
        <f>'30Year'!J56</f>
        <v>255.1</v>
      </c>
      <c r="K17" s="412">
        <f>'30Year'!K56</f>
        <v>111.2</v>
      </c>
      <c r="L17" s="411">
        <f>'30Year'!L56</f>
        <v>64.900000000000006</v>
      </c>
      <c r="M17" s="411">
        <f>'30Year'!M56</f>
        <v>57.7</v>
      </c>
      <c r="N17" s="413">
        <f>'30Year'!N56</f>
        <v>46.3</v>
      </c>
      <c r="O17" s="410">
        <f>'30Year'!O56</f>
        <v>1238.0999999999999</v>
      </c>
      <c r="P17" s="413">
        <f>'30Year'!P56</f>
        <v>103.2</v>
      </c>
    </row>
    <row r="18" spans="1:16" ht="22.15" customHeight="1" thickBot="1">
      <c r="B18" s="414" t="s">
        <v>23</v>
      </c>
      <c r="C18" s="415">
        <f>'30Year'!C38</f>
        <v>25.8</v>
      </c>
      <c r="D18" s="416">
        <f>'30Year'!D38</f>
        <v>31.6</v>
      </c>
      <c r="E18" s="416">
        <f>'30Year'!E38</f>
        <v>44.7</v>
      </c>
      <c r="F18" s="416">
        <f>'30Year'!F38</f>
        <v>76.5</v>
      </c>
      <c r="G18" s="416">
        <f>'30Year'!G38</f>
        <v>102.2</v>
      </c>
      <c r="H18" s="416">
        <f>'30Year'!H38</f>
        <v>153.6</v>
      </c>
      <c r="I18" s="417">
        <f>'30Year'!I38</f>
        <v>269.8</v>
      </c>
      <c r="J18" s="417">
        <f>'30Year'!J38</f>
        <v>281</v>
      </c>
      <c r="K18" s="417">
        <f>'30Year'!K38</f>
        <v>147.30000000000001</v>
      </c>
      <c r="L18" s="417">
        <f>'30Year'!L38</f>
        <v>51.4</v>
      </c>
      <c r="M18" s="417">
        <f>'30Year'!M38</f>
        <v>54.8</v>
      </c>
      <c r="N18" s="418">
        <f>'30Year'!N38</f>
        <v>34.799999999999997</v>
      </c>
      <c r="O18" s="419">
        <f>'30Year'!O38</f>
        <v>1273.4000000000001</v>
      </c>
      <c r="P18" s="418">
        <f>'30Year'!P38</f>
        <v>106.1</v>
      </c>
    </row>
    <row r="19" spans="1:16" ht="22.15" customHeight="1"/>
    <row r="20" spans="1:16" ht="17.25" thickBot="1"/>
    <row r="21" spans="1:16" ht="17.25" thickTop="1">
      <c r="B21" s="67" t="s">
        <v>24</v>
      </c>
      <c r="C21" s="47"/>
      <c r="D21" s="58">
        <f>SUM(G17:K17)</f>
        <v>881.90000000000009</v>
      </c>
      <c r="F21" s="63"/>
    </row>
    <row r="22" spans="1:16">
      <c r="B22" s="215" t="s">
        <v>193</v>
      </c>
      <c r="D22" s="59">
        <f>O17</f>
        <v>1238.0999999999999</v>
      </c>
    </row>
    <row r="23" spans="1:16" ht="17.25" thickBot="1">
      <c r="B23" s="60"/>
      <c r="C23" s="61"/>
      <c r="D23" s="62">
        <f>D21/D22</f>
        <v>0.71230110653420575</v>
      </c>
    </row>
    <row r="24" spans="1:16" ht="18" thickTop="1" thickBot="1">
      <c r="D24" s="3"/>
    </row>
    <row r="25" spans="1:16">
      <c r="A25" s="217" t="s">
        <v>194</v>
      </c>
      <c r="B25" s="123" t="s">
        <v>113</v>
      </c>
      <c r="C25" s="8">
        <f>O16</f>
        <v>815.1</v>
      </c>
      <c r="D25" s="4" t="s">
        <v>30</v>
      </c>
    </row>
    <row r="26" spans="1:16">
      <c r="B26" s="122" t="s">
        <v>27</v>
      </c>
      <c r="C26" s="9">
        <f>O18</f>
        <v>1273.4000000000001</v>
      </c>
      <c r="D26" s="5" t="s">
        <v>29</v>
      </c>
    </row>
    <row r="27" spans="1:16">
      <c r="B27" s="64" t="s">
        <v>28</v>
      </c>
      <c r="C27" s="7">
        <f>Well!P4</f>
        <v>4418520</v>
      </c>
      <c r="D27" s="5" t="s">
        <v>31</v>
      </c>
    </row>
    <row r="28" spans="1:16" ht="16.5" customHeight="1" thickBot="1">
      <c r="B28" s="65" t="s">
        <v>32</v>
      </c>
      <c r="C28" s="10">
        <v>0.127</v>
      </c>
      <c r="D28" s="6">
        <v>0.125</v>
      </c>
    </row>
    <row r="29" spans="1:16">
      <c r="E29" s="3"/>
    </row>
    <row r="30" spans="1:16" ht="22.15" customHeight="1">
      <c r="B30" s="146" t="s">
        <v>127</v>
      </c>
      <c r="C30" s="145">
        <f>max*rf_1/10</f>
        <v>16.172180000000001</v>
      </c>
      <c r="D30" s="145">
        <f>max*rf_2/10</f>
        <v>15.9175</v>
      </c>
      <c r="E30" s="144" t="s">
        <v>126</v>
      </c>
    </row>
    <row r="31" spans="1:16" ht="22.15" customHeight="1" thickBot="1">
      <c r="E31" s="3"/>
    </row>
    <row r="32" spans="1:16" ht="22.15" customHeight="1">
      <c r="B32" s="120" t="s">
        <v>25</v>
      </c>
      <c r="C32" s="68">
        <f>(C26*C27*C28)/1000</f>
        <v>714571.00773600012</v>
      </c>
      <c r="D32" s="55" t="s">
        <v>36</v>
      </c>
      <c r="F32" s="54"/>
    </row>
    <row r="33" spans="1:14" ht="22.15" customHeight="1" thickBot="1">
      <c r="B33" s="56"/>
      <c r="C33" s="71">
        <f>C32/365</f>
        <v>1957.7287883178085</v>
      </c>
      <c r="D33" s="57" t="s">
        <v>33</v>
      </c>
    </row>
    <row r="34" spans="1:14" ht="22.15" customHeight="1" thickBot="1"/>
    <row r="35" spans="1:14" ht="22.15" customHeight="1">
      <c r="B35" s="121" t="s">
        <v>26</v>
      </c>
      <c r="C35" s="69">
        <f>C25*C27*C28/1000</f>
        <v>457395.02780400001</v>
      </c>
      <c r="D35" s="13" t="s">
        <v>34</v>
      </c>
    </row>
    <row r="36" spans="1:14" ht="22.15" customHeight="1" thickBot="1">
      <c r="B36" s="50"/>
      <c r="C36" s="70">
        <f>C35/365</f>
        <v>1253.1370624767123</v>
      </c>
      <c r="D36" s="51" t="s">
        <v>35</v>
      </c>
    </row>
    <row r="37" spans="1:14" ht="18" thickTop="1" thickBot="1">
      <c r="B37" s="66" t="s">
        <v>63</v>
      </c>
      <c r="C37" s="52">
        <f>(C36/C33)*100</f>
        <v>64.009737710067526</v>
      </c>
      <c r="D37" s="53" t="s">
        <v>64</v>
      </c>
    </row>
    <row r="38" spans="1:14" ht="17.25" thickTop="1"/>
    <row r="39" spans="1:14">
      <c r="A39" s="273" t="s">
        <v>281</v>
      </c>
    </row>
    <row r="41" spans="1:14" ht="20.100000000000001" customHeight="1" thickBot="1"/>
    <row r="42" spans="1:14" ht="20.100000000000001" customHeight="1" thickTop="1">
      <c r="A42" s="516" t="s">
        <v>62</v>
      </c>
      <c r="B42" s="517"/>
      <c r="C42" s="140"/>
      <c r="D42" s="140"/>
      <c r="E42" s="140"/>
      <c r="F42" s="47"/>
      <c r="G42" s="47"/>
      <c r="H42" s="47"/>
      <c r="I42" s="47"/>
      <c r="J42" s="47"/>
      <c r="K42" s="47"/>
      <c r="L42" s="47"/>
      <c r="M42" s="47"/>
      <c r="N42" s="48"/>
    </row>
    <row r="43" spans="1:14" ht="20.100000000000001" customHeight="1" thickBot="1">
      <c r="A43" s="141"/>
      <c r="B43" s="142" t="s">
        <v>259</v>
      </c>
      <c r="C43" s="143" t="s">
        <v>260</v>
      </c>
      <c r="D43" s="143" t="s">
        <v>261</v>
      </c>
      <c r="E43" s="143" t="s">
        <v>262</v>
      </c>
      <c r="F43" s="143" t="s">
        <v>263</v>
      </c>
      <c r="G43" s="143" t="s">
        <v>264</v>
      </c>
      <c r="H43" s="143" t="s">
        <v>265</v>
      </c>
      <c r="I43" s="143" t="s">
        <v>266</v>
      </c>
      <c r="J43" s="143" t="s">
        <v>267</v>
      </c>
      <c r="K43" s="143" t="s">
        <v>268</v>
      </c>
      <c r="L43" s="143" t="s">
        <v>269</v>
      </c>
      <c r="M43" s="143" t="s">
        <v>257</v>
      </c>
      <c r="N43" s="253" t="s">
        <v>258</v>
      </c>
    </row>
    <row r="44" spans="1:14" ht="20.100000000000001" customHeight="1">
      <c r="A44" s="130" t="s">
        <v>123</v>
      </c>
      <c r="B44" s="131">
        <f>Well!$H4</f>
        <v>129</v>
      </c>
      <c r="C44" s="131">
        <f>Well!$H5</f>
        <v>72</v>
      </c>
      <c r="D44" s="131">
        <f>Well!$H6</f>
        <v>96</v>
      </c>
      <c r="E44" s="131">
        <f>Well!$H7</f>
        <v>96</v>
      </c>
      <c r="F44" s="131">
        <f>Well!$H8</f>
        <v>92</v>
      </c>
      <c r="G44" s="131">
        <f>Well!$H9</f>
        <v>200</v>
      </c>
      <c r="H44" s="131">
        <f>Well!$H10</f>
        <v>96</v>
      </c>
      <c r="I44" s="131">
        <f>Well!$H11</f>
        <v>72</v>
      </c>
      <c r="J44" s="131">
        <f>Well!$H12</f>
        <v>60</v>
      </c>
      <c r="K44" s="131">
        <f>Well!$H13</f>
        <v>100</v>
      </c>
      <c r="L44" s="131">
        <f>Well!$H14</f>
        <v>150</v>
      </c>
      <c r="M44" s="131">
        <f>Well!$H15</f>
        <v>72</v>
      </c>
      <c r="N44" s="254">
        <f>Well!$H16</f>
        <v>112</v>
      </c>
    </row>
    <row r="45" spans="1:14" ht="20.100000000000001" customHeight="1">
      <c r="A45" s="291" t="s">
        <v>284</v>
      </c>
      <c r="B45" s="223">
        <f>Well!$J4</f>
        <v>130</v>
      </c>
      <c r="C45" s="223">
        <f>Well!$J5</f>
        <v>130</v>
      </c>
      <c r="D45" s="223">
        <v>130</v>
      </c>
      <c r="E45" s="223">
        <v>130</v>
      </c>
      <c r="F45" s="223">
        <v>130</v>
      </c>
      <c r="G45" s="223">
        <v>100</v>
      </c>
      <c r="H45" s="257">
        <v>100</v>
      </c>
      <c r="I45" s="223">
        <f>Well!$J11</f>
        <v>130</v>
      </c>
      <c r="J45" s="223">
        <f>Well!$J12</f>
        <v>130</v>
      </c>
      <c r="K45" s="223">
        <f>Well!$J13</f>
        <v>110</v>
      </c>
      <c r="L45" s="223">
        <f>Well!$J14</f>
        <v>110</v>
      </c>
      <c r="M45" s="223">
        <f>Well!$J15</f>
        <v>160</v>
      </c>
      <c r="N45" s="229">
        <f>Well!$J16</f>
        <v>210</v>
      </c>
    </row>
    <row r="46" spans="1:14" ht="20.100000000000001" customHeight="1">
      <c r="A46" s="291" t="s">
        <v>117</v>
      </c>
      <c r="B46" s="135">
        <f>Well!$M$4</f>
        <v>60</v>
      </c>
      <c r="C46" s="135">
        <f>Well!$M$5</f>
        <v>60</v>
      </c>
      <c r="D46" s="135">
        <f>Well!$M$6</f>
        <v>60</v>
      </c>
      <c r="E46" s="135">
        <f>Well!$M$7</f>
        <v>70</v>
      </c>
      <c r="F46" s="135">
        <f>Well!$M$8</f>
        <v>50</v>
      </c>
      <c r="G46" s="135">
        <f>Well!$M$9</f>
        <v>150</v>
      </c>
      <c r="H46" s="135">
        <f>Well!$M$10</f>
        <v>85</v>
      </c>
      <c r="I46" s="135">
        <f>Well!$M$11</f>
        <v>50</v>
      </c>
      <c r="J46" s="135">
        <f>Well!$M$12</f>
        <v>40</v>
      </c>
      <c r="K46" s="135">
        <f>Well!$M$13</f>
        <v>50</v>
      </c>
      <c r="L46" s="135">
        <f>Well!$M$14</f>
        <v>50</v>
      </c>
      <c r="M46" s="135">
        <f>Well!$M$15</f>
        <v>50</v>
      </c>
      <c r="N46" s="230">
        <f>Well!$M$16</f>
        <v>54</v>
      </c>
    </row>
    <row r="47" spans="1:14" ht="20.100000000000001" customHeight="1">
      <c r="A47" s="292" t="s">
        <v>118</v>
      </c>
      <c r="B47" s="260">
        <v>15</v>
      </c>
      <c r="C47" s="259">
        <v>20</v>
      </c>
      <c r="D47" s="259">
        <v>0</v>
      </c>
      <c r="E47" s="259">
        <v>0</v>
      </c>
      <c r="F47" s="258">
        <v>0</v>
      </c>
      <c r="G47" s="129">
        <v>0</v>
      </c>
      <c r="H47" s="129">
        <v>0</v>
      </c>
      <c r="I47" s="129">
        <v>5</v>
      </c>
      <c r="J47" s="258">
        <v>15</v>
      </c>
      <c r="K47" s="129">
        <v>5</v>
      </c>
      <c r="L47" s="129">
        <v>5</v>
      </c>
      <c r="M47" s="129">
        <v>5</v>
      </c>
      <c r="N47" s="133">
        <v>30</v>
      </c>
    </row>
    <row r="48" spans="1:14" ht="20.100000000000001" customHeight="1">
      <c r="A48" s="293" t="s">
        <v>119</v>
      </c>
      <c r="B48" s="132">
        <f>B46+B47</f>
        <v>75</v>
      </c>
      <c r="C48" s="132">
        <f>C46+C47</f>
        <v>80</v>
      </c>
      <c r="D48" s="132">
        <f t="shared" ref="D48:N48" si="0">D46+D47</f>
        <v>60</v>
      </c>
      <c r="E48" s="132">
        <f t="shared" si="0"/>
        <v>70</v>
      </c>
      <c r="F48" s="132">
        <f t="shared" si="0"/>
        <v>50</v>
      </c>
      <c r="G48" s="132">
        <f t="shared" si="0"/>
        <v>150</v>
      </c>
      <c r="H48" s="132">
        <f t="shared" si="0"/>
        <v>85</v>
      </c>
      <c r="I48" s="132">
        <f t="shared" si="0"/>
        <v>55</v>
      </c>
      <c r="J48" s="132">
        <f t="shared" si="0"/>
        <v>55</v>
      </c>
      <c r="K48" s="132">
        <f t="shared" si="0"/>
        <v>55</v>
      </c>
      <c r="L48" s="132">
        <f t="shared" si="0"/>
        <v>55</v>
      </c>
      <c r="M48" s="132">
        <f t="shared" si="0"/>
        <v>55</v>
      </c>
      <c r="N48" s="231">
        <f t="shared" si="0"/>
        <v>84</v>
      </c>
    </row>
    <row r="49" spans="1:16" ht="20.100000000000001" customHeight="1">
      <c r="A49" s="292" t="s">
        <v>120</v>
      </c>
      <c r="B49" s="136">
        <v>0.48</v>
      </c>
      <c r="C49" s="137">
        <v>0.48</v>
      </c>
      <c r="D49" s="137">
        <v>0.5</v>
      </c>
      <c r="E49" s="137">
        <v>0.48</v>
      </c>
      <c r="F49" s="137">
        <v>0.48</v>
      </c>
      <c r="G49" s="137">
        <v>0.45</v>
      </c>
      <c r="H49" s="137">
        <v>0.45</v>
      </c>
      <c r="I49" s="137">
        <v>0.48</v>
      </c>
      <c r="J49" s="137">
        <v>0.48</v>
      </c>
      <c r="K49" s="137">
        <v>0.45</v>
      </c>
      <c r="L49" s="137">
        <v>0.45</v>
      </c>
      <c r="M49" s="137">
        <v>0.5</v>
      </c>
      <c r="N49" s="232">
        <v>0.5</v>
      </c>
    </row>
    <row r="50" spans="1:16" ht="20.100000000000001" customHeight="1">
      <c r="A50" s="49"/>
      <c r="B50" s="138"/>
      <c r="C50" s="139"/>
      <c r="D50" s="139"/>
      <c r="E50" s="139"/>
      <c r="F50" s="46"/>
      <c r="G50" s="46"/>
      <c r="H50" s="46"/>
      <c r="I50" s="46"/>
      <c r="J50" s="46"/>
      <c r="K50" s="46"/>
      <c r="L50" s="255"/>
      <c r="M50" s="255"/>
      <c r="N50" s="256"/>
    </row>
    <row r="51" spans="1:16" ht="20.100000000000001" customHeight="1">
      <c r="A51" s="293" t="s">
        <v>116</v>
      </c>
      <c r="B51" s="138">
        <f>(B45*B48)/(6572.5*B49)</f>
        <v>3.0905287181437813</v>
      </c>
      <c r="C51" s="139">
        <f t="shared" ref="C51:N51" si="1">(C45*C48)/(6572.5*C49)</f>
        <v>3.2965639660200332</v>
      </c>
      <c r="D51" s="139">
        <f t="shared" si="1"/>
        <v>2.3735260555344238</v>
      </c>
      <c r="E51" s="139">
        <f t="shared" si="1"/>
        <v>2.8844934702675289</v>
      </c>
      <c r="F51" s="139">
        <f t="shared" si="1"/>
        <v>2.0603524787625207</v>
      </c>
      <c r="G51" s="139">
        <f t="shared" si="1"/>
        <v>5.0716368708000505</v>
      </c>
      <c r="H51" s="139">
        <f t="shared" si="1"/>
        <v>2.8739275601200287</v>
      </c>
      <c r="I51" s="139">
        <f t="shared" si="1"/>
        <v>2.2663877266387731</v>
      </c>
      <c r="J51" s="139">
        <f t="shared" si="1"/>
        <v>2.2663877266387731</v>
      </c>
      <c r="K51" s="139">
        <f t="shared" si="1"/>
        <v>2.0455602045560206</v>
      </c>
      <c r="L51" s="139">
        <f t="shared" si="1"/>
        <v>2.0455602045560206</v>
      </c>
      <c r="M51" s="139">
        <f t="shared" si="1"/>
        <v>2.6778242677824267</v>
      </c>
      <c r="N51" s="233">
        <f t="shared" si="1"/>
        <v>5.3678204640547733</v>
      </c>
    </row>
    <row r="52" spans="1:16" ht="20.100000000000001" customHeight="1" thickBot="1">
      <c r="A52" s="265"/>
      <c r="B52" s="266">
        <f>ROUNDUP(B51,0)</f>
        <v>4</v>
      </c>
      <c r="C52" s="267">
        <f t="shared" ref="C52:N52" si="2">ROUNDUP(C51,0)</f>
        <v>4</v>
      </c>
      <c r="D52" s="267">
        <f t="shared" si="2"/>
        <v>3</v>
      </c>
      <c r="E52" s="267">
        <f t="shared" si="2"/>
        <v>3</v>
      </c>
      <c r="F52" s="267">
        <f t="shared" si="2"/>
        <v>3</v>
      </c>
      <c r="G52" s="267">
        <f t="shared" si="2"/>
        <v>6</v>
      </c>
      <c r="H52" s="267">
        <f t="shared" si="2"/>
        <v>3</v>
      </c>
      <c r="I52" s="267">
        <f t="shared" si="2"/>
        <v>3</v>
      </c>
      <c r="J52" s="267">
        <f t="shared" si="2"/>
        <v>3</v>
      </c>
      <c r="K52" s="267">
        <f t="shared" si="2"/>
        <v>3</v>
      </c>
      <c r="L52" s="267">
        <f t="shared" si="2"/>
        <v>3</v>
      </c>
      <c r="M52" s="267">
        <f t="shared" si="2"/>
        <v>3</v>
      </c>
      <c r="N52" s="268">
        <f t="shared" si="2"/>
        <v>6</v>
      </c>
    </row>
    <row r="53" spans="1:16" ht="20.100000000000001" customHeight="1">
      <c r="A53" s="294" t="s">
        <v>279</v>
      </c>
      <c r="B53" s="269">
        <f>Well!$L4</f>
        <v>5</v>
      </c>
      <c r="C53" s="269">
        <f>Well!$L5</f>
        <v>5</v>
      </c>
      <c r="D53" s="269">
        <f>Well!$L6</f>
        <v>3</v>
      </c>
      <c r="E53" s="269">
        <f>Well!$L7</f>
        <v>3</v>
      </c>
      <c r="F53" s="269">
        <f>Well!$L8</f>
        <v>3</v>
      </c>
      <c r="G53" s="269">
        <f>Well!$L9</f>
        <v>2</v>
      </c>
      <c r="H53" s="269">
        <f>Well!$L10</f>
        <v>3</v>
      </c>
      <c r="I53" s="269">
        <f>Well!$L11</f>
        <v>3</v>
      </c>
      <c r="J53" s="269">
        <f>Well!$L12</f>
        <v>3</v>
      </c>
      <c r="K53" s="269">
        <f>Well!$L13</f>
        <v>3</v>
      </c>
      <c r="L53" s="269">
        <f>Well!$L14</f>
        <v>3</v>
      </c>
      <c r="M53" s="269">
        <f>Well!$L15</f>
        <v>3</v>
      </c>
      <c r="N53" s="270">
        <f>Well!$L16</f>
        <v>7.5</v>
      </c>
    </row>
    <row r="54" spans="1:16" ht="20.100000000000001" customHeight="1" thickBot="1">
      <c r="A54" s="295" t="s">
        <v>280</v>
      </c>
      <c r="B54" s="271">
        <f>(B53*B49*6572.5)/B48</f>
        <v>210.32</v>
      </c>
      <c r="C54" s="271">
        <f t="shared" ref="C54:N54" si="3">(C53*C49*6572.5)/C48</f>
        <v>197.17500000000001</v>
      </c>
      <c r="D54" s="271">
        <f t="shared" si="3"/>
        <v>164.3125</v>
      </c>
      <c r="E54" s="271">
        <f t="shared" si="3"/>
        <v>135.20571428571429</v>
      </c>
      <c r="F54" s="271">
        <f t="shared" si="3"/>
        <v>189.28799999999998</v>
      </c>
      <c r="G54" s="271">
        <f t="shared" si="3"/>
        <v>39.435000000000002</v>
      </c>
      <c r="H54" s="271">
        <f t="shared" si="3"/>
        <v>104.38676470588236</v>
      </c>
      <c r="I54" s="271">
        <f t="shared" si="3"/>
        <v>172.07999999999998</v>
      </c>
      <c r="J54" s="271">
        <f t="shared" si="3"/>
        <v>172.07999999999998</v>
      </c>
      <c r="K54" s="271">
        <f t="shared" si="3"/>
        <v>161.32499999999999</v>
      </c>
      <c r="L54" s="271">
        <f t="shared" si="3"/>
        <v>161.32499999999999</v>
      </c>
      <c r="M54" s="271">
        <f t="shared" si="3"/>
        <v>179.25</v>
      </c>
      <c r="N54" s="272">
        <f t="shared" si="3"/>
        <v>293.41517857142856</v>
      </c>
    </row>
    <row r="55" spans="1:16" ht="20.100000000000001" customHeight="1"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</row>
    <row r="56" spans="1:16" ht="20.100000000000001" customHeight="1">
      <c r="A56" s="290"/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</row>
    <row r="57" spans="1:16" customFormat="1" ht="20.100000000000001" customHeight="1" thickBot="1"/>
    <row r="58" spans="1:16" customFormat="1" ht="20.100000000000001" customHeight="1">
      <c r="A58" s="518" t="s">
        <v>282</v>
      </c>
      <c r="B58" s="519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7"/>
    </row>
    <row r="59" spans="1:16" customFormat="1" ht="20.100000000000001" customHeight="1" thickBot="1">
      <c r="A59" s="298"/>
      <c r="B59" s="299" t="s">
        <v>293</v>
      </c>
      <c r="C59" s="299" t="s">
        <v>294</v>
      </c>
      <c r="D59" s="299" t="s">
        <v>295</v>
      </c>
      <c r="E59" s="299" t="s">
        <v>295</v>
      </c>
      <c r="F59" s="299" t="s">
        <v>295</v>
      </c>
      <c r="G59" s="299" t="s">
        <v>296</v>
      </c>
      <c r="H59" s="299" t="s">
        <v>297</v>
      </c>
      <c r="I59" s="299" t="s">
        <v>298</v>
      </c>
      <c r="J59" s="299" t="s">
        <v>299</v>
      </c>
      <c r="K59" s="299" t="s">
        <v>300</v>
      </c>
      <c r="L59" s="299" t="s">
        <v>301</v>
      </c>
      <c r="M59" s="299" t="s">
        <v>302</v>
      </c>
      <c r="N59" s="300" t="s">
        <v>303</v>
      </c>
    </row>
    <row r="60" spans="1:16" customFormat="1" ht="20.100000000000001" customHeight="1">
      <c r="A60" s="322" t="s">
        <v>288</v>
      </c>
      <c r="B60" s="313">
        <v>129</v>
      </c>
      <c r="C60" s="301">
        <v>72</v>
      </c>
      <c r="D60" s="301">
        <v>96</v>
      </c>
      <c r="E60" s="301">
        <v>96</v>
      </c>
      <c r="F60" s="301">
        <v>92</v>
      </c>
      <c r="G60" s="301">
        <v>200</v>
      </c>
      <c r="H60" s="301">
        <v>96</v>
      </c>
      <c r="I60" s="301">
        <v>72</v>
      </c>
      <c r="J60" s="301">
        <v>60</v>
      </c>
      <c r="K60" s="301">
        <v>100</v>
      </c>
      <c r="L60" s="301">
        <v>150</v>
      </c>
      <c r="M60" s="301">
        <v>72</v>
      </c>
      <c r="N60" s="302">
        <v>112</v>
      </c>
    </row>
    <row r="61" spans="1:16" customFormat="1" ht="20.100000000000001" customHeight="1">
      <c r="A61" s="323" t="s">
        <v>283</v>
      </c>
      <c r="B61" s="314">
        <v>130</v>
      </c>
      <c r="C61" s="303">
        <v>130</v>
      </c>
      <c r="D61" s="303">
        <v>130</v>
      </c>
      <c r="E61" s="303">
        <v>130</v>
      </c>
      <c r="F61" s="303">
        <v>130</v>
      </c>
      <c r="G61" s="303">
        <v>100</v>
      </c>
      <c r="H61" s="303">
        <v>100</v>
      </c>
      <c r="I61" s="303">
        <v>130</v>
      </c>
      <c r="J61" s="303">
        <v>130</v>
      </c>
      <c r="K61" s="303">
        <v>110</v>
      </c>
      <c r="L61" s="303">
        <v>110</v>
      </c>
      <c r="M61" s="303">
        <v>160</v>
      </c>
      <c r="N61" s="304">
        <v>210</v>
      </c>
    </row>
    <row r="62" spans="1:16" customFormat="1" ht="20.100000000000001" customHeight="1">
      <c r="A62" s="323" t="s">
        <v>289</v>
      </c>
      <c r="B62" s="315">
        <v>60</v>
      </c>
      <c r="C62" s="305">
        <v>60</v>
      </c>
      <c r="D62" s="305">
        <v>60</v>
      </c>
      <c r="E62" s="305">
        <v>70</v>
      </c>
      <c r="F62" s="305">
        <v>50</v>
      </c>
      <c r="G62" s="305">
        <v>150</v>
      </c>
      <c r="H62" s="305">
        <v>85</v>
      </c>
      <c r="I62" s="305">
        <v>50</v>
      </c>
      <c r="J62" s="305">
        <v>40</v>
      </c>
      <c r="K62" s="305">
        <v>50</v>
      </c>
      <c r="L62" s="305">
        <v>50</v>
      </c>
      <c r="M62" s="305">
        <v>50</v>
      </c>
      <c r="N62" s="306">
        <v>54</v>
      </c>
    </row>
    <row r="63" spans="1:16" customFormat="1" ht="20.100000000000001" customHeight="1">
      <c r="A63" s="324" t="s">
        <v>290</v>
      </c>
      <c r="B63" s="316"/>
      <c r="C63" s="307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8"/>
    </row>
    <row r="64" spans="1:16" customFormat="1" ht="20.100000000000001" customHeight="1">
      <c r="A64" s="324" t="s">
        <v>291</v>
      </c>
      <c r="B64" s="317">
        <f t="shared" ref="B64:N64" si="4">B62+B63</f>
        <v>60</v>
      </c>
      <c r="C64" s="309">
        <f t="shared" si="4"/>
        <v>60</v>
      </c>
      <c r="D64" s="309">
        <f t="shared" si="4"/>
        <v>60</v>
      </c>
      <c r="E64" s="309">
        <f t="shared" si="4"/>
        <v>70</v>
      </c>
      <c r="F64" s="309">
        <f t="shared" si="4"/>
        <v>50</v>
      </c>
      <c r="G64" s="309">
        <f t="shared" si="4"/>
        <v>150</v>
      </c>
      <c r="H64" s="309">
        <f t="shared" si="4"/>
        <v>85</v>
      </c>
      <c r="I64" s="309">
        <f t="shared" si="4"/>
        <v>50</v>
      </c>
      <c r="J64" s="309">
        <f t="shared" si="4"/>
        <v>40</v>
      </c>
      <c r="K64" s="309">
        <f t="shared" si="4"/>
        <v>50</v>
      </c>
      <c r="L64" s="309">
        <f t="shared" si="4"/>
        <v>50</v>
      </c>
      <c r="M64" s="309">
        <f t="shared" si="4"/>
        <v>50</v>
      </c>
      <c r="N64" s="310">
        <f t="shared" si="4"/>
        <v>54</v>
      </c>
    </row>
    <row r="65" spans="1:14" customFormat="1" ht="20.100000000000001" customHeight="1">
      <c r="A65" s="324" t="s">
        <v>292</v>
      </c>
      <c r="B65" s="318">
        <v>0.5</v>
      </c>
      <c r="C65" s="311">
        <v>0.5</v>
      </c>
      <c r="D65" s="311">
        <v>0.5</v>
      </c>
      <c r="E65" s="311">
        <v>0.5</v>
      </c>
      <c r="F65" s="311">
        <v>0.5</v>
      </c>
      <c r="G65" s="311">
        <v>0.48</v>
      </c>
      <c r="H65" s="311">
        <v>0.48</v>
      </c>
      <c r="I65" s="311">
        <v>0.5</v>
      </c>
      <c r="J65" s="311">
        <v>0.5</v>
      </c>
      <c r="K65" s="311">
        <v>0.48</v>
      </c>
      <c r="L65" s="311">
        <v>0.48</v>
      </c>
      <c r="M65" s="311">
        <v>0.52</v>
      </c>
      <c r="N65" s="312">
        <v>0.52</v>
      </c>
    </row>
    <row r="66" spans="1:14" customFormat="1" ht="20.100000000000001" customHeight="1">
      <c r="A66" s="324"/>
      <c r="B66" s="316"/>
      <c r="C66" s="307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8"/>
    </row>
    <row r="67" spans="1:14" customFormat="1" ht="20.100000000000001" customHeight="1">
      <c r="A67" s="324" t="s">
        <v>285</v>
      </c>
      <c r="B67" s="316">
        <f t="shared" ref="B67:N67" si="5">ROUND((B61*B64)/(6572.5*B65),4)</f>
        <v>2.3734999999999999</v>
      </c>
      <c r="C67" s="307">
        <f t="shared" si="5"/>
        <v>2.3734999999999999</v>
      </c>
      <c r="D67" s="307">
        <f t="shared" si="5"/>
        <v>2.3734999999999999</v>
      </c>
      <c r="E67" s="307">
        <f t="shared" si="5"/>
        <v>2.7690999999999999</v>
      </c>
      <c r="F67" s="307">
        <f t="shared" si="5"/>
        <v>1.9779</v>
      </c>
      <c r="G67" s="307">
        <f t="shared" si="5"/>
        <v>4.7546999999999997</v>
      </c>
      <c r="H67" s="307">
        <f t="shared" si="5"/>
        <v>2.6943000000000001</v>
      </c>
      <c r="I67" s="307">
        <f t="shared" si="5"/>
        <v>1.9779</v>
      </c>
      <c r="J67" s="307">
        <f t="shared" si="5"/>
        <v>1.5824</v>
      </c>
      <c r="K67" s="307">
        <f t="shared" si="5"/>
        <v>1.7434000000000001</v>
      </c>
      <c r="L67" s="307">
        <f t="shared" si="5"/>
        <v>1.7434000000000001</v>
      </c>
      <c r="M67" s="307">
        <f t="shared" si="5"/>
        <v>2.3408000000000002</v>
      </c>
      <c r="N67" s="308">
        <f t="shared" si="5"/>
        <v>3.3180000000000001</v>
      </c>
    </row>
    <row r="68" spans="1:14" customFormat="1" ht="20.100000000000001" customHeight="1" thickBot="1">
      <c r="A68" s="325"/>
      <c r="B68" s="512">
        <f t="shared" ref="B68:N68" si="6">ROUNDUP(B67,0)</f>
        <v>3</v>
      </c>
      <c r="C68" s="513">
        <f t="shared" si="6"/>
        <v>3</v>
      </c>
      <c r="D68" s="513">
        <f t="shared" si="6"/>
        <v>3</v>
      </c>
      <c r="E68" s="513">
        <f t="shared" si="6"/>
        <v>3</v>
      </c>
      <c r="F68" s="513">
        <f t="shared" si="6"/>
        <v>2</v>
      </c>
      <c r="G68" s="513">
        <f t="shared" si="6"/>
        <v>5</v>
      </c>
      <c r="H68" s="513">
        <f t="shared" si="6"/>
        <v>3</v>
      </c>
      <c r="I68" s="513">
        <f t="shared" si="6"/>
        <v>2</v>
      </c>
      <c r="J68" s="513">
        <f t="shared" si="6"/>
        <v>2</v>
      </c>
      <c r="K68" s="513">
        <f t="shared" si="6"/>
        <v>2</v>
      </c>
      <c r="L68" s="513">
        <f t="shared" si="6"/>
        <v>2</v>
      </c>
      <c r="M68" s="513">
        <f t="shared" si="6"/>
        <v>3</v>
      </c>
      <c r="N68" s="514">
        <f t="shared" si="6"/>
        <v>4</v>
      </c>
    </row>
    <row r="69" spans="1:14" customFormat="1" ht="20.100000000000001" customHeight="1">
      <c r="A69" s="322" t="s">
        <v>286</v>
      </c>
      <c r="B69" s="313">
        <v>5</v>
      </c>
      <c r="C69" s="301">
        <v>5</v>
      </c>
      <c r="D69" s="301">
        <v>3</v>
      </c>
      <c r="E69" s="301">
        <v>3</v>
      </c>
      <c r="F69" s="301">
        <v>3</v>
      </c>
      <c r="G69" s="301">
        <v>2</v>
      </c>
      <c r="H69" s="301">
        <v>3</v>
      </c>
      <c r="I69" s="301">
        <v>3</v>
      </c>
      <c r="J69" s="301">
        <v>3</v>
      </c>
      <c r="K69" s="301">
        <v>3</v>
      </c>
      <c r="L69" s="301">
        <v>3</v>
      </c>
      <c r="M69" s="301">
        <v>3</v>
      </c>
      <c r="N69" s="302">
        <v>7.5</v>
      </c>
    </row>
    <row r="70" spans="1:14" customFormat="1" ht="20.100000000000001" customHeight="1" thickBot="1">
      <c r="A70" s="326" t="s">
        <v>287</v>
      </c>
      <c r="B70" s="321">
        <f t="shared" ref="B70:N70" si="7">ROUND((B69*B65*6572.5)/B64,1)</f>
        <v>273.89999999999998</v>
      </c>
      <c r="C70" s="319">
        <f t="shared" si="7"/>
        <v>273.89999999999998</v>
      </c>
      <c r="D70" s="319">
        <f t="shared" si="7"/>
        <v>164.3</v>
      </c>
      <c r="E70" s="319">
        <f t="shared" si="7"/>
        <v>140.80000000000001</v>
      </c>
      <c r="F70" s="319">
        <f t="shared" si="7"/>
        <v>197.2</v>
      </c>
      <c r="G70" s="319">
        <f t="shared" si="7"/>
        <v>42.1</v>
      </c>
      <c r="H70" s="319">
        <f t="shared" si="7"/>
        <v>111.3</v>
      </c>
      <c r="I70" s="319">
        <f t="shared" si="7"/>
        <v>197.2</v>
      </c>
      <c r="J70" s="319">
        <f t="shared" si="7"/>
        <v>246.5</v>
      </c>
      <c r="K70" s="319">
        <f t="shared" si="7"/>
        <v>189.3</v>
      </c>
      <c r="L70" s="319">
        <f t="shared" si="7"/>
        <v>189.3</v>
      </c>
      <c r="M70" s="319">
        <f t="shared" si="7"/>
        <v>205.1</v>
      </c>
      <c r="N70" s="320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2" customWidth="1"/>
    <col min="2" max="2" width="14.5546875" style="172" customWidth="1"/>
    <col min="3" max="3" width="4.77734375" style="182" customWidth="1"/>
    <col min="4" max="4" width="31.5546875" style="182" customWidth="1"/>
    <col min="5" max="5" width="8.88671875" style="183"/>
    <col min="6" max="6" width="8.88671875" style="182"/>
    <col min="7" max="7" width="36" style="182" customWidth="1"/>
    <col min="8" max="16384" width="8.88671875" style="182"/>
  </cols>
  <sheetData>
    <row r="2" spans="1:8" s="191" customFormat="1">
      <c r="A2" s="191" t="s">
        <v>184</v>
      </c>
      <c r="B2" s="192" t="s">
        <v>180</v>
      </c>
      <c r="D2" s="191" t="s">
        <v>183</v>
      </c>
      <c r="E2" s="193" t="s">
        <v>181</v>
      </c>
      <c r="G2" s="191" t="s">
        <v>182</v>
      </c>
    </row>
    <row r="3" spans="1:8">
      <c r="A3" s="182" t="s">
        <v>156</v>
      </c>
    </row>
    <row r="4" spans="1:8" s="187" customFormat="1">
      <c r="A4" s="186" t="s">
        <v>167</v>
      </c>
      <c r="B4" s="194">
        <v>2</v>
      </c>
      <c r="D4" s="186" t="s">
        <v>169</v>
      </c>
      <c r="E4" s="198">
        <v>10</v>
      </c>
      <c r="G4" s="186" t="s">
        <v>185</v>
      </c>
      <c r="H4" s="202">
        <v>1</v>
      </c>
    </row>
    <row r="5" spans="1:8">
      <c r="A5" s="184" t="s">
        <v>158</v>
      </c>
      <c r="B5" s="195">
        <v>3</v>
      </c>
      <c r="D5" s="184" t="s">
        <v>170</v>
      </c>
      <c r="E5" s="199">
        <v>10</v>
      </c>
      <c r="G5" s="184" t="s">
        <v>186</v>
      </c>
      <c r="H5" s="203">
        <v>3</v>
      </c>
    </row>
    <row r="6" spans="1:8" s="187" customFormat="1">
      <c r="A6" s="188" t="s">
        <v>159</v>
      </c>
      <c r="B6" s="196">
        <v>4</v>
      </c>
      <c r="D6" s="188" t="s">
        <v>171</v>
      </c>
      <c r="E6" s="200">
        <v>9</v>
      </c>
      <c r="G6" s="188" t="s">
        <v>157</v>
      </c>
      <c r="H6" s="204">
        <v>3</v>
      </c>
    </row>
    <row r="7" spans="1:8">
      <c r="A7" s="184" t="s">
        <v>160</v>
      </c>
      <c r="B7" s="195">
        <v>5</v>
      </c>
      <c r="D7" s="184" t="s">
        <v>172</v>
      </c>
      <c r="E7" s="199">
        <v>8</v>
      </c>
      <c r="G7" s="184" t="s">
        <v>162</v>
      </c>
      <c r="H7" s="203">
        <v>6</v>
      </c>
    </row>
    <row r="8" spans="1:8" s="187" customFormat="1">
      <c r="A8" s="188" t="s">
        <v>161</v>
      </c>
      <c r="B8" s="196">
        <v>6</v>
      </c>
      <c r="D8" s="188" t="s">
        <v>173</v>
      </c>
      <c r="E8" s="200">
        <v>7</v>
      </c>
      <c r="G8" s="188" t="s">
        <v>187</v>
      </c>
      <c r="H8" s="204">
        <v>6</v>
      </c>
    </row>
    <row r="9" spans="1:8">
      <c r="A9" s="184" t="s">
        <v>168</v>
      </c>
      <c r="B9" s="195">
        <v>6</v>
      </c>
      <c r="D9" s="184" t="s">
        <v>174</v>
      </c>
      <c r="E9" s="199">
        <v>6</v>
      </c>
      <c r="G9" s="184" t="s">
        <v>188</v>
      </c>
      <c r="H9" s="203">
        <v>6</v>
      </c>
    </row>
    <row r="10" spans="1:8" s="187" customFormat="1">
      <c r="A10" s="188" t="s">
        <v>166</v>
      </c>
      <c r="B10" s="196">
        <v>6</v>
      </c>
      <c r="D10" s="188" t="s">
        <v>175</v>
      </c>
      <c r="E10" s="200">
        <v>5</v>
      </c>
      <c r="G10" s="188" t="s">
        <v>189</v>
      </c>
      <c r="H10" s="204">
        <v>6</v>
      </c>
    </row>
    <row r="11" spans="1:8">
      <c r="A11" s="184" t="s">
        <v>163</v>
      </c>
      <c r="B11" s="195">
        <v>8</v>
      </c>
      <c r="D11" s="184" t="s">
        <v>176</v>
      </c>
      <c r="E11" s="199">
        <v>4</v>
      </c>
      <c r="G11" s="184" t="s">
        <v>158</v>
      </c>
      <c r="H11" s="203">
        <v>4</v>
      </c>
    </row>
    <row r="12" spans="1:8" s="187" customFormat="1">
      <c r="A12" s="188" t="s">
        <v>164</v>
      </c>
      <c r="B12" s="196">
        <v>9</v>
      </c>
      <c r="D12" s="188" t="s">
        <v>177</v>
      </c>
      <c r="E12" s="200">
        <v>3</v>
      </c>
      <c r="G12" s="188" t="s">
        <v>163</v>
      </c>
      <c r="H12" s="204">
        <v>8</v>
      </c>
    </row>
    <row r="13" spans="1:8">
      <c r="A13" s="185" t="s">
        <v>165</v>
      </c>
      <c r="B13" s="197">
        <v>10</v>
      </c>
      <c r="D13" s="184" t="s">
        <v>178</v>
      </c>
      <c r="E13" s="199">
        <v>2</v>
      </c>
      <c r="G13" s="184" t="s">
        <v>164</v>
      </c>
      <c r="H13" s="203">
        <v>9</v>
      </c>
    </row>
    <row r="14" spans="1:8" s="187" customFormat="1">
      <c r="B14" s="189"/>
      <c r="D14" s="190" t="s">
        <v>179</v>
      </c>
      <c r="E14" s="201">
        <v>1</v>
      </c>
      <c r="G14" s="190" t="s">
        <v>165</v>
      </c>
      <c r="H14" s="205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3" customWidth="1"/>
    <col min="2" max="2" width="14.5546875" style="172" customWidth="1"/>
    <col min="3" max="3" width="15.5546875" style="172" customWidth="1"/>
    <col min="4" max="4" width="20.21875" style="172" customWidth="1"/>
    <col min="5" max="5" width="9.6640625" style="172" customWidth="1"/>
    <col min="6" max="6" width="11.6640625" style="172" customWidth="1"/>
    <col min="7" max="7" width="8.109375" style="172" customWidth="1"/>
    <col min="8" max="8" width="9.33203125" style="172" customWidth="1"/>
    <col min="9" max="9" width="7.77734375" style="172" customWidth="1"/>
    <col min="10" max="10" width="7.77734375" style="234" customWidth="1"/>
    <col min="11" max="11" width="8.109375" style="172" customWidth="1"/>
    <col min="12" max="12" width="5.33203125" style="172" customWidth="1"/>
    <col min="13" max="13" width="6.33203125" style="172" customWidth="1"/>
    <col min="14" max="14" width="6.5546875" style="172" customWidth="1"/>
    <col min="15" max="15" width="8.44140625" style="172" customWidth="1"/>
    <col min="16" max="16" width="12.21875" style="175" customWidth="1"/>
    <col min="17" max="17" width="15.6640625" style="172" customWidth="1"/>
    <col min="18" max="18" width="15" style="172" customWidth="1"/>
    <col min="19" max="16384" width="8.88671875" style="173"/>
  </cols>
  <sheetData>
    <row r="1" spans="1:18" ht="49.5" customHeight="1" thickBot="1">
      <c r="D1" s="216"/>
      <c r="E1" s="216"/>
      <c r="F1" s="174" t="s">
        <v>202</v>
      </c>
    </row>
    <row r="2" spans="1:18" s="172" customFormat="1" ht="30" customHeight="1">
      <c r="A2" s="521" t="s">
        <v>0</v>
      </c>
      <c r="B2" s="523" t="s">
        <v>52</v>
      </c>
      <c r="C2" s="523" t="s">
        <v>6</v>
      </c>
      <c r="D2" s="523" t="s">
        <v>50</v>
      </c>
      <c r="E2" s="523" t="s">
        <v>151</v>
      </c>
      <c r="F2" s="523" t="s">
        <v>51</v>
      </c>
      <c r="G2" s="529" t="s">
        <v>1</v>
      </c>
      <c r="H2" s="529" t="s">
        <v>2</v>
      </c>
      <c r="I2" s="529" t="s">
        <v>124</v>
      </c>
      <c r="J2" s="525" t="s">
        <v>125</v>
      </c>
      <c r="K2" s="529" t="s">
        <v>121</v>
      </c>
      <c r="L2" s="529" t="s">
        <v>3</v>
      </c>
      <c r="M2" s="529" t="s">
        <v>4</v>
      </c>
      <c r="N2" s="529" t="s">
        <v>5</v>
      </c>
      <c r="O2" s="529" t="s">
        <v>122</v>
      </c>
      <c r="P2" s="531" t="s">
        <v>53</v>
      </c>
      <c r="Q2" s="523" t="s">
        <v>199</v>
      </c>
      <c r="R2" s="527" t="s">
        <v>110</v>
      </c>
    </row>
    <row r="3" spans="1:18" s="172" customFormat="1" ht="30" customHeight="1" thickBot="1">
      <c r="A3" s="522"/>
      <c r="B3" s="524"/>
      <c r="C3" s="524"/>
      <c r="D3" s="524"/>
      <c r="E3" s="524"/>
      <c r="F3" s="524"/>
      <c r="G3" s="530"/>
      <c r="H3" s="530"/>
      <c r="I3" s="530"/>
      <c r="J3" s="526"/>
      <c r="K3" s="530"/>
      <c r="L3" s="530"/>
      <c r="M3" s="530"/>
      <c r="N3" s="530"/>
      <c r="O3" s="530"/>
      <c r="P3" s="532"/>
      <c r="Q3" s="524"/>
      <c r="R3" s="528"/>
    </row>
    <row r="4" spans="1:18" ht="30.75" customHeight="1">
      <c r="A4" s="454" t="s">
        <v>223</v>
      </c>
      <c r="B4" s="455" t="s">
        <v>203</v>
      </c>
      <c r="C4" s="456" t="s">
        <v>215</v>
      </c>
      <c r="D4" s="455" t="s">
        <v>210</v>
      </c>
      <c r="E4" s="457" t="s">
        <v>204</v>
      </c>
      <c r="F4" s="455"/>
      <c r="G4" s="455">
        <v>200</v>
      </c>
      <c r="H4" s="455">
        <v>129</v>
      </c>
      <c r="I4" s="458">
        <v>240</v>
      </c>
      <c r="J4" s="459">
        <v>130</v>
      </c>
      <c r="K4" s="455">
        <v>210</v>
      </c>
      <c r="L4" s="455">
        <v>5</v>
      </c>
      <c r="M4" s="455">
        <v>60</v>
      </c>
      <c r="N4" s="460">
        <v>50</v>
      </c>
      <c r="O4" s="461">
        <v>599.29999999999995</v>
      </c>
      <c r="P4" s="462">
        <v>4418520</v>
      </c>
      <c r="Q4" s="455" t="s">
        <v>197</v>
      </c>
      <c r="R4" s="463" t="s">
        <v>197</v>
      </c>
    </row>
    <row r="5" spans="1:18" ht="30.75" customHeight="1">
      <c r="A5" s="420" t="s">
        <v>224</v>
      </c>
      <c r="B5" s="421" t="s">
        <v>203</v>
      </c>
      <c r="C5" s="429" t="s">
        <v>216</v>
      </c>
      <c r="D5" s="421" t="s">
        <v>210</v>
      </c>
      <c r="E5" s="422" t="s">
        <v>204</v>
      </c>
      <c r="F5" s="421"/>
      <c r="G5" s="421">
        <v>200</v>
      </c>
      <c r="H5" s="421">
        <v>72</v>
      </c>
      <c r="I5" s="423">
        <v>240</v>
      </c>
      <c r="J5" s="424">
        <v>130</v>
      </c>
      <c r="K5" s="421">
        <v>130</v>
      </c>
      <c r="L5" s="421">
        <v>5</v>
      </c>
      <c r="M5" s="421">
        <v>60</v>
      </c>
      <c r="N5" s="425">
        <v>40</v>
      </c>
      <c r="O5" s="426">
        <v>599.29999999999995</v>
      </c>
      <c r="P5" s="427">
        <v>4418520</v>
      </c>
      <c r="Q5" s="421" t="s">
        <v>197</v>
      </c>
      <c r="R5" s="428" t="s">
        <v>197</v>
      </c>
    </row>
    <row r="6" spans="1:18" s="252" customFormat="1" ht="30.75" customHeight="1">
      <c r="A6" s="430" t="s">
        <v>246</v>
      </c>
      <c r="B6" s="431" t="s">
        <v>203</v>
      </c>
      <c r="C6" s="432" t="s">
        <v>247</v>
      </c>
      <c r="D6" s="431" t="s">
        <v>211</v>
      </c>
      <c r="E6" s="433" t="s">
        <v>205</v>
      </c>
      <c r="F6" s="431"/>
      <c r="G6" s="431">
        <v>200</v>
      </c>
      <c r="H6" s="431">
        <v>96</v>
      </c>
      <c r="I6" s="434">
        <v>390</v>
      </c>
      <c r="J6" s="431">
        <v>130</v>
      </c>
      <c r="K6" s="431">
        <v>147</v>
      </c>
      <c r="L6" s="431">
        <v>3</v>
      </c>
      <c r="M6" s="431">
        <v>60</v>
      </c>
      <c r="N6" s="431">
        <v>50</v>
      </c>
      <c r="O6" s="431">
        <v>538.9</v>
      </c>
      <c r="P6" s="435">
        <v>7029740</v>
      </c>
      <c r="Q6" s="431" t="s">
        <v>197</v>
      </c>
      <c r="R6" s="436" t="s">
        <v>197</v>
      </c>
    </row>
    <row r="7" spans="1:18" s="252" customFormat="1" ht="30.75" customHeight="1">
      <c r="A7" s="430" t="s">
        <v>272</v>
      </c>
      <c r="B7" s="431" t="s">
        <v>203</v>
      </c>
      <c r="C7" s="432" t="s">
        <v>270</v>
      </c>
      <c r="D7" s="431" t="s">
        <v>211</v>
      </c>
      <c r="E7" s="433" t="s">
        <v>205</v>
      </c>
      <c r="F7" s="431"/>
      <c r="G7" s="431">
        <v>200</v>
      </c>
      <c r="H7" s="431">
        <v>96</v>
      </c>
      <c r="I7" s="434">
        <v>390</v>
      </c>
      <c r="J7" s="431">
        <v>130</v>
      </c>
      <c r="K7" s="431">
        <v>135</v>
      </c>
      <c r="L7" s="431">
        <v>3</v>
      </c>
      <c r="M7" s="431">
        <v>70</v>
      </c>
      <c r="N7" s="431">
        <v>40</v>
      </c>
      <c r="O7" s="431">
        <v>538.9</v>
      </c>
      <c r="P7" s="435">
        <v>7029740</v>
      </c>
      <c r="Q7" s="431" t="s">
        <v>197</v>
      </c>
      <c r="R7" s="436" t="s">
        <v>197</v>
      </c>
    </row>
    <row r="8" spans="1:18" s="252" customFormat="1" ht="30.75" customHeight="1">
      <c r="A8" s="430" t="s">
        <v>273</v>
      </c>
      <c r="B8" s="431" t="s">
        <v>203</v>
      </c>
      <c r="C8" s="432" t="s">
        <v>271</v>
      </c>
      <c r="D8" s="431" t="s">
        <v>211</v>
      </c>
      <c r="E8" s="433" t="s">
        <v>205</v>
      </c>
      <c r="F8" s="431"/>
      <c r="G8" s="431">
        <v>200</v>
      </c>
      <c r="H8" s="431">
        <v>92</v>
      </c>
      <c r="I8" s="434">
        <v>390</v>
      </c>
      <c r="J8" s="431">
        <v>130</v>
      </c>
      <c r="K8" s="431">
        <v>189</v>
      </c>
      <c r="L8" s="431">
        <v>3</v>
      </c>
      <c r="M8" s="431">
        <v>50</v>
      </c>
      <c r="N8" s="431">
        <v>50</v>
      </c>
      <c r="O8" s="431">
        <v>538.9</v>
      </c>
      <c r="P8" s="435">
        <v>7029740</v>
      </c>
      <c r="Q8" s="431" t="s">
        <v>197</v>
      </c>
      <c r="R8" s="436" t="s">
        <v>197</v>
      </c>
    </row>
    <row r="9" spans="1:18" s="172" customFormat="1" ht="30.75" customHeight="1">
      <c r="A9" s="420" t="s">
        <v>235</v>
      </c>
      <c r="B9" s="421" t="s">
        <v>203</v>
      </c>
      <c r="C9" s="429" t="s">
        <v>217</v>
      </c>
      <c r="D9" s="421" t="s">
        <v>212</v>
      </c>
      <c r="E9" s="422" t="s">
        <v>208</v>
      </c>
      <c r="F9" s="421"/>
      <c r="G9" s="421">
        <v>200</v>
      </c>
      <c r="H9" s="421">
        <v>200</v>
      </c>
      <c r="I9" s="423">
        <v>200</v>
      </c>
      <c r="J9" s="421">
        <v>100</v>
      </c>
      <c r="K9" s="421">
        <v>100</v>
      </c>
      <c r="L9" s="421">
        <v>2</v>
      </c>
      <c r="M9" s="421">
        <v>150</v>
      </c>
      <c r="N9" s="421">
        <v>32</v>
      </c>
      <c r="O9" s="421">
        <v>397.7</v>
      </c>
      <c r="P9" s="437">
        <v>6713168</v>
      </c>
      <c r="Q9" s="421" t="s">
        <v>197</v>
      </c>
      <c r="R9" s="428" t="s">
        <v>197</v>
      </c>
    </row>
    <row r="10" spans="1:18" s="172" customFormat="1" ht="30.75" customHeight="1">
      <c r="A10" s="420" t="s">
        <v>236</v>
      </c>
      <c r="B10" s="421" t="s">
        <v>203</v>
      </c>
      <c r="C10" s="429" t="s">
        <v>218</v>
      </c>
      <c r="D10" s="421" t="s">
        <v>212</v>
      </c>
      <c r="E10" s="422" t="s">
        <v>208</v>
      </c>
      <c r="F10" s="421"/>
      <c r="G10" s="421">
        <v>200</v>
      </c>
      <c r="H10" s="421">
        <v>96</v>
      </c>
      <c r="I10" s="423">
        <v>200</v>
      </c>
      <c r="J10" s="421">
        <v>100</v>
      </c>
      <c r="K10" s="421">
        <v>104</v>
      </c>
      <c r="L10" s="421">
        <v>3</v>
      </c>
      <c r="M10" s="421">
        <v>85</v>
      </c>
      <c r="N10" s="421">
        <v>32</v>
      </c>
      <c r="O10" s="421">
        <v>397.7</v>
      </c>
      <c r="P10" s="437">
        <v>6713168</v>
      </c>
      <c r="Q10" s="421" t="s">
        <v>197</v>
      </c>
      <c r="R10" s="428" t="s">
        <v>197</v>
      </c>
    </row>
    <row r="11" spans="1:18" s="251" customFormat="1" ht="30.75" customHeight="1">
      <c r="A11" s="438" t="s">
        <v>237</v>
      </c>
      <c r="B11" s="439" t="s">
        <v>203</v>
      </c>
      <c r="C11" s="440" t="s">
        <v>219</v>
      </c>
      <c r="D11" s="439" t="s">
        <v>213</v>
      </c>
      <c r="E11" s="441" t="s">
        <v>206</v>
      </c>
      <c r="F11" s="439"/>
      <c r="G11" s="439">
        <v>200</v>
      </c>
      <c r="H11" s="439">
        <v>72</v>
      </c>
      <c r="I11" s="442">
        <v>240</v>
      </c>
      <c r="J11" s="443">
        <v>130</v>
      </c>
      <c r="K11" s="439">
        <v>172</v>
      </c>
      <c r="L11" s="439">
        <v>3</v>
      </c>
      <c r="M11" s="439">
        <v>50</v>
      </c>
      <c r="N11" s="439">
        <v>40</v>
      </c>
      <c r="O11" s="439">
        <v>997.3</v>
      </c>
      <c r="P11" s="444">
        <v>7530040</v>
      </c>
      <c r="Q11" s="439" t="s">
        <v>197</v>
      </c>
      <c r="R11" s="445" t="s">
        <v>197</v>
      </c>
    </row>
    <row r="12" spans="1:18" s="251" customFormat="1" ht="30.75" customHeight="1">
      <c r="A12" s="438" t="s">
        <v>238</v>
      </c>
      <c r="B12" s="439" t="s">
        <v>203</v>
      </c>
      <c r="C12" s="440" t="s">
        <v>220</v>
      </c>
      <c r="D12" s="439" t="s">
        <v>213</v>
      </c>
      <c r="E12" s="441" t="s">
        <v>206</v>
      </c>
      <c r="F12" s="439"/>
      <c r="G12" s="439">
        <v>200</v>
      </c>
      <c r="H12" s="439">
        <v>60</v>
      </c>
      <c r="I12" s="442">
        <v>240</v>
      </c>
      <c r="J12" s="443">
        <v>130</v>
      </c>
      <c r="K12" s="439">
        <v>172</v>
      </c>
      <c r="L12" s="439">
        <v>3</v>
      </c>
      <c r="M12" s="439">
        <v>40</v>
      </c>
      <c r="N12" s="439">
        <v>40</v>
      </c>
      <c r="O12" s="439">
        <v>997.3</v>
      </c>
      <c r="P12" s="444">
        <v>7530040</v>
      </c>
      <c r="Q12" s="439" t="s">
        <v>197</v>
      </c>
      <c r="R12" s="445" t="s">
        <v>197</v>
      </c>
    </row>
    <row r="13" spans="1:18" ht="30.75" customHeight="1">
      <c r="A13" s="420" t="s">
        <v>239</v>
      </c>
      <c r="B13" s="421" t="s">
        <v>203</v>
      </c>
      <c r="C13" s="429" t="s">
        <v>221</v>
      </c>
      <c r="D13" s="421" t="s">
        <v>214</v>
      </c>
      <c r="E13" s="422" t="s">
        <v>207</v>
      </c>
      <c r="F13" s="421"/>
      <c r="G13" s="421">
        <v>200</v>
      </c>
      <c r="H13" s="421">
        <v>100</v>
      </c>
      <c r="I13" s="423">
        <v>200</v>
      </c>
      <c r="J13" s="424">
        <v>110</v>
      </c>
      <c r="K13" s="421">
        <v>161</v>
      </c>
      <c r="L13" s="421">
        <v>3</v>
      </c>
      <c r="M13" s="421">
        <v>50</v>
      </c>
      <c r="N13" s="421">
        <v>50</v>
      </c>
      <c r="O13" s="421">
        <v>1037.3</v>
      </c>
      <c r="P13" s="437">
        <v>7530040</v>
      </c>
      <c r="Q13" s="421" t="s">
        <v>200</v>
      </c>
      <c r="R13" s="428" t="s">
        <v>198</v>
      </c>
    </row>
    <row r="14" spans="1:18" ht="30.75" customHeight="1">
      <c r="A14" s="420" t="s">
        <v>240</v>
      </c>
      <c r="B14" s="421" t="s">
        <v>203</v>
      </c>
      <c r="C14" s="429" t="s">
        <v>222</v>
      </c>
      <c r="D14" s="421" t="s">
        <v>214</v>
      </c>
      <c r="E14" s="422" t="s">
        <v>207</v>
      </c>
      <c r="F14" s="421"/>
      <c r="G14" s="421">
        <v>200</v>
      </c>
      <c r="H14" s="421">
        <v>150</v>
      </c>
      <c r="I14" s="423">
        <v>200</v>
      </c>
      <c r="J14" s="424">
        <v>110</v>
      </c>
      <c r="K14" s="421">
        <v>161</v>
      </c>
      <c r="L14" s="421">
        <v>3</v>
      </c>
      <c r="M14" s="421">
        <v>50</v>
      </c>
      <c r="N14" s="421">
        <v>50</v>
      </c>
      <c r="O14" s="421">
        <v>1037.3</v>
      </c>
      <c r="P14" s="437">
        <v>7530040</v>
      </c>
      <c r="Q14" s="421" t="s">
        <v>200</v>
      </c>
      <c r="R14" s="428" t="s">
        <v>198</v>
      </c>
    </row>
    <row r="15" spans="1:18" s="251" customFormat="1" ht="30.75" customHeight="1">
      <c r="A15" s="438" t="s">
        <v>241</v>
      </c>
      <c r="B15" s="439" t="s">
        <v>203</v>
      </c>
      <c r="C15" s="446" t="s">
        <v>242</v>
      </c>
      <c r="D15" s="439" t="s">
        <v>243</v>
      </c>
      <c r="E15" s="441" t="s">
        <v>244</v>
      </c>
      <c r="F15" s="439"/>
      <c r="G15" s="439">
        <v>200</v>
      </c>
      <c r="H15" s="439">
        <v>72</v>
      </c>
      <c r="I15" s="442">
        <v>150</v>
      </c>
      <c r="J15" s="443">
        <v>160</v>
      </c>
      <c r="K15" s="439">
        <v>179</v>
      </c>
      <c r="L15" s="439">
        <v>3</v>
      </c>
      <c r="M15" s="439">
        <v>50</v>
      </c>
      <c r="N15" s="439">
        <v>40</v>
      </c>
      <c r="O15" s="439">
        <v>614.79999999999995</v>
      </c>
      <c r="P15" s="444">
        <v>5351144</v>
      </c>
      <c r="Q15" s="439">
        <v>9</v>
      </c>
      <c r="R15" s="445">
        <v>9</v>
      </c>
    </row>
    <row r="16" spans="1:18" s="247" customFormat="1" ht="30.75" customHeight="1" thickBot="1">
      <c r="A16" s="447" t="s">
        <v>252</v>
      </c>
      <c r="B16" s="448" t="s">
        <v>203</v>
      </c>
      <c r="C16" s="449" t="s">
        <v>254</v>
      </c>
      <c r="D16" s="448" t="s">
        <v>253</v>
      </c>
      <c r="E16" s="520" t="s">
        <v>255</v>
      </c>
      <c r="F16" s="520"/>
      <c r="G16" s="448">
        <v>200</v>
      </c>
      <c r="H16" s="448">
        <v>112</v>
      </c>
      <c r="I16" s="450">
        <v>200</v>
      </c>
      <c r="J16" s="451">
        <v>210</v>
      </c>
      <c r="K16" s="448">
        <v>293</v>
      </c>
      <c r="L16" s="448">
        <v>7.5</v>
      </c>
      <c r="M16" s="448">
        <v>54</v>
      </c>
      <c r="N16" s="448">
        <v>50</v>
      </c>
      <c r="O16" s="448">
        <v>564.79999999999995</v>
      </c>
      <c r="P16" s="452">
        <v>5351144</v>
      </c>
      <c r="Q16" s="448">
        <v>9</v>
      </c>
      <c r="R16" s="453">
        <v>9</v>
      </c>
    </row>
    <row r="17" spans="10:10">
      <c r="J17" s="172"/>
    </row>
    <row r="18" spans="10:10">
      <c r="J18" s="172"/>
    </row>
    <row r="19" spans="10:10">
      <c r="J19" s="172"/>
    </row>
    <row r="20" spans="10:10">
      <c r="J20" s="172"/>
    </row>
    <row r="21" spans="10:10">
      <c r="J21" s="172"/>
    </row>
    <row r="22" spans="10:10">
      <c r="J22" s="172"/>
    </row>
    <row r="23" spans="10:10">
      <c r="J23" s="172"/>
    </row>
    <row r="24" spans="10:10">
      <c r="J24" s="172"/>
    </row>
    <row r="25" spans="10:10">
      <c r="J25" s="172"/>
    </row>
    <row r="26" spans="10:10">
      <c r="J26" s="172"/>
    </row>
    <row r="27" spans="10:10">
      <c r="J27" s="172"/>
    </row>
    <row r="28" spans="10:10">
      <c r="J28" s="172"/>
    </row>
    <row r="29" spans="10:10">
      <c r="J29" s="172"/>
    </row>
    <row r="30" spans="10:10">
      <c r="J30" s="172"/>
    </row>
    <row r="31" spans="10:10">
      <c r="J31" s="172"/>
    </row>
    <row r="32" spans="10:10">
      <c r="J32" s="172"/>
    </row>
    <row r="33" spans="10:10">
      <c r="J33" s="172"/>
    </row>
    <row r="34" spans="10:10">
      <c r="J34" s="172"/>
    </row>
    <row r="35" spans="10:10">
      <c r="J35" s="172"/>
    </row>
    <row r="36" spans="10:10">
      <c r="J36" s="172"/>
    </row>
    <row r="37" spans="10:10">
      <c r="J37" s="172"/>
    </row>
    <row r="38" spans="10:10">
      <c r="J38" s="172"/>
    </row>
    <row r="39" spans="10:10">
      <c r="J39" s="172"/>
    </row>
    <row r="40" spans="10:10">
      <c r="J40" s="172"/>
    </row>
    <row r="41" spans="10:10">
      <c r="J41" s="172"/>
    </row>
    <row r="42" spans="10:10">
      <c r="J42" s="172"/>
    </row>
    <row r="43" spans="10:10">
      <c r="J43" s="172"/>
    </row>
    <row r="44" spans="10:10">
      <c r="J44" s="172"/>
    </row>
    <row r="45" spans="10:10">
      <c r="J45" s="172"/>
    </row>
    <row r="46" spans="10:10">
      <c r="J46" s="172"/>
    </row>
    <row r="47" spans="10:10">
      <c r="J47" s="172"/>
    </row>
    <row r="48" spans="10:10">
      <c r="J48" s="172"/>
    </row>
    <row r="49" spans="10:10">
      <c r="J49" s="172"/>
    </row>
    <row r="50" spans="10:10">
      <c r="J50" s="172"/>
    </row>
    <row r="51" spans="10:10">
      <c r="J51" s="172"/>
    </row>
    <row r="52" spans="10:10">
      <c r="J52" s="172"/>
    </row>
    <row r="53" spans="10:10">
      <c r="J53" s="172"/>
    </row>
    <row r="54" spans="10:10">
      <c r="J54" s="172"/>
    </row>
    <row r="55" spans="10:10">
      <c r="J55" s="172"/>
    </row>
    <row r="56" spans="10:10">
      <c r="J56" s="172"/>
    </row>
    <row r="57" spans="10:10">
      <c r="J57" s="172"/>
    </row>
    <row r="58" spans="10:10">
      <c r="J58" s="172"/>
    </row>
    <row r="59" spans="10:10">
      <c r="J59" s="172"/>
    </row>
    <row r="60" spans="10:10">
      <c r="J60" s="172"/>
    </row>
    <row r="61" spans="10:10">
      <c r="J61" s="172"/>
    </row>
    <row r="62" spans="10:10">
      <c r="J62" s="172"/>
    </row>
    <row r="63" spans="10:10">
      <c r="J63" s="172"/>
    </row>
    <row r="64" spans="10:10">
      <c r="J64" s="172"/>
    </row>
    <row r="65" spans="10:10">
      <c r="J65" s="172"/>
    </row>
    <row r="66" spans="10:10">
      <c r="J66" s="172"/>
    </row>
    <row r="67" spans="10:10">
      <c r="J67" s="172"/>
    </row>
    <row r="68" spans="10:10">
      <c r="J68" s="172"/>
    </row>
    <row r="69" spans="10:10">
      <c r="J69" s="172"/>
    </row>
    <row r="70" spans="10:10">
      <c r="J70" s="172"/>
    </row>
    <row r="71" spans="10:10">
      <c r="J71" s="172"/>
    </row>
    <row r="72" spans="10:10">
      <c r="J72" s="172"/>
    </row>
    <row r="73" spans="10:10">
      <c r="J73" s="172"/>
    </row>
    <row r="74" spans="10:10">
      <c r="J74" s="172"/>
    </row>
    <row r="75" spans="10:10">
      <c r="J75" s="172"/>
    </row>
    <row r="76" spans="10:10">
      <c r="J76" s="172"/>
    </row>
    <row r="77" spans="10:10">
      <c r="J77" s="172"/>
    </row>
    <row r="78" spans="10:10">
      <c r="J78" s="172"/>
    </row>
    <row r="79" spans="10:10">
      <c r="J79" s="172"/>
    </row>
    <row r="80" spans="10:10">
      <c r="J80" s="172"/>
    </row>
    <row r="81" spans="10:10">
      <c r="J81" s="172"/>
    </row>
    <row r="82" spans="10:10">
      <c r="J82" s="172"/>
    </row>
    <row r="83" spans="10:10">
      <c r="J83" s="172"/>
    </row>
    <row r="84" spans="10:10">
      <c r="J84" s="172"/>
    </row>
    <row r="85" spans="10:10">
      <c r="J85" s="172"/>
    </row>
    <row r="86" spans="10:10">
      <c r="J86" s="172"/>
    </row>
    <row r="87" spans="10:10">
      <c r="J87" s="172"/>
    </row>
    <row r="88" spans="10:10">
      <c r="J88" s="172"/>
    </row>
    <row r="89" spans="10:10">
      <c r="J89" s="172"/>
    </row>
    <row r="90" spans="10:10">
      <c r="J90" s="172"/>
    </row>
    <row r="91" spans="10:10">
      <c r="J91" s="172"/>
    </row>
    <row r="92" spans="10:10">
      <c r="J92" s="172"/>
    </row>
    <row r="93" spans="10:10">
      <c r="J93" s="172"/>
    </row>
    <row r="94" spans="10:10">
      <c r="J94" s="172"/>
    </row>
    <row r="95" spans="10:10">
      <c r="J95" s="172"/>
    </row>
    <row r="96" spans="10:10">
      <c r="J96" s="172"/>
    </row>
    <row r="97" spans="10:10">
      <c r="J97" s="172"/>
    </row>
    <row r="98" spans="10:10">
      <c r="J98" s="172"/>
    </row>
    <row r="99" spans="10:10">
      <c r="J99" s="172"/>
    </row>
    <row r="100" spans="10:10">
      <c r="J100" s="172"/>
    </row>
    <row r="101" spans="10:10">
      <c r="J101" s="172"/>
    </row>
    <row r="102" spans="10:10">
      <c r="J102" s="172"/>
    </row>
    <row r="103" spans="10:10">
      <c r="J103" s="172"/>
    </row>
    <row r="104" spans="10:10">
      <c r="J104" s="172"/>
    </row>
    <row r="105" spans="10:10">
      <c r="J105" s="172"/>
    </row>
    <row r="106" spans="10:10">
      <c r="J106" s="172"/>
    </row>
    <row r="107" spans="10:10">
      <c r="J107" s="172"/>
    </row>
    <row r="108" spans="10:10">
      <c r="J108" s="172"/>
    </row>
    <row r="109" spans="10:10">
      <c r="J109" s="172"/>
    </row>
    <row r="110" spans="10:10">
      <c r="J110" s="172"/>
    </row>
    <row r="111" spans="10:10">
      <c r="J111" s="172"/>
    </row>
    <row r="112" spans="10:10">
      <c r="J112" s="172"/>
    </row>
    <row r="113" spans="10:10">
      <c r="J113" s="172"/>
    </row>
    <row r="114" spans="10:10">
      <c r="J114" s="172"/>
    </row>
    <row r="115" spans="10:10">
      <c r="J115" s="172"/>
    </row>
    <row r="116" spans="10:10">
      <c r="J116" s="172"/>
    </row>
    <row r="117" spans="10:10">
      <c r="J117" s="172"/>
    </row>
    <row r="118" spans="10:10">
      <c r="J118" s="172"/>
    </row>
    <row r="119" spans="10:10">
      <c r="J119" s="172"/>
    </row>
    <row r="120" spans="10:10">
      <c r="J120" s="172"/>
    </row>
    <row r="121" spans="10:10">
      <c r="J121" s="172"/>
    </row>
    <row r="122" spans="10:10">
      <c r="J122" s="172"/>
    </row>
    <row r="123" spans="10:10">
      <c r="J123" s="172"/>
    </row>
    <row r="124" spans="10:10">
      <c r="J124" s="172"/>
    </row>
    <row r="125" spans="10:10">
      <c r="J125" s="172"/>
    </row>
    <row r="126" spans="10:10">
      <c r="J126" s="172"/>
    </row>
    <row r="127" spans="10:10">
      <c r="J127" s="172"/>
    </row>
    <row r="128" spans="10:10">
      <c r="J128" s="172"/>
    </row>
    <row r="129" spans="10:10">
      <c r="J129" s="172"/>
    </row>
    <row r="130" spans="10:10">
      <c r="J130" s="172"/>
    </row>
    <row r="131" spans="10:10">
      <c r="J131" s="172"/>
    </row>
    <row r="132" spans="10:10">
      <c r="J132" s="172"/>
    </row>
    <row r="133" spans="10:10">
      <c r="J133" s="172"/>
    </row>
    <row r="134" spans="10:10">
      <c r="J134" s="172"/>
    </row>
    <row r="135" spans="10:10">
      <c r="J135" s="172"/>
    </row>
    <row r="136" spans="10:10">
      <c r="J136" s="172"/>
    </row>
    <row r="137" spans="10:10">
      <c r="J137" s="172"/>
    </row>
    <row r="138" spans="10:10">
      <c r="J138" s="172"/>
    </row>
    <row r="139" spans="10:10">
      <c r="J139" s="172"/>
    </row>
    <row r="140" spans="10:10">
      <c r="J140" s="172"/>
    </row>
    <row r="141" spans="10:10">
      <c r="J141" s="172"/>
    </row>
    <row r="142" spans="10:10">
      <c r="J142" s="172"/>
    </row>
    <row r="143" spans="10:10">
      <c r="J143" s="172"/>
    </row>
    <row r="144" spans="10:10">
      <c r="J144" s="172"/>
    </row>
    <row r="145" spans="10:10">
      <c r="J145" s="172"/>
    </row>
    <row r="146" spans="10:10">
      <c r="J146" s="172"/>
    </row>
    <row r="147" spans="10:10">
      <c r="J147" s="172"/>
    </row>
    <row r="148" spans="10:10">
      <c r="J148" s="172"/>
    </row>
    <row r="149" spans="10:10">
      <c r="J149" s="172"/>
    </row>
    <row r="150" spans="10:10">
      <c r="J150" s="172"/>
    </row>
    <row r="151" spans="10:10">
      <c r="J151" s="172"/>
    </row>
    <row r="152" spans="10:10">
      <c r="J152" s="172"/>
    </row>
    <row r="153" spans="10:10">
      <c r="J153" s="172"/>
    </row>
    <row r="154" spans="10:10">
      <c r="J154" s="172"/>
    </row>
    <row r="155" spans="10:10">
      <c r="J155" s="172"/>
    </row>
    <row r="156" spans="10:10">
      <c r="J156" s="172"/>
    </row>
    <row r="157" spans="10:10">
      <c r="J157" s="172"/>
    </row>
    <row r="158" spans="10:10">
      <c r="J158" s="172"/>
    </row>
    <row r="159" spans="10:10">
      <c r="J159" s="172"/>
    </row>
    <row r="160" spans="10:10">
      <c r="J160" s="172"/>
    </row>
    <row r="161" spans="10:10">
      <c r="J161" s="172"/>
    </row>
    <row r="162" spans="10:10">
      <c r="J162" s="172"/>
    </row>
    <row r="163" spans="10:10">
      <c r="J163" s="172"/>
    </row>
    <row r="164" spans="10:10">
      <c r="J164" s="172"/>
    </row>
    <row r="165" spans="10:10">
      <c r="J165" s="172"/>
    </row>
    <row r="166" spans="10:10">
      <c r="J166" s="172"/>
    </row>
    <row r="167" spans="10:10">
      <c r="J167" s="172"/>
    </row>
    <row r="168" spans="10:10">
      <c r="J168" s="172"/>
    </row>
    <row r="169" spans="10:10">
      <c r="J169" s="172"/>
    </row>
    <row r="170" spans="10:10">
      <c r="J170" s="172"/>
    </row>
    <row r="171" spans="10:10">
      <c r="J171" s="172"/>
    </row>
    <row r="172" spans="10:10">
      <c r="J172" s="172"/>
    </row>
    <row r="173" spans="10:10">
      <c r="J173" s="172"/>
    </row>
    <row r="174" spans="10:10">
      <c r="J174" s="172"/>
    </row>
    <row r="175" spans="10:10">
      <c r="J175" s="172"/>
    </row>
    <row r="176" spans="10:10">
      <c r="J176" s="172"/>
    </row>
    <row r="177" spans="10:10">
      <c r="J177" s="172"/>
    </row>
    <row r="178" spans="10:10">
      <c r="J178" s="172"/>
    </row>
    <row r="179" spans="10:10">
      <c r="J179" s="172"/>
    </row>
    <row r="180" spans="10:10">
      <c r="J180" s="172"/>
    </row>
    <row r="181" spans="10:10">
      <c r="J181" s="172"/>
    </row>
    <row r="182" spans="10:10">
      <c r="J182" s="172"/>
    </row>
    <row r="183" spans="10:10">
      <c r="J183" s="172"/>
    </row>
    <row r="184" spans="10:10">
      <c r="J184" s="172"/>
    </row>
    <row r="185" spans="10:10">
      <c r="J185" s="172"/>
    </row>
    <row r="186" spans="10:10">
      <c r="J186" s="172"/>
    </row>
    <row r="187" spans="10:10">
      <c r="J187" s="172"/>
    </row>
    <row r="188" spans="10:10">
      <c r="J188" s="172"/>
    </row>
    <row r="189" spans="10:10">
      <c r="J189" s="172"/>
    </row>
    <row r="190" spans="10:10">
      <c r="J190" s="172"/>
    </row>
    <row r="191" spans="10:10">
      <c r="J191" s="172"/>
    </row>
    <row r="192" spans="10:10">
      <c r="J192" s="172"/>
    </row>
    <row r="193" spans="10:10">
      <c r="J193" s="172"/>
    </row>
    <row r="194" spans="10:10">
      <c r="J194" s="172"/>
    </row>
    <row r="195" spans="10:10">
      <c r="J195" s="172"/>
    </row>
    <row r="196" spans="10:10">
      <c r="J196" s="172"/>
    </row>
    <row r="197" spans="10:10">
      <c r="J197" s="172"/>
    </row>
    <row r="198" spans="10:10">
      <c r="J198" s="172"/>
    </row>
    <row r="199" spans="10:10">
      <c r="J199" s="172"/>
    </row>
    <row r="200" spans="10:10">
      <c r="J200" s="172"/>
    </row>
    <row r="201" spans="10:10">
      <c r="J201" s="172"/>
    </row>
    <row r="202" spans="10:10">
      <c r="J202" s="172"/>
    </row>
    <row r="203" spans="10:10">
      <c r="J203" s="172"/>
    </row>
    <row r="204" spans="10:10">
      <c r="J204" s="172"/>
    </row>
    <row r="205" spans="10:10">
      <c r="J205" s="172"/>
    </row>
    <row r="206" spans="10:10">
      <c r="J206" s="172"/>
    </row>
    <row r="207" spans="10:10">
      <c r="J207" s="172"/>
    </row>
    <row r="208" spans="10:10">
      <c r="J208" s="172"/>
    </row>
    <row r="209" spans="10:10">
      <c r="J209" s="172"/>
    </row>
    <row r="210" spans="10:10">
      <c r="J210" s="172"/>
    </row>
    <row r="211" spans="10:10">
      <c r="J211" s="172"/>
    </row>
    <row r="212" spans="10:10">
      <c r="J212" s="172"/>
    </row>
    <row r="213" spans="10:10">
      <c r="J213" s="172"/>
    </row>
    <row r="214" spans="10:10">
      <c r="J214" s="172"/>
    </row>
    <row r="215" spans="10:10">
      <c r="J215" s="172"/>
    </row>
    <row r="216" spans="10:10">
      <c r="J216" s="172"/>
    </row>
    <row r="217" spans="10:10">
      <c r="J217" s="172"/>
    </row>
    <row r="218" spans="10:10">
      <c r="J218" s="172"/>
    </row>
    <row r="219" spans="10:10">
      <c r="J219" s="172"/>
    </row>
    <row r="220" spans="10:10">
      <c r="J220" s="172"/>
    </row>
    <row r="221" spans="10:10">
      <c r="J221" s="172"/>
    </row>
    <row r="222" spans="10:10">
      <c r="J222" s="172"/>
    </row>
    <row r="223" spans="10:10">
      <c r="J223" s="172"/>
    </row>
    <row r="224" spans="10:10">
      <c r="J224" s="172"/>
    </row>
    <row r="225" spans="10:10">
      <c r="J225" s="172"/>
    </row>
    <row r="226" spans="10:10">
      <c r="J226" s="172"/>
    </row>
    <row r="227" spans="10:10">
      <c r="J227" s="172"/>
    </row>
    <row r="228" spans="10:10">
      <c r="J228" s="172"/>
    </row>
    <row r="229" spans="10:10">
      <c r="J229" s="172"/>
    </row>
    <row r="230" spans="10:10">
      <c r="J230" s="172"/>
    </row>
    <row r="231" spans="10:10">
      <c r="J231" s="172"/>
    </row>
    <row r="232" spans="10:10">
      <c r="J232" s="172"/>
    </row>
    <row r="233" spans="10:10">
      <c r="J233" s="172"/>
    </row>
    <row r="234" spans="10:10">
      <c r="J234" s="172"/>
    </row>
    <row r="235" spans="10:10">
      <c r="J235" s="172"/>
    </row>
    <row r="236" spans="10:10">
      <c r="J236" s="172"/>
    </row>
    <row r="237" spans="10:10">
      <c r="J237" s="172"/>
    </row>
    <row r="238" spans="10:10">
      <c r="J238" s="172"/>
    </row>
    <row r="239" spans="10:10">
      <c r="J239" s="172"/>
    </row>
    <row r="240" spans="10:10">
      <c r="J240" s="172"/>
    </row>
    <row r="241" spans="10:10">
      <c r="J241" s="172"/>
    </row>
    <row r="242" spans="10:10">
      <c r="J242" s="172"/>
    </row>
    <row r="243" spans="10:10">
      <c r="J243" s="172"/>
    </row>
    <row r="244" spans="10:10">
      <c r="J244" s="172"/>
    </row>
    <row r="245" spans="10:10">
      <c r="J245" s="172"/>
    </row>
    <row r="246" spans="10:10">
      <c r="J246" s="172"/>
    </row>
    <row r="247" spans="10:10">
      <c r="J247" s="172"/>
    </row>
    <row r="248" spans="10:10">
      <c r="J248" s="172"/>
    </row>
    <row r="249" spans="10:10">
      <c r="J249" s="172"/>
    </row>
    <row r="250" spans="10:10">
      <c r="J250" s="172"/>
    </row>
    <row r="251" spans="10:10">
      <c r="J251" s="172"/>
    </row>
    <row r="252" spans="10:10">
      <c r="J252" s="172"/>
    </row>
    <row r="253" spans="10:10">
      <c r="J253" s="172"/>
    </row>
    <row r="254" spans="10:10">
      <c r="J254" s="172"/>
    </row>
    <row r="255" spans="10:10">
      <c r="J255" s="172"/>
    </row>
    <row r="256" spans="10:10">
      <c r="J256" s="172"/>
    </row>
    <row r="257" spans="10:10">
      <c r="J257" s="172"/>
    </row>
    <row r="258" spans="10:10">
      <c r="J258" s="172"/>
    </row>
    <row r="259" spans="10:10">
      <c r="J259" s="172"/>
    </row>
    <row r="260" spans="10:10">
      <c r="J260" s="172"/>
    </row>
    <row r="261" spans="10:10">
      <c r="J261" s="172"/>
    </row>
    <row r="262" spans="10:10">
      <c r="J262" s="172"/>
    </row>
    <row r="263" spans="10:10">
      <c r="J263" s="172"/>
    </row>
    <row r="264" spans="10:10">
      <c r="J264" s="172"/>
    </row>
    <row r="265" spans="10:10">
      <c r="J265" s="172"/>
    </row>
    <row r="266" spans="10:10">
      <c r="J266" s="172"/>
    </row>
    <row r="267" spans="10:10">
      <c r="J267" s="172"/>
    </row>
    <row r="268" spans="10:10">
      <c r="J268" s="172"/>
    </row>
    <row r="269" spans="10:10">
      <c r="J269" s="172"/>
    </row>
    <row r="270" spans="10:10">
      <c r="J270" s="172"/>
    </row>
    <row r="271" spans="10:10">
      <c r="J271" s="172"/>
    </row>
    <row r="272" spans="10:10">
      <c r="J272" s="172"/>
    </row>
    <row r="273" spans="10:10">
      <c r="J273" s="172"/>
    </row>
    <row r="274" spans="10:10">
      <c r="J274" s="172"/>
    </row>
    <row r="275" spans="10:10">
      <c r="J275" s="172"/>
    </row>
    <row r="276" spans="10:10">
      <c r="J276" s="172"/>
    </row>
    <row r="277" spans="10:10">
      <c r="J277" s="172"/>
    </row>
    <row r="278" spans="10:10">
      <c r="J278" s="172"/>
    </row>
    <row r="279" spans="10:10">
      <c r="J279" s="172"/>
    </row>
    <row r="280" spans="10:10">
      <c r="J280" s="172"/>
    </row>
    <row r="281" spans="10:10">
      <c r="J281" s="172"/>
    </row>
    <row r="282" spans="10:10">
      <c r="J282" s="172"/>
    </row>
    <row r="283" spans="10:10">
      <c r="J283" s="172"/>
    </row>
    <row r="284" spans="10:10">
      <c r="J284" s="172"/>
    </row>
    <row r="285" spans="10:10">
      <c r="J285" s="172"/>
    </row>
    <row r="286" spans="10:10">
      <c r="J286" s="172"/>
    </row>
    <row r="287" spans="10:10">
      <c r="J287" s="172"/>
    </row>
    <row r="288" spans="10:10">
      <c r="J288" s="172"/>
    </row>
    <row r="289" spans="10:10">
      <c r="J289" s="172"/>
    </row>
    <row r="290" spans="10:10">
      <c r="J290" s="172"/>
    </row>
    <row r="291" spans="10:10">
      <c r="J291" s="172"/>
    </row>
    <row r="292" spans="10:10">
      <c r="J292" s="172"/>
    </row>
    <row r="293" spans="10:10">
      <c r="J293" s="172"/>
    </row>
    <row r="294" spans="10:10">
      <c r="J294" s="172"/>
    </row>
    <row r="295" spans="10:10">
      <c r="J295" s="172"/>
    </row>
    <row r="296" spans="10:10">
      <c r="J296" s="172"/>
    </row>
    <row r="297" spans="10:10">
      <c r="J297" s="172"/>
    </row>
    <row r="298" spans="10:10">
      <c r="J298" s="172"/>
    </row>
    <row r="299" spans="10:10">
      <c r="J299" s="172"/>
    </row>
    <row r="300" spans="10:10">
      <c r="J300" s="172"/>
    </row>
    <row r="301" spans="10:10">
      <c r="J301" s="172"/>
    </row>
    <row r="302" spans="10:10">
      <c r="J302" s="172"/>
    </row>
    <row r="303" spans="10:10">
      <c r="J303" s="172"/>
    </row>
    <row r="304" spans="10:10">
      <c r="J304" s="172"/>
    </row>
    <row r="305" spans="10:10">
      <c r="J305" s="172"/>
    </row>
    <row r="306" spans="10:10">
      <c r="J306" s="172"/>
    </row>
    <row r="307" spans="10:10">
      <c r="J307" s="172"/>
    </row>
    <row r="308" spans="10:10">
      <c r="J308" s="172"/>
    </row>
    <row r="309" spans="10:10">
      <c r="J309" s="172"/>
    </row>
    <row r="310" spans="10:10">
      <c r="J310" s="172"/>
    </row>
    <row r="311" spans="10:10">
      <c r="J311" s="172"/>
    </row>
    <row r="312" spans="10:10">
      <c r="J312" s="172"/>
    </row>
    <row r="313" spans="10:10">
      <c r="J313" s="172"/>
    </row>
    <row r="314" spans="10:10">
      <c r="J314" s="172"/>
    </row>
    <row r="315" spans="10:10">
      <c r="J315" s="172"/>
    </row>
    <row r="316" spans="10:10">
      <c r="J316" s="172"/>
    </row>
    <row r="317" spans="10:10">
      <c r="J317" s="172"/>
    </row>
    <row r="318" spans="10:10">
      <c r="J318" s="172"/>
    </row>
    <row r="319" spans="10:10">
      <c r="J319" s="172"/>
    </row>
    <row r="320" spans="10:10">
      <c r="J320" s="172"/>
    </row>
    <row r="321" spans="10:10">
      <c r="J321" s="172"/>
    </row>
    <row r="322" spans="10:10">
      <c r="J322" s="172"/>
    </row>
    <row r="323" spans="10:10">
      <c r="J323" s="172"/>
    </row>
    <row r="324" spans="10:10">
      <c r="J324" s="172"/>
    </row>
    <row r="325" spans="10:10">
      <c r="J325" s="172"/>
    </row>
    <row r="326" spans="10:10">
      <c r="J326" s="172"/>
    </row>
    <row r="327" spans="10:10">
      <c r="J327" s="172"/>
    </row>
    <row r="328" spans="10:10">
      <c r="J328" s="172"/>
    </row>
    <row r="329" spans="10:10">
      <c r="J329" s="172"/>
    </row>
    <row r="330" spans="10:10">
      <c r="J330" s="172"/>
    </row>
    <row r="331" spans="10:10">
      <c r="J331" s="172"/>
    </row>
    <row r="332" spans="10:10">
      <c r="J332" s="172"/>
    </row>
    <row r="333" spans="10:10">
      <c r="J333" s="172"/>
    </row>
    <row r="334" spans="10:10">
      <c r="J334" s="172"/>
    </row>
    <row r="335" spans="10:10">
      <c r="J335" s="172"/>
    </row>
    <row r="336" spans="10:10">
      <c r="J336" s="172"/>
    </row>
    <row r="337" spans="10:10">
      <c r="J337" s="172"/>
    </row>
    <row r="338" spans="10:10">
      <c r="J338" s="172"/>
    </row>
    <row r="339" spans="10:10">
      <c r="J339" s="172"/>
    </row>
    <row r="340" spans="10:10">
      <c r="J340" s="172"/>
    </row>
    <row r="341" spans="10:10">
      <c r="J341" s="172"/>
    </row>
    <row r="342" spans="10:10">
      <c r="J342" s="172"/>
    </row>
    <row r="343" spans="10:10">
      <c r="J343" s="172"/>
    </row>
    <row r="344" spans="10:10">
      <c r="J344" s="172"/>
    </row>
    <row r="345" spans="10:10">
      <c r="J345" s="172"/>
    </row>
    <row r="346" spans="10:10">
      <c r="J346" s="172"/>
    </row>
    <row r="347" spans="10:10">
      <c r="J347" s="172"/>
    </row>
    <row r="348" spans="10:10">
      <c r="J348" s="172"/>
    </row>
    <row r="349" spans="10:10">
      <c r="J349" s="172"/>
    </row>
    <row r="350" spans="10:10">
      <c r="J350" s="172"/>
    </row>
    <row r="351" spans="10:10">
      <c r="J351" s="172"/>
    </row>
    <row r="352" spans="10:10">
      <c r="J352" s="172"/>
    </row>
    <row r="353" spans="10:10">
      <c r="J353" s="172"/>
    </row>
    <row r="354" spans="10:10">
      <c r="J354" s="172"/>
    </row>
    <row r="355" spans="10:10">
      <c r="J355" s="172"/>
    </row>
    <row r="356" spans="10:10">
      <c r="J356" s="172"/>
    </row>
    <row r="357" spans="10:10">
      <c r="J357" s="172"/>
    </row>
    <row r="358" spans="10:10">
      <c r="J358" s="172"/>
    </row>
    <row r="359" spans="10:10">
      <c r="J359" s="172"/>
    </row>
    <row r="360" spans="10:10">
      <c r="J360" s="172"/>
    </row>
    <row r="361" spans="10:10">
      <c r="J361" s="172"/>
    </row>
    <row r="362" spans="10:10">
      <c r="J362" s="172"/>
    </row>
    <row r="363" spans="10:10">
      <c r="J363" s="172"/>
    </row>
    <row r="364" spans="10:10">
      <c r="J364" s="172"/>
    </row>
    <row r="365" spans="10:10">
      <c r="J365" s="172"/>
    </row>
    <row r="366" spans="10:10">
      <c r="J366" s="172"/>
    </row>
    <row r="367" spans="10:10">
      <c r="J367" s="172"/>
    </row>
    <row r="368" spans="10:10">
      <c r="J368" s="172"/>
    </row>
    <row r="369" spans="10:10">
      <c r="J369" s="172"/>
    </row>
    <row r="370" spans="10:10">
      <c r="J370" s="172"/>
    </row>
    <row r="371" spans="10:10">
      <c r="J371" s="172"/>
    </row>
    <row r="372" spans="10:10">
      <c r="J372" s="172"/>
    </row>
    <row r="373" spans="10:10">
      <c r="J373" s="172"/>
    </row>
    <row r="374" spans="10:10">
      <c r="J374" s="172"/>
    </row>
    <row r="375" spans="10:10">
      <c r="J375" s="172"/>
    </row>
    <row r="376" spans="10:10">
      <c r="J376" s="172"/>
    </row>
    <row r="377" spans="10:10">
      <c r="J377" s="172"/>
    </row>
    <row r="378" spans="10:10">
      <c r="J378" s="172"/>
    </row>
    <row r="379" spans="10:10">
      <c r="J379" s="172"/>
    </row>
    <row r="380" spans="10:10">
      <c r="J380" s="172"/>
    </row>
    <row r="381" spans="10:10">
      <c r="J381" s="172"/>
    </row>
    <row r="382" spans="10:10">
      <c r="J382" s="172"/>
    </row>
    <row r="383" spans="10:10">
      <c r="J383" s="172"/>
    </row>
    <row r="384" spans="10:10">
      <c r="J384" s="172"/>
    </row>
    <row r="385" spans="10:10">
      <c r="J385" s="172"/>
    </row>
    <row r="386" spans="10:10">
      <c r="J386" s="172"/>
    </row>
    <row r="387" spans="10:10">
      <c r="J387" s="172"/>
    </row>
    <row r="388" spans="10:10">
      <c r="J388" s="172"/>
    </row>
    <row r="389" spans="10:10">
      <c r="J389" s="172"/>
    </row>
    <row r="390" spans="10:10">
      <c r="J390" s="172"/>
    </row>
    <row r="391" spans="10:10">
      <c r="J391" s="172"/>
    </row>
    <row r="392" spans="10:10">
      <c r="J392" s="172"/>
    </row>
    <row r="393" spans="10:10">
      <c r="J393" s="172"/>
    </row>
    <row r="394" spans="10:10">
      <c r="J394" s="172"/>
    </row>
    <row r="395" spans="10:10">
      <c r="J395" s="172"/>
    </row>
    <row r="396" spans="10:10">
      <c r="J396" s="172"/>
    </row>
    <row r="397" spans="10:10">
      <c r="J397" s="172"/>
    </row>
    <row r="398" spans="10:10">
      <c r="J398" s="172"/>
    </row>
    <row r="399" spans="10:10">
      <c r="J399" s="172"/>
    </row>
    <row r="400" spans="10:10">
      <c r="J400" s="172"/>
    </row>
    <row r="401" spans="10:10">
      <c r="J401" s="172"/>
    </row>
    <row r="402" spans="10:10">
      <c r="J402" s="172"/>
    </row>
    <row r="403" spans="10:10">
      <c r="J403" s="172"/>
    </row>
    <row r="404" spans="10:10">
      <c r="J404" s="172"/>
    </row>
    <row r="405" spans="10:10">
      <c r="J405" s="172"/>
    </row>
    <row r="406" spans="10:10">
      <c r="J406" s="172"/>
    </row>
    <row r="407" spans="10:10">
      <c r="J407" s="172"/>
    </row>
    <row r="408" spans="10:10">
      <c r="J408" s="172"/>
    </row>
    <row r="409" spans="10:10">
      <c r="J409" s="172"/>
    </row>
    <row r="410" spans="10:10">
      <c r="J410" s="172"/>
    </row>
    <row r="411" spans="10:10">
      <c r="J411" s="172"/>
    </row>
    <row r="412" spans="10:10">
      <c r="J412" s="172"/>
    </row>
    <row r="413" spans="10:10">
      <c r="J413" s="172"/>
    </row>
    <row r="414" spans="10:10">
      <c r="J414" s="172"/>
    </row>
    <row r="415" spans="10:10">
      <c r="J415" s="172"/>
    </row>
    <row r="416" spans="10:10">
      <c r="J416" s="172"/>
    </row>
    <row r="417" spans="10:10">
      <c r="J417" s="172"/>
    </row>
    <row r="418" spans="10:10">
      <c r="J418" s="172"/>
    </row>
    <row r="419" spans="10:10">
      <c r="J419" s="172"/>
    </row>
    <row r="420" spans="10:10">
      <c r="J420" s="172"/>
    </row>
    <row r="421" spans="10:10">
      <c r="J421" s="172"/>
    </row>
    <row r="422" spans="10:10">
      <c r="J422" s="172"/>
    </row>
    <row r="423" spans="10:10">
      <c r="J423" s="172"/>
    </row>
    <row r="424" spans="10:10">
      <c r="J424" s="172"/>
    </row>
    <row r="425" spans="10:10">
      <c r="J425" s="172"/>
    </row>
    <row r="426" spans="10:10">
      <c r="J426" s="172"/>
    </row>
    <row r="427" spans="10:10">
      <c r="J427" s="172"/>
    </row>
    <row r="428" spans="10:10">
      <c r="J428" s="172"/>
    </row>
    <row r="429" spans="10:10">
      <c r="J429" s="172"/>
    </row>
    <row r="430" spans="10:10">
      <c r="J430" s="172"/>
    </row>
    <row r="431" spans="10:10">
      <c r="J431" s="172"/>
    </row>
    <row r="432" spans="10:10">
      <c r="J432" s="172"/>
    </row>
    <row r="433" spans="10:10">
      <c r="J433" s="172"/>
    </row>
    <row r="434" spans="10:10">
      <c r="J434" s="172"/>
    </row>
    <row r="435" spans="10:10">
      <c r="J435" s="172"/>
    </row>
    <row r="436" spans="10:10">
      <c r="J436" s="172"/>
    </row>
    <row r="437" spans="10:10">
      <c r="J437" s="172"/>
    </row>
    <row r="438" spans="10:10">
      <c r="J438" s="172"/>
    </row>
    <row r="439" spans="10:10">
      <c r="J439" s="172"/>
    </row>
    <row r="440" spans="10:10">
      <c r="J440" s="172"/>
    </row>
    <row r="441" spans="10:10">
      <c r="J441" s="172"/>
    </row>
    <row r="442" spans="10:10">
      <c r="J442" s="172"/>
    </row>
    <row r="443" spans="10:10">
      <c r="J443" s="172"/>
    </row>
    <row r="444" spans="10:10">
      <c r="J444" s="172"/>
    </row>
    <row r="445" spans="10:10">
      <c r="J445" s="172"/>
    </row>
    <row r="446" spans="10:10">
      <c r="J446" s="172"/>
    </row>
    <row r="447" spans="10:10">
      <c r="J447" s="172"/>
    </row>
    <row r="448" spans="10:10">
      <c r="J448" s="172"/>
    </row>
    <row r="449" spans="10:10">
      <c r="J449" s="172"/>
    </row>
    <row r="450" spans="10:10">
      <c r="J450" s="172"/>
    </row>
    <row r="451" spans="10:10">
      <c r="J451" s="172"/>
    </row>
    <row r="452" spans="10:10">
      <c r="J452" s="172"/>
    </row>
    <row r="453" spans="10:10">
      <c r="J453" s="172"/>
    </row>
    <row r="454" spans="10:10">
      <c r="J454" s="172"/>
    </row>
    <row r="455" spans="10:10">
      <c r="J455" s="172"/>
    </row>
    <row r="456" spans="10:10">
      <c r="J456" s="172"/>
    </row>
    <row r="457" spans="10:10">
      <c r="J457" s="172"/>
    </row>
    <row r="458" spans="10:10">
      <c r="J458" s="172"/>
    </row>
    <row r="459" spans="10:10">
      <c r="J459" s="172"/>
    </row>
    <row r="460" spans="10:10">
      <c r="J460" s="172"/>
    </row>
    <row r="461" spans="10:10">
      <c r="J461" s="172"/>
    </row>
    <row r="462" spans="10:10">
      <c r="J462" s="172"/>
    </row>
    <row r="463" spans="10:10">
      <c r="J463" s="172"/>
    </row>
    <row r="464" spans="10:10">
      <c r="J464" s="172"/>
    </row>
    <row r="465" spans="10:10">
      <c r="J465" s="172"/>
    </row>
    <row r="466" spans="10:10">
      <c r="J466" s="172"/>
    </row>
    <row r="467" spans="10:10">
      <c r="J467" s="172"/>
    </row>
    <row r="468" spans="10:10">
      <c r="J468" s="172"/>
    </row>
    <row r="469" spans="10:10">
      <c r="J469" s="172"/>
    </row>
    <row r="470" spans="10:10">
      <c r="J470" s="172"/>
    </row>
    <row r="471" spans="10:10">
      <c r="J471" s="172"/>
    </row>
    <row r="472" spans="10:10">
      <c r="J472" s="172"/>
    </row>
    <row r="473" spans="10:10">
      <c r="J473" s="172"/>
    </row>
    <row r="474" spans="10:10">
      <c r="J474" s="172"/>
    </row>
    <row r="475" spans="10:10">
      <c r="J475" s="172"/>
    </row>
    <row r="476" spans="10:10">
      <c r="J476" s="172"/>
    </row>
    <row r="477" spans="10:10">
      <c r="J477" s="172"/>
    </row>
    <row r="478" spans="10:10">
      <c r="J478" s="172"/>
    </row>
    <row r="479" spans="10:10">
      <c r="J479" s="172"/>
    </row>
    <row r="480" spans="10:10">
      <c r="J480" s="172"/>
    </row>
    <row r="481" spans="10:10">
      <c r="J481" s="172"/>
    </row>
    <row r="482" spans="10:10">
      <c r="J482" s="172"/>
    </row>
    <row r="483" spans="10:10">
      <c r="J483" s="172"/>
    </row>
    <row r="484" spans="10:10">
      <c r="J484" s="172"/>
    </row>
    <row r="485" spans="10:10">
      <c r="J485" s="172"/>
    </row>
    <row r="486" spans="10:10">
      <c r="J486" s="172"/>
    </row>
    <row r="487" spans="10:10">
      <c r="J487" s="172"/>
    </row>
    <row r="488" spans="10:10">
      <c r="J488" s="172"/>
    </row>
    <row r="489" spans="10:10">
      <c r="J489" s="172"/>
    </row>
    <row r="490" spans="10:10">
      <c r="J490" s="172"/>
    </row>
    <row r="491" spans="10:10">
      <c r="J491" s="172"/>
    </row>
    <row r="492" spans="10:10">
      <c r="J492" s="172"/>
    </row>
    <row r="493" spans="10:10">
      <c r="J493" s="172"/>
    </row>
    <row r="494" spans="10:10">
      <c r="J494" s="172"/>
    </row>
    <row r="495" spans="10:10">
      <c r="J495" s="172"/>
    </row>
    <row r="496" spans="10:10">
      <c r="J496" s="172"/>
    </row>
    <row r="497" spans="10:10">
      <c r="J497" s="172"/>
    </row>
    <row r="498" spans="10:10">
      <c r="J498" s="172"/>
    </row>
    <row r="499" spans="10:10">
      <c r="J499" s="172"/>
    </row>
    <row r="500" spans="10:10">
      <c r="J500" s="172"/>
    </row>
    <row r="501" spans="10:10">
      <c r="J501" s="172"/>
    </row>
    <row r="502" spans="10:10">
      <c r="J502" s="172"/>
    </row>
    <row r="503" spans="10:10">
      <c r="J503" s="172"/>
    </row>
    <row r="504" spans="10:10">
      <c r="J504" s="172"/>
    </row>
    <row r="505" spans="10:10">
      <c r="J505" s="172"/>
    </row>
    <row r="506" spans="10:10">
      <c r="J506" s="172"/>
    </row>
    <row r="507" spans="10:10">
      <c r="J507" s="172"/>
    </row>
    <row r="508" spans="10:10">
      <c r="J508" s="172"/>
    </row>
    <row r="509" spans="10:10">
      <c r="J509" s="172"/>
    </row>
    <row r="510" spans="10:10">
      <c r="J510" s="172"/>
    </row>
    <row r="511" spans="10:10">
      <c r="J511" s="172"/>
    </row>
    <row r="512" spans="10:10">
      <c r="J512" s="172"/>
    </row>
    <row r="513" spans="10:10">
      <c r="J513" s="172"/>
    </row>
    <row r="514" spans="10:10">
      <c r="J514" s="172"/>
    </row>
    <row r="515" spans="10:10">
      <c r="J515" s="172"/>
    </row>
    <row r="516" spans="10:10">
      <c r="J516" s="172"/>
    </row>
    <row r="517" spans="10:10">
      <c r="J517" s="172"/>
    </row>
    <row r="518" spans="10:10">
      <c r="J518" s="172"/>
    </row>
    <row r="519" spans="10:10">
      <c r="J519" s="172"/>
    </row>
    <row r="520" spans="10:10">
      <c r="J520" s="172"/>
    </row>
    <row r="521" spans="10:10">
      <c r="J521" s="172"/>
    </row>
    <row r="522" spans="10:10">
      <c r="J522" s="172"/>
    </row>
    <row r="523" spans="10:10">
      <c r="J523" s="172"/>
    </row>
    <row r="524" spans="10:10">
      <c r="J524" s="172"/>
    </row>
    <row r="525" spans="10:10">
      <c r="J525" s="172"/>
    </row>
    <row r="526" spans="10:10">
      <c r="J526" s="172"/>
    </row>
    <row r="527" spans="10:10">
      <c r="J527" s="172"/>
    </row>
    <row r="528" spans="10:10">
      <c r="J528" s="172"/>
    </row>
    <row r="529" spans="10:10">
      <c r="J529" s="172"/>
    </row>
    <row r="530" spans="10:10">
      <c r="J530" s="172"/>
    </row>
    <row r="531" spans="10:10">
      <c r="J531" s="172"/>
    </row>
    <row r="532" spans="10:10">
      <c r="J532" s="172"/>
    </row>
    <row r="533" spans="10:10">
      <c r="J533" s="172"/>
    </row>
    <row r="534" spans="10:10">
      <c r="J534" s="172"/>
    </row>
    <row r="535" spans="10:10">
      <c r="J535" s="172"/>
    </row>
    <row r="536" spans="10:10">
      <c r="J536" s="172"/>
    </row>
    <row r="537" spans="10:10">
      <c r="J537" s="172"/>
    </row>
    <row r="538" spans="10:10">
      <c r="J538" s="172"/>
    </row>
    <row r="539" spans="10:10">
      <c r="J539" s="172"/>
    </row>
    <row r="540" spans="10:10">
      <c r="J540" s="172"/>
    </row>
    <row r="541" spans="10:10">
      <c r="J541" s="172"/>
    </row>
    <row r="542" spans="10:10">
      <c r="J542" s="172"/>
    </row>
    <row r="543" spans="10:10">
      <c r="J543" s="172"/>
    </row>
    <row r="544" spans="10:10">
      <c r="J544" s="172"/>
    </row>
    <row r="545" spans="10:10">
      <c r="J545" s="172"/>
    </row>
    <row r="546" spans="10:10">
      <c r="J546" s="172"/>
    </row>
    <row r="547" spans="10:10">
      <c r="J547" s="172"/>
    </row>
    <row r="548" spans="10:10">
      <c r="J548" s="172"/>
    </row>
    <row r="549" spans="10:10">
      <c r="J549" s="172"/>
    </row>
    <row r="550" spans="10:10">
      <c r="J550" s="172"/>
    </row>
    <row r="551" spans="10:10">
      <c r="J551" s="172"/>
    </row>
    <row r="552" spans="10:10">
      <c r="J552" s="172"/>
    </row>
    <row r="553" spans="10:10">
      <c r="J553" s="172"/>
    </row>
    <row r="554" spans="10:10">
      <c r="J554" s="172"/>
    </row>
    <row r="555" spans="10:10">
      <c r="J555" s="172"/>
    </row>
    <row r="556" spans="10:10">
      <c r="J556" s="172"/>
    </row>
    <row r="557" spans="10:10">
      <c r="J557" s="172"/>
    </row>
    <row r="558" spans="10:10">
      <c r="J558" s="172"/>
    </row>
    <row r="559" spans="10:10">
      <c r="J559" s="172"/>
    </row>
    <row r="560" spans="10:10">
      <c r="J560" s="172"/>
    </row>
    <row r="561" spans="10:10">
      <c r="J561" s="172"/>
    </row>
    <row r="562" spans="10:10">
      <c r="J562" s="172"/>
    </row>
    <row r="563" spans="10:10">
      <c r="J563" s="172"/>
    </row>
    <row r="564" spans="10:10">
      <c r="J564" s="172"/>
    </row>
    <row r="565" spans="10:10">
      <c r="J565" s="172"/>
    </row>
    <row r="566" spans="10:10">
      <c r="J566" s="172"/>
    </row>
    <row r="567" spans="10:10">
      <c r="J567" s="172"/>
    </row>
    <row r="568" spans="10:10">
      <c r="J568" s="172"/>
    </row>
    <row r="569" spans="10:10">
      <c r="J569" s="172"/>
    </row>
    <row r="570" spans="10:10">
      <c r="J570" s="172"/>
    </row>
    <row r="571" spans="10:10">
      <c r="J571" s="172"/>
    </row>
    <row r="572" spans="10:10">
      <c r="J572" s="172"/>
    </row>
    <row r="573" spans="10:10">
      <c r="J573" s="172"/>
    </row>
    <row r="574" spans="10:10">
      <c r="J574" s="172"/>
    </row>
    <row r="575" spans="10:10">
      <c r="J575" s="172"/>
    </row>
    <row r="576" spans="10:10">
      <c r="J576" s="172"/>
    </row>
    <row r="577" spans="10:10">
      <c r="J577" s="172"/>
    </row>
    <row r="578" spans="10:10">
      <c r="J578" s="172"/>
    </row>
    <row r="579" spans="10:10">
      <c r="J579" s="172"/>
    </row>
    <row r="580" spans="10:10">
      <c r="J580" s="172"/>
    </row>
    <row r="581" spans="10:10">
      <c r="J581" s="172"/>
    </row>
    <row r="582" spans="10:10">
      <c r="J582" s="172"/>
    </row>
    <row r="583" spans="10:10">
      <c r="J583" s="172"/>
    </row>
    <row r="584" spans="10:10">
      <c r="J584" s="172"/>
    </row>
    <row r="585" spans="10:10">
      <c r="J585" s="172"/>
    </row>
    <row r="586" spans="10:10">
      <c r="J586" s="172"/>
    </row>
    <row r="587" spans="10:10">
      <c r="J587" s="172"/>
    </row>
    <row r="588" spans="10:10">
      <c r="J588" s="172"/>
    </row>
    <row r="589" spans="10:10">
      <c r="J589" s="172"/>
    </row>
    <row r="590" spans="10:10">
      <c r="J590" s="172"/>
    </row>
    <row r="591" spans="10:10">
      <c r="J591" s="172"/>
    </row>
    <row r="592" spans="10:10">
      <c r="J592" s="172"/>
    </row>
    <row r="593" spans="10:10">
      <c r="J593" s="172"/>
    </row>
    <row r="594" spans="10:10">
      <c r="J594" s="172"/>
    </row>
    <row r="595" spans="10:10">
      <c r="J595" s="172"/>
    </row>
    <row r="596" spans="10:10">
      <c r="J596" s="172"/>
    </row>
    <row r="597" spans="10:10">
      <c r="J597" s="172"/>
    </row>
    <row r="598" spans="10:10">
      <c r="J598" s="172"/>
    </row>
    <row r="599" spans="10:10">
      <c r="J599" s="172"/>
    </row>
    <row r="600" spans="10:10">
      <c r="J600" s="172"/>
    </row>
    <row r="601" spans="10:10">
      <c r="J601" s="172"/>
    </row>
    <row r="602" spans="10:10">
      <c r="J602" s="172"/>
    </row>
    <row r="603" spans="10:10">
      <c r="J603" s="172"/>
    </row>
    <row r="604" spans="10:10">
      <c r="J604" s="172"/>
    </row>
    <row r="605" spans="10:10">
      <c r="J605" s="172"/>
    </row>
    <row r="606" spans="10:10">
      <c r="J606" s="172"/>
    </row>
    <row r="607" spans="10:10">
      <c r="J607" s="172"/>
    </row>
    <row r="608" spans="10:10">
      <c r="J608" s="172"/>
    </row>
    <row r="609" spans="10:10">
      <c r="J609" s="172"/>
    </row>
    <row r="610" spans="10:10">
      <c r="J610" s="172"/>
    </row>
    <row r="611" spans="10:10">
      <c r="J611" s="172"/>
    </row>
    <row r="612" spans="10:10">
      <c r="J612" s="172"/>
    </row>
    <row r="613" spans="10:10">
      <c r="J613" s="172"/>
    </row>
    <row r="614" spans="10:10">
      <c r="J614" s="172"/>
    </row>
    <row r="615" spans="10:10">
      <c r="J615" s="172"/>
    </row>
    <row r="616" spans="10:10">
      <c r="J616" s="172"/>
    </row>
    <row r="617" spans="10:10">
      <c r="J617" s="172"/>
    </row>
    <row r="618" spans="10:10">
      <c r="J618" s="172"/>
    </row>
    <row r="619" spans="10:10">
      <c r="J619" s="172"/>
    </row>
    <row r="620" spans="10:10">
      <c r="J620" s="172"/>
    </row>
    <row r="621" spans="10:10">
      <c r="J621" s="172"/>
    </row>
    <row r="622" spans="10:10">
      <c r="J622" s="172"/>
    </row>
    <row r="623" spans="10:10">
      <c r="J623" s="172"/>
    </row>
    <row r="624" spans="10:10">
      <c r="J624" s="172"/>
    </row>
    <row r="625" spans="10:10">
      <c r="J625" s="172"/>
    </row>
    <row r="626" spans="10:10">
      <c r="J626" s="172"/>
    </row>
    <row r="627" spans="10:10">
      <c r="J627" s="172"/>
    </row>
    <row r="628" spans="10:10">
      <c r="J628" s="172"/>
    </row>
    <row r="629" spans="10:10">
      <c r="J629" s="172"/>
    </row>
    <row r="630" spans="10:10">
      <c r="J630" s="172"/>
    </row>
    <row r="631" spans="10:10">
      <c r="J631" s="172"/>
    </row>
    <row r="632" spans="10:10">
      <c r="J632" s="172"/>
    </row>
    <row r="633" spans="10:10">
      <c r="J633" s="172"/>
    </row>
    <row r="634" spans="10:10">
      <c r="J634" s="172"/>
    </row>
    <row r="635" spans="10:10">
      <c r="J635" s="172"/>
    </row>
    <row r="636" spans="10:10">
      <c r="J636" s="172"/>
    </row>
    <row r="637" spans="10:10">
      <c r="J637" s="172"/>
    </row>
    <row r="638" spans="10:10">
      <c r="J638" s="172"/>
    </row>
    <row r="639" spans="10:10">
      <c r="J639" s="172"/>
    </row>
    <row r="640" spans="10:10">
      <c r="J640" s="172"/>
    </row>
    <row r="641" spans="10:10">
      <c r="J641" s="172"/>
    </row>
    <row r="642" spans="10:10">
      <c r="J642" s="172"/>
    </row>
    <row r="643" spans="10:10">
      <c r="J643" s="172"/>
    </row>
    <row r="644" spans="10:10">
      <c r="J644" s="172"/>
    </row>
    <row r="645" spans="10:10">
      <c r="J645" s="172"/>
    </row>
    <row r="646" spans="10:10">
      <c r="J646" s="172"/>
    </row>
    <row r="647" spans="10:10">
      <c r="J647" s="172"/>
    </row>
    <row r="648" spans="10:10">
      <c r="J648" s="172"/>
    </row>
    <row r="649" spans="10:10">
      <c r="J649" s="172"/>
    </row>
    <row r="650" spans="10:10">
      <c r="J650" s="172"/>
    </row>
    <row r="651" spans="10:10">
      <c r="J651" s="172"/>
    </row>
    <row r="652" spans="10:10">
      <c r="J652" s="172"/>
    </row>
    <row r="653" spans="10:10">
      <c r="J653" s="172"/>
    </row>
    <row r="654" spans="10:10">
      <c r="J654" s="172"/>
    </row>
    <row r="655" spans="10:10">
      <c r="J655" s="172"/>
    </row>
    <row r="656" spans="10:10">
      <c r="J656" s="172"/>
    </row>
    <row r="657" spans="10:10">
      <c r="J657" s="172"/>
    </row>
    <row r="658" spans="10:10">
      <c r="J658" s="172"/>
    </row>
    <row r="659" spans="10:10">
      <c r="J659" s="172"/>
    </row>
    <row r="660" spans="10:10">
      <c r="J660" s="172"/>
    </row>
    <row r="661" spans="10:10">
      <c r="J661" s="172"/>
    </row>
    <row r="662" spans="10:10">
      <c r="J662" s="172"/>
    </row>
    <row r="663" spans="10:10">
      <c r="J663" s="172"/>
    </row>
    <row r="664" spans="10:10">
      <c r="J664" s="172"/>
    </row>
    <row r="665" spans="10:10">
      <c r="J665" s="172"/>
    </row>
    <row r="666" spans="10:10">
      <c r="J666" s="172"/>
    </row>
    <row r="667" spans="10:10">
      <c r="J667" s="172"/>
    </row>
    <row r="668" spans="10:10">
      <c r="J668" s="172"/>
    </row>
    <row r="669" spans="10:10">
      <c r="J669" s="172"/>
    </row>
    <row r="670" spans="10:10">
      <c r="J670" s="172"/>
    </row>
    <row r="671" spans="10:10">
      <c r="J671" s="172"/>
    </row>
    <row r="672" spans="10:10">
      <c r="J672" s="172"/>
    </row>
    <row r="673" spans="10:10">
      <c r="J673" s="172"/>
    </row>
    <row r="674" spans="10:10">
      <c r="J674" s="172"/>
    </row>
    <row r="675" spans="10:10">
      <c r="J675" s="172"/>
    </row>
    <row r="676" spans="10:10">
      <c r="J676" s="172"/>
    </row>
    <row r="677" spans="10:10">
      <c r="J677" s="172"/>
    </row>
    <row r="678" spans="10:10">
      <c r="J678" s="172"/>
    </row>
    <row r="679" spans="10:10">
      <c r="J679" s="172"/>
    </row>
    <row r="680" spans="10:10">
      <c r="J680" s="172"/>
    </row>
    <row r="681" spans="10:10">
      <c r="J681" s="172"/>
    </row>
    <row r="682" spans="10:10">
      <c r="J682" s="172"/>
    </row>
    <row r="683" spans="10:10">
      <c r="J683" s="172"/>
    </row>
    <row r="684" spans="10:10">
      <c r="J684" s="172"/>
    </row>
    <row r="685" spans="10:10">
      <c r="J685" s="172"/>
    </row>
    <row r="686" spans="10:10">
      <c r="J686" s="172"/>
    </row>
    <row r="687" spans="10:10">
      <c r="J687" s="172"/>
    </row>
    <row r="688" spans="10:10">
      <c r="J688" s="172"/>
    </row>
    <row r="689" spans="10:10">
      <c r="J689" s="172"/>
    </row>
    <row r="690" spans="10:10">
      <c r="J690" s="172"/>
    </row>
    <row r="691" spans="10:10">
      <c r="J691" s="172"/>
    </row>
    <row r="692" spans="10:10">
      <c r="J692" s="172"/>
    </row>
    <row r="693" spans="10:10">
      <c r="J693" s="172"/>
    </row>
    <row r="694" spans="10:10">
      <c r="J694" s="172"/>
    </row>
    <row r="695" spans="10:10">
      <c r="J695" s="172"/>
    </row>
    <row r="696" spans="10:10">
      <c r="J696" s="172"/>
    </row>
    <row r="697" spans="10:10">
      <c r="J697" s="172"/>
    </row>
    <row r="698" spans="10:10">
      <c r="J698" s="172"/>
    </row>
    <row r="699" spans="10:10">
      <c r="J699" s="172"/>
    </row>
    <row r="700" spans="10:10">
      <c r="J700" s="172"/>
    </row>
    <row r="701" spans="10:10">
      <c r="J701" s="172"/>
    </row>
    <row r="702" spans="10:10">
      <c r="J702" s="172"/>
    </row>
    <row r="703" spans="10:10">
      <c r="J703" s="172"/>
    </row>
    <row r="704" spans="10:10">
      <c r="J704" s="172"/>
    </row>
    <row r="705" spans="10:10">
      <c r="J705" s="172"/>
    </row>
    <row r="706" spans="10:10">
      <c r="J706" s="172"/>
    </row>
    <row r="707" spans="10:10">
      <c r="J707" s="172"/>
    </row>
    <row r="708" spans="10:10">
      <c r="J708" s="172"/>
    </row>
    <row r="709" spans="10:10">
      <c r="J709" s="172"/>
    </row>
    <row r="710" spans="10:10">
      <c r="J710" s="172"/>
    </row>
    <row r="711" spans="10:10">
      <c r="J711" s="172"/>
    </row>
    <row r="712" spans="10:10">
      <c r="J712" s="172"/>
    </row>
    <row r="713" spans="10:10">
      <c r="J713" s="172"/>
    </row>
    <row r="714" spans="10:10">
      <c r="J714" s="172"/>
    </row>
    <row r="715" spans="10:10">
      <c r="J715" s="172"/>
    </row>
    <row r="716" spans="10:10">
      <c r="J716" s="172"/>
    </row>
    <row r="717" spans="10:10">
      <c r="J717" s="172"/>
    </row>
    <row r="718" spans="10:10">
      <c r="J718" s="172"/>
    </row>
    <row r="719" spans="10:10">
      <c r="J719" s="172"/>
    </row>
    <row r="720" spans="10:10">
      <c r="J720" s="172"/>
    </row>
    <row r="721" spans="10:10">
      <c r="J721" s="172"/>
    </row>
    <row r="722" spans="10:10">
      <c r="J722" s="172"/>
    </row>
    <row r="723" spans="10:10">
      <c r="J723" s="172"/>
    </row>
    <row r="724" spans="10:10">
      <c r="J724" s="172"/>
    </row>
    <row r="725" spans="10:10">
      <c r="J725" s="172"/>
    </row>
    <row r="726" spans="10:10">
      <c r="J726" s="172"/>
    </row>
    <row r="727" spans="10:10">
      <c r="J727" s="172"/>
    </row>
    <row r="728" spans="10:10">
      <c r="J728" s="172"/>
    </row>
    <row r="729" spans="10:10">
      <c r="J729" s="172"/>
    </row>
    <row r="730" spans="10:10">
      <c r="J730" s="172"/>
    </row>
    <row r="731" spans="10:10">
      <c r="J731" s="172"/>
    </row>
    <row r="732" spans="10:10">
      <c r="J732" s="172"/>
    </row>
    <row r="733" spans="10:10">
      <c r="J733" s="172"/>
    </row>
    <row r="734" spans="10:10">
      <c r="J734" s="172"/>
    </row>
    <row r="735" spans="10:10">
      <c r="J735" s="172"/>
    </row>
    <row r="736" spans="10:10">
      <c r="J736" s="172"/>
    </row>
    <row r="737" spans="10:10">
      <c r="J737" s="172"/>
    </row>
    <row r="738" spans="10:10">
      <c r="J738" s="172"/>
    </row>
    <row r="739" spans="10:10">
      <c r="J739" s="172"/>
    </row>
    <row r="740" spans="10:10">
      <c r="J740" s="172"/>
    </row>
    <row r="741" spans="10:10">
      <c r="J741" s="172"/>
    </row>
    <row r="742" spans="10:10">
      <c r="J742" s="172"/>
    </row>
    <row r="743" spans="10:10">
      <c r="J743" s="172"/>
    </row>
    <row r="744" spans="10:10">
      <c r="J744" s="172"/>
    </row>
    <row r="745" spans="10:10">
      <c r="J745" s="172"/>
    </row>
    <row r="746" spans="10:10">
      <c r="J746" s="172"/>
    </row>
    <row r="747" spans="10:10">
      <c r="J747" s="172"/>
    </row>
    <row r="748" spans="10:10">
      <c r="J748" s="172"/>
    </row>
    <row r="749" spans="10:10">
      <c r="J749" s="172"/>
    </row>
    <row r="750" spans="10:10">
      <c r="J750" s="172"/>
    </row>
    <row r="751" spans="10:10">
      <c r="J751" s="172"/>
    </row>
    <row r="752" spans="10:10">
      <c r="J752" s="172"/>
    </row>
    <row r="753" spans="10:10">
      <c r="J753" s="172"/>
    </row>
    <row r="754" spans="10:10">
      <c r="J754" s="172"/>
    </row>
    <row r="755" spans="10:10">
      <c r="J755" s="172"/>
    </row>
    <row r="756" spans="10:10">
      <c r="J756" s="172"/>
    </row>
    <row r="757" spans="10:10">
      <c r="J757" s="172"/>
    </row>
    <row r="758" spans="10:10">
      <c r="J758" s="172"/>
    </row>
    <row r="759" spans="10:10">
      <c r="J759" s="172"/>
    </row>
    <row r="760" spans="10:10">
      <c r="J760" s="172"/>
    </row>
    <row r="761" spans="10:10">
      <c r="J761" s="172"/>
    </row>
    <row r="762" spans="10:10">
      <c r="J762" s="172"/>
    </row>
    <row r="763" spans="10:10">
      <c r="J763" s="172"/>
    </row>
    <row r="764" spans="10:10">
      <c r="J764" s="172"/>
    </row>
    <row r="765" spans="10:10">
      <c r="J765" s="172"/>
    </row>
    <row r="766" spans="10:10">
      <c r="J766" s="172"/>
    </row>
    <row r="767" spans="10:10">
      <c r="J767" s="172"/>
    </row>
    <row r="768" spans="10:10">
      <c r="J768" s="172"/>
    </row>
    <row r="769" spans="10:10">
      <c r="J769" s="172"/>
    </row>
    <row r="770" spans="10:10">
      <c r="J770" s="172"/>
    </row>
    <row r="771" spans="10:10">
      <c r="J771" s="172"/>
    </row>
    <row r="772" spans="10:10">
      <c r="J772" s="172"/>
    </row>
    <row r="773" spans="10:10">
      <c r="J773" s="172"/>
    </row>
    <row r="774" spans="10:10">
      <c r="J774" s="172"/>
    </row>
    <row r="775" spans="10:10">
      <c r="J775" s="172"/>
    </row>
    <row r="776" spans="10:10">
      <c r="J776" s="172"/>
    </row>
    <row r="777" spans="10:10">
      <c r="J777" s="172"/>
    </row>
    <row r="778" spans="10:10">
      <c r="J778" s="172"/>
    </row>
    <row r="779" spans="10:10">
      <c r="J779" s="172"/>
    </row>
    <row r="780" spans="10:10">
      <c r="J780" s="172"/>
    </row>
    <row r="781" spans="10:10">
      <c r="J781" s="172"/>
    </row>
    <row r="782" spans="10:10">
      <c r="J782" s="172"/>
    </row>
    <row r="783" spans="10:10">
      <c r="J783" s="172"/>
    </row>
    <row r="784" spans="10:10">
      <c r="J784" s="172"/>
    </row>
    <row r="785" spans="10:10">
      <c r="J785" s="172"/>
    </row>
    <row r="786" spans="10:10">
      <c r="J786" s="172"/>
    </row>
    <row r="787" spans="10:10">
      <c r="J787" s="172"/>
    </row>
    <row r="788" spans="10:10">
      <c r="J788" s="172"/>
    </row>
    <row r="789" spans="10:10">
      <c r="J789" s="172"/>
    </row>
    <row r="790" spans="10:10">
      <c r="J790" s="172"/>
    </row>
    <row r="791" spans="10:10">
      <c r="J791" s="172"/>
    </row>
    <row r="792" spans="10:10">
      <c r="J792" s="172"/>
    </row>
    <row r="793" spans="10:10">
      <c r="J793" s="172"/>
    </row>
    <row r="794" spans="10:10">
      <c r="J794" s="172"/>
    </row>
    <row r="795" spans="10:10">
      <c r="J795" s="172"/>
    </row>
    <row r="796" spans="10:10">
      <c r="J796" s="172"/>
    </row>
    <row r="797" spans="10:10">
      <c r="J797" s="172"/>
    </row>
    <row r="798" spans="10:10">
      <c r="J798" s="172"/>
    </row>
    <row r="799" spans="10:10">
      <c r="J799" s="172"/>
    </row>
    <row r="800" spans="10:10">
      <c r="J800" s="172"/>
    </row>
    <row r="801" spans="10:10">
      <c r="J801" s="172"/>
    </row>
    <row r="802" spans="10:10">
      <c r="J802" s="172"/>
    </row>
    <row r="803" spans="10:10">
      <c r="J803" s="172"/>
    </row>
    <row r="804" spans="10:10">
      <c r="J804" s="172"/>
    </row>
    <row r="805" spans="10:10">
      <c r="J805" s="172"/>
    </row>
    <row r="806" spans="10:10">
      <c r="J806" s="172"/>
    </row>
    <row r="807" spans="10:10">
      <c r="J807" s="172"/>
    </row>
    <row r="808" spans="10:10">
      <c r="J808" s="172"/>
    </row>
    <row r="809" spans="10:10">
      <c r="J809" s="172"/>
    </row>
    <row r="810" spans="10:10">
      <c r="J810" s="172"/>
    </row>
    <row r="811" spans="10:10">
      <c r="J811" s="172"/>
    </row>
    <row r="812" spans="10:10">
      <c r="J812" s="172"/>
    </row>
    <row r="813" spans="10:10">
      <c r="J813" s="172"/>
    </row>
    <row r="814" spans="10:10">
      <c r="J814" s="172"/>
    </row>
    <row r="815" spans="10:10">
      <c r="J815" s="172"/>
    </row>
    <row r="816" spans="10:10">
      <c r="J816" s="172"/>
    </row>
    <row r="817" spans="10:10">
      <c r="J817" s="172"/>
    </row>
    <row r="818" spans="10:10">
      <c r="J818" s="172"/>
    </row>
    <row r="819" spans="10:10">
      <c r="J819" s="172"/>
    </row>
    <row r="820" spans="10:10">
      <c r="J820" s="172"/>
    </row>
    <row r="821" spans="10:10">
      <c r="J821" s="172"/>
    </row>
    <row r="822" spans="10:10">
      <c r="J822" s="172"/>
    </row>
    <row r="823" spans="10:10">
      <c r="J823" s="172"/>
    </row>
    <row r="824" spans="10:10">
      <c r="J824" s="172"/>
    </row>
    <row r="825" spans="10:10">
      <c r="J825" s="172"/>
    </row>
    <row r="826" spans="10:10">
      <c r="J826" s="172"/>
    </row>
    <row r="827" spans="10:10">
      <c r="J827" s="172"/>
    </row>
    <row r="828" spans="10:10">
      <c r="J828" s="172"/>
    </row>
    <row r="829" spans="10:10">
      <c r="J829" s="172"/>
    </row>
    <row r="830" spans="10:10">
      <c r="J830" s="172"/>
    </row>
    <row r="831" spans="10:10">
      <c r="J831" s="172"/>
    </row>
    <row r="832" spans="10:10">
      <c r="J832" s="172"/>
    </row>
    <row r="833" spans="10:10">
      <c r="J833" s="172"/>
    </row>
    <row r="834" spans="10:10">
      <c r="J834" s="172"/>
    </row>
    <row r="835" spans="10:10">
      <c r="J835" s="172"/>
    </row>
    <row r="836" spans="10:10">
      <c r="J836" s="172"/>
    </row>
    <row r="837" spans="10:10">
      <c r="J837" s="172"/>
    </row>
    <row r="838" spans="10:10">
      <c r="J838" s="172"/>
    </row>
    <row r="839" spans="10:10">
      <c r="J839" s="172"/>
    </row>
    <row r="840" spans="10:10">
      <c r="J840" s="172"/>
    </row>
    <row r="841" spans="10:10">
      <c r="J841" s="172"/>
    </row>
    <row r="842" spans="10:10">
      <c r="J842" s="172"/>
    </row>
    <row r="843" spans="10:10">
      <c r="J843" s="172"/>
    </row>
    <row r="844" spans="10:10">
      <c r="J844" s="172"/>
    </row>
    <row r="845" spans="10:10">
      <c r="J845" s="172"/>
    </row>
    <row r="846" spans="10:10">
      <c r="J846" s="172"/>
    </row>
    <row r="847" spans="10:10">
      <c r="J847" s="172"/>
    </row>
    <row r="848" spans="10:10">
      <c r="J848" s="172"/>
    </row>
    <row r="849" spans="10:10">
      <c r="J849" s="172"/>
    </row>
    <row r="850" spans="10:10">
      <c r="J850" s="172"/>
    </row>
    <row r="851" spans="10:10">
      <c r="J851" s="172"/>
    </row>
    <row r="852" spans="10:10">
      <c r="J852" s="172"/>
    </row>
    <row r="853" spans="10:10">
      <c r="J853" s="172"/>
    </row>
    <row r="854" spans="10:10">
      <c r="J854" s="172"/>
    </row>
    <row r="855" spans="10:10">
      <c r="J855" s="172"/>
    </row>
    <row r="856" spans="10:10">
      <c r="J856" s="172"/>
    </row>
    <row r="857" spans="10:10">
      <c r="J857" s="172"/>
    </row>
    <row r="858" spans="10:10">
      <c r="J858" s="172"/>
    </row>
    <row r="859" spans="10:10">
      <c r="J859" s="172"/>
    </row>
    <row r="860" spans="10:10">
      <c r="J860" s="172"/>
    </row>
    <row r="861" spans="10:10">
      <c r="J861" s="172"/>
    </row>
    <row r="862" spans="10:10">
      <c r="J862" s="172"/>
    </row>
    <row r="863" spans="10:10">
      <c r="J863" s="172"/>
    </row>
    <row r="864" spans="10:10">
      <c r="J864" s="172"/>
    </row>
    <row r="865" spans="10:10">
      <c r="J865" s="172"/>
    </row>
    <row r="866" spans="10:10">
      <c r="J866" s="172"/>
    </row>
    <row r="867" spans="10:10">
      <c r="J867" s="172"/>
    </row>
    <row r="868" spans="10:10">
      <c r="J868" s="172"/>
    </row>
    <row r="869" spans="10:10">
      <c r="J869" s="172"/>
    </row>
    <row r="870" spans="10:10">
      <c r="J870" s="172"/>
    </row>
    <row r="871" spans="10:10">
      <c r="J871" s="172"/>
    </row>
    <row r="872" spans="10:10">
      <c r="J872" s="172"/>
    </row>
    <row r="873" spans="10:10">
      <c r="J873" s="172"/>
    </row>
    <row r="874" spans="10:10">
      <c r="J874" s="172"/>
    </row>
    <row r="875" spans="10:10">
      <c r="J875" s="172"/>
    </row>
    <row r="876" spans="10:10">
      <c r="J876" s="172"/>
    </row>
    <row r="877" spans="10:10">
      <c r="J877" s="172"/>
    </row>
    <row r="878" spans="10:10">
      <c r="J878" s="172"/>
    </row>
    <row r="879" spans="10:10">
      <c r="J879" s="172"/>
    </row>
    <row r="880" spans="10:10">
      <c r="J880" s="172"/>
    </row>
    <row r="881" spans="10:10">
      <c r="J881" s="172"/>
    </row>
    <row r="882" spans="10:10">
      <c r="J882" s="172"/>
    </row>
    <row r="883" spans="10:10">
      <c r="J883" s="172"/>
    </row>
    <row r="884" spans="10:10">
      <c r="J884" s="172"/>
    </row>
    <row r="885" spans="10:10">
      <c r="J885" s="172"/>
    </row>
    <row r="886" spans="10:10">
      <c r="J886" s="172"/>
    </row>
    <row r="887" spans="10:10">
      <c r="J887" s="172"/>
    </row>
    <row r="888" spans="10:10">
      <c r="J888" s="172"/>
    </row>
    <row r="889" spans="10:10">
      <c r="J889" s="172"/>
    </row>
    <row r="890" spans="10:10">
      <c r="J890" s="172"/>
    </row>
    <row r="891" spans="10:10">
      <c r="J891" s="172"/>
    </row>
    <row r="892" spans="10:10">
      <c r="J892" s="172"/>
    </row>
    <row r="893" spans="10:10">
      <c r="J893" s="172"/>
    </row>
    <row r="894" spans="10:10">
      <c r="J894" s="172"/>
    </row>
    <row r="895" spans="10:10">
      <c r="J895" s="172"/>
    </row>
    <row r="896" spans="10:10">
      <c r="J896" s="172"/>
    </row>
    <row r="897" spans="10:10">
      <c r="J897" s="172"/>
    </row>
    <row r="898" spans="10:10">
      <c r="J898" s="172"/>
    </row>
    <row r="899" spans="10:10">
      <c r="J899" s="172"/>
    </row>
    <row r="900" spans="10:10">
      <c r="J900" s="172"/>
    </row>
    <row r="901" spans="10:10">
      <c r="J901" s="172"/>
    </row>
    <row r="902" spans="10:10">
      <c r="J902" s="172"/>
    </row>
    <row r="903" spans="10:10">
      <c r="J903" s="172"/>
    </row>
    <row r="904" spans="10:10">
      <c r="J904" s="172"/>
    </row>
    <row r="905" spans="10:10">
      <c r="J905" s="172"/>
    </row>
    <row r="906" spans="10:10">
      <c r="J906" s="172"/>
    </row>
    <row r="907" spans="10:10">
      <c r="J907" s="172"/>
    </row>
    <row r="908" spans="10:10">
      <c r="J908" s="172"/>
    </row>
    <row r="909" spans="10:10">
      <c r="J909" s="172"/>
    </row>
    <row r="910" spans="10:10">
      <c r="J910" s="172"/>
    </row>
    <row r="911" spans="10:10">
      <c r="J911" s="172"/>
    </row>
    <row r="912" spans="10:10">
      <c r="J912" s="172"/>
    </row>
    <row r="913" spans="10:10">
      <c r="J913" s="172"/>
    </row>
    <row r="914" spans="10:10">
      <c r="J914" s="172"/>
    </row>
    <row r="915" spans="10:10">
      <c r="J915" s="172"/>
    </row>
    <row r="916" spans="10:10">
      <c r="J916" s="172"/>
    </row>
    <row r="917" spans="10:10">
      <c r="J917" s="172"/>
    </row>
    <row r="918" spans="10:10">
      <c r="J918" s="172"/>
    </row>
    <row r="919" spans="10:10">
      <c r="J919" s="172"/>
    </row>
    <row r="920" spans="10:10">
      <c r="J920" s="172"/>
    </row>
    <row r="921" spans="10:10">
      <c r="J921" s="172"/>
    </row>
    <row r="922" spans="10:10">
      <c r="J922" s="172"/>
    </row>
    <row r="923" spans="10:10">
      <c r="J923" s="172"/>
    </row>
    <row r="924" spans="10:10">
      <c r="J924" s="172"/>
    </row>
    <row r="925" spans="10:10">
      <c r="J925" s="172"/>
    </row>
    <row r="926" spans="10:10">
      <c r="J926" s="172"/>
    </row>
    <row r="927" spans="10:10">
      <c r="J927" s="172"/>
    </row>
    <row r="928" spans="10:10">
      <c r="J928" s="172"/>
    </row>
    <row r="929" spans="10:10">
      <c r="J929" s="172"/>
    </row>
    <row r="930" spans="10:10">
      <c r="J930" s="172"/>
    </row>
    <row r="931" spans="10:10">
      <c r="J931" s="172"/>
    </row>
    <row r="932" spans="10:10">
      <c r="J932" s="172"/>
    </row>
    <row r="933" spans="10:10">
      <c r="J933" s="172"/>
    </row>
    <row r="934" spans="10:10">
      <c r="J934" s="172"/>
    </row>
    <row r="935" spans="10:10">
      <c r="J935" s="172"/>
    </row>
    <row r="936" spans="10:10">
      <c r="J936" s="172"/>
    </row>
    <row r="937" spans="10:10">
      <c r="J937" s="172"/>
    </row>
    <row r="938" spans="10:10">
      <c r="J938" s="172"/>
    </row>
    <row r="939" spans="10:10">
      <c r="J939" s="172"/>
    </row>
    <row r="940" spans="10:10">
      <c r="J940" s="172"/>
    </row>
    <row r="941" spans="10:10">
      <c r="J941" s="172"/>
    </row>
    <row r="942" spans="10:10">
      <c r="J942" s="172"/>
    </row>
    <row r="943" spans="10:10">
      <c r="J943" s="172"/>
    </row>
    <row r="944" spans="10:10">
      <c r="J944" s="172"/>
    </row>
    <row r="945" spans="10:10">
      <c r="J945" s="172"/>
    </row>
    <row r="946" spans="10:10">
      <c r="J946" s="172"/>
    </row>
    <row r="947" spans="10:10">
      <c r="J947" s="172"/>
    </row>
    <row r="948" spans="10:10">
      <c r="J948" s="172"/>
    </row>
    <row r="949" spans="10:10">
      <c r="J949" s="172"/>
    </row>
    <row r="950" spans="10:10">
      <c r="J950" s="172"/>
    </row>
    <row r="951" spans="10:10">
      <c r="J951" s="172"/>
    </row>
    <row r="952" spans="10:10">
      <c r="J952" s="172"/>
    </row>
    <row r="953" spans="10:10">
      <c r="J953" s="172"/>
    </row>
    <row r="954" spans="10:10">
      <c r="J954" s="172"/>
    </row>
    <row r="955" spans="10:10">
      <c r="J955" s="172"/>
    </row>
    <row r="956" spans="10:10">
      <c r="J956" s="172"/>
    </row>
    <row r="957" spans="10:10">
      <c r="J957" s="172"/>
    </row>
    <row r="958" spans="10:10">
      <c r="J958" s="172"/>
    </row>
    <row r="959" spans="10:10">
      <c r="J959" s="172"/>
    </row>
    <row r="960" spans="10:10">
      <c r="J960" s="172"/>
    </row>
    <row r="961" spans="10:10">
      <c r="J961" s="172"/>
    </row>
    <row r="962" spans="10:10">
      <c r="J962" s="172"/>
    </row>
    <row r="963" spans="10:10">
      <c r="J963" s="172"/>
    </row>
    <row r="964" spans="10:10">
      <c r="J964" s="172"/>
    </row>
    <row r="965" spans="10:10">
      <c r="J965" s="172"/>
    </row>
    <row r="966" spans="10:10">
      <c r="J966" s="172"/>
    </row>
    <row r="967" spans="10:10">
      <c r="J967" s="172"/>
    </row>
    <row r="968" spans="10:10">
      <c r="J968" s="172"/>
    </row>
    <row r="969" spans="10:10">
      <c r="J969" s="172"/>
    </row>
    <row r="970" spans="10:10">
      <c r="J970" s="172"/>
    </row>
    <row r="971" spans="10:10">
      <c r="J971" s="172"/>
    </row>
    <row r="972" spans="10:10">
      <c r="J972" s="172"/>
    </row>
    <row r="973" spans="10:10">
      <c r="J973" s="172"/>
    </row>
    <row r="974" spans="10:10">
      <c r="J974" s="172"/>
    </row>
    <row r="975" spans="10:10">
      <c r="J975" s="172"/>
    </row>
    <row r="976" spans="10:10">
      <c r="J976" s="172"/>
    </row>
    <row r="977" spans="10:10">
      <c r="J977" s="172"/>
    </row>
    <row r="978" spans="10:10">
      <c r="J978" s="172"/>
    </row>
    <row r="979" spans="10:10">
      <c r="J979" s="172"/>
    </row>
    <row r="980" spans="10:10">
      <c r="J980" s="172"/>
    </row>
    <row r="981" spans="10:10">
      <c r="J981" s="172"/>
    </row>
    <row r="982" spans="10:10">
      <c r="J982" s="172"/>
    </row>
    <row r="983" spans="10:10">
      <c r="J983" s="172"/>
    </row>
    <row r="984" spans="10:10">
      <c r="J984" s="172"/>
    </row>
    <row r="985" spans="10:10">
      <c r="J985" s="172"/>
    </row>
    <row r="986" spans="10:10">
      <c r="J986" s="172"/>
    </row>
    <row r="987" spans="10:10">
      <c r="J987" s="172"/>
    </row>
    <row r="988" spans="10:10">
      <c r="J988" s="172"/>
    </row>
    <row r="989" spans="10:10">
      <c r="J989" s="172"/>
    </row>
    <row r="990" spans="10:10">
      <c r="J990" s="172"/>
    </row>
    <row r="991" spans="10:10">
      <c r="J991" s="172"/>
    </row>
    <row r="992" spans="10:10">
      <c r="J992" s="172"/>
    </row>
    <row r="993" spans="10:10">
      <c r="J993" s="172"/>
    </row>
    <row r="994" spans="10:10">
      <c r="J994" s="172"/>
    </row>
    <row r="995" spans="10:10">
      <c r="J995" s="172"/>
    </row>
    <row r="996" spans="10:10">
      <c r="J996" s="172"/>
    </row>
    <row r="997" spans="10:10">
      <c r="J997" s="172"/>
    </row>
    <row r="998" spans="10:10">
      <c r="J998" s="172"/>
    </row>
    <row r="999" spans="10:10">
      <c r="J999" s="172"/>
    </row>
    <row r="1000" spans="10:10">
      <c r="J1000" s="172"/>
    </row>
    <row r="1001" spans="10:10">
      <c r="J1001" s="172"/>
    </row>
    <row r="1002" spans="10:10">
      <c r="J1002" s="172"/>
    </row>
    <row r="1003" spans="10:10">
      <c r="J1003" s="172"/>
    </row>
    <row r="1004" spans="10:10">
      <c r="J1004" s="172"/>
    </row>
    <row r="1005" spans="10:10">
      <c r="J1005" s="172"/>
    </row>
    <row r="1006" spans="10:10">
      <c r="J1006" s="172"/>
    </row>
    <row r="1007" spans="10:10">
      <c r="J1007" s="172"/>
    </row>
    <row r="1008" spans="10:10">
      <c r="J1008" s="172"/>
    </row>
    <row r="1009" spans="10:10">
      <c r="J1009" s="172"/>
    </row>
    <row r="1010" spans="10:10">
      <c r="J1010" s="172"/>
    </row>
    <row r="1011" spans="10:10">
      <c r="J1011" s="172"/>
    </row>
    <row r="1012" spans="10:10">
      <c r="J1012" s="172"/>
    </row>
    <row r="1013" spans="10:10">
      <c r="J1013" s="172"/>
    </row>
    <row r="1014" spans="10:10">
      <c r="J1014" s="172"/>
    </row>
    <row r="1015" spans="10:10">
      <c r="J1015" s="172"/>
    </row>
    <row r="1016" spans="10:10">
      <c r="J1016" s="172"/>
    </row>
    <row r="1017" spans="10:10">
      <c r="J1017" s="172"/>
    </row>
    <row r="1018" spans="10:10">
      <c r="J1018" s="172"/>
    </row>
    <row r="1019" spans="10:10">
      <c r="J1019" s="172"/>
    </row>
    <row r="1020" spans="10:10">
      <c r="J1020" s="172"/>
    </row>
    <row r="1021" spans="10:10">
      <c r="J1021" s="172"/>
    </row>
    <row r="1022" spans="10:10">
      <c r="J1022" s="172"/>
    </row>
    <row r="1023" spans="10:10">
      <c r="J1023" s="172"/>
    </row>
    <row r="1024" spans="10:10">
      <c r="J1024" s="172"/>
    </row>
    <row r="1025" spans="10:10">
      <c r="J1025" s="172"/>
    </row>
    <row r="1026" spans="10:10">
      <c r="J1026" s="172"/>
    </row>
    <row r="1027" spans="10:10">
      <c r="J1027" s="172"/>
    </row>
    <row r="1028" spans="10:10">
      <c r="J1028" s="172"/>
    </row>
    <row r="1029" spans="10:10">
      <c r="J1029" s="172"/>
    </row>
    <row r="1030" spans="10:10">
      <c r="J1030" s="172"/>
    </row>
    <row r="1031" spans="10:10">
      <c r="J1031" s="172"/>
    </row>
    <row r="1032" spans="10:10">
      <c r="J1032" s="172"/>
    </row>
    <row r="1033" spans="10:10">
      <c r="J1033" s="172"/>
    </row>
    <row r="1034" spans="10:10">
      <c r="J1034" s="172"/>
    </row>
    <row r="1035" spans="10:10">
      <c r="J1035" s="172"/>
    </row>
    <row r="1036" spans="10:10">
      <c r="J1036" s="172"/>
    </row>
    <row r="1037" spans="10:10">
      <c r="J1037" s="172"/>
    </row>
    <row r="1038" spans="10:10">
      <c r="J1038" s="172"/>
    </row>
    <row r="1039" spans="10:10">
      <c r="J1039" s="172"/>
    </row>
    <row r="1040" spans="10:10">
      <c r="J1040" s="172"/>
    </row>
    <row r="1041" spans="10:10">
      <c r="J1041" s="172"/>
    </row>
    <row r="1042" spans="10:10">
      <c r="J1042" s="172"/>
    </row>
    <row r="1043" spans="10:10">
      <c r="J1043" s="172"/>
    </row>
    <row r="1044" spans="10:10">
      <c r="J1044" s="172"/>
    </row>
    <row r="1045" spans="10:10">
      <c r="J1045" s="172"/>
    </row>
    <row r="1046" spans="10:10">
      <c r="J1046" s="172"/>
    </row>
    <row r="1047" spans="10:10">
      <c r="J1047" s="172"/>
    </row>
    <row r="1048" spans="10:10">
      <c r="J1048" s="172"/>
    </row>
    <row r="1049" spans="10:10">
      <c r="J1049" s="172"/>
    </row>
    <row r="1050" spans="10:10">
      <c r="J1050" s="172"/>
    </row>
    <row r="1051" spans="10:10">
      <c r="J1051" s="172"/>
    </row>
    <row r="1052" spans="10:10">
      <c r="J1052" s="172"/>
    </row>
    <row r="1053" spans="10:10">
      <c r="J1053" s="172"/>
    </row>
    <row r="1054" spans="10:10">
      <c r="J1054" s="172"/>
    </row>
    <row r="1055" spans="10:10">
      <c r="J1055" s="172"/>
    </row>
    <row r="1056" spans="10:10">
      <c r="J1056" s="172"/>
    </row>
    <row r="1057" spans="10:10">
      <c r="J1057" s="172"/>
    </row>
    <row r="1058" spans="10:10">
      <c r="J1058" s="172"/>
    </row>
    <row r="1059" spans="10:10">
      <c r="J1059" s="172"/>
    </row>
    <row r="1060" spans="10:10">
      <c r="J1060" s="172"/>
    </row>
    <row r="1061" spans="10:10">
      <c r="J1061" s="172"/>
    </row>
    <row r="1062" spans="10:10">
      <c r="J1062" s="172"/>
    </row>
    <row r="1063" spans="10:10">
      <c r="J1063" s="172"/>
    </row>
    <row r="1064" spans="10:10">
      <c r="J1064" s="172"/>
    </row>
    <row r="1065" spans="10:10">
      <c r="J1065" s="172"/>
    </row>
    <row r="1066" spans="10:10">
      <c r="J1066" s="172"/>
    </row>
    <row r="1067" spans="10:10">
      <c r="J1067" s="172"/>
    </row>
    <row r="1068" spans="10:10">
      <c r="J1068" s="172"/>
    </row>
    <row r="1069" spans="10:10">
      <c r="J1069" s="172"/>
    </row>
    <row r="1070" spans="10:10">
      <c r="J1070" s="172"/>
    </row>
    <row r="1071" spans="10:10">
      <c r="J1071" s="172"/>
    </row>
    <row r="1072" spans="10:10">
      <c r="J1072" s="172"/>
    </row>
    <row r="1073" spans="10:10">
      <c r="J1073" s="172"/>
    </row>
    <row r="1074" spans="10:10">
      <c r="J1074" s="172"/>
    </row>
    <row r="1075" spans="10:10">
      <c r="J1075" s="172"/>
    </row>
    <row r="1076" spans="10:10">
      <c r="J1076" s="172"/>
    </row>
    <row r="1077" spans="10:10">
      <c r="J1077" s="172"/>
    </row>
    <row r="1078" spans="10:10">
      <c r="J1078" s="172"/>
    </row>
    <row r="1079" spans="10:10">
      <c r="J1079" s="172"/>
    </row>
    <row r="1080" spans="10:10">
      <c r="J1080" s="172"/>
    </row>
    <row r="1081" spans="10:10">
      <c r="J1081" s="172"/>
    </row>
    <row r="1082" spans="10:10">
      <c r="J1082" s="172"/>
    </row>
    <row r="1083" spans="10:10">
      <c r="J1083" s="172"/>
    </row>
    <row r="1084" spans="10:10">
      <c r="J1084" s="172"/>
    </row>
    <row r="1085" spans="10:10">
      <c r="J1085" s="172"/>
    </row>
    <row r="1086" spans="10:10">
      <c r="J1086" s="172"/>
    </row>
    <row r="1087" spans="10:10">
      <c r="J1087" s="172"/>
    </row>
    <row r="1088" spans="10:10">
      <c r="J1088" s="172"/>
    </row>
    <row r="1089" spans="10:10">
      <c r="J1089" s="172"/>
    </row>
    <row r="1090" spans="10:10">
      <c r="J1090" s="172"/>
    </row>
    <row r="1091" spans="10:10">
      <c r="J1091" s="172"/>
    </row>
    <row r="1092" spans="10:10">
      <c r="J1092" s="172"/>
    </row>
    <row r="1093" spans="10:10">
      <c r="J1093" s="172"/>
    </row>
    <row r="1094" spans="10:10">
      <c r="J1094" s="172"/>
    </row>
    <row r="1095" spans="10:10">
      <c r="J1095" s="172"/>
    </row>
    <row r="1096" spans="10:10">
      <c r="J1096" s="172"/>
    </row>
    <row r="1097" spans="10:10">
      <c r="J1097" s="172"/>
    </row>
    <row r="1098" spans="10:10">
      <c r="J1098" s="172"/>
    </row>
    <row r="1099" spans="10:10">
      <c r="J1099" s="172"/>
    </row>
    <row r="1100" spans="10:10">
      <c r="J1100" s="172"/>
    </row>
    <row r="1101" spans="10:10">
      <c r="J1101" s="172"/>
    </row>
    <row r="1102" spans="10:10">
      <c r="J1102" s="172"/>
    </row>
    <row r="1103" spans="10:10">
      <c r="J1103" s="172"/>
    </row>
    <row r="1104" spans="10:10">
      <c r="J1104" s="172"/>
    </row>
    <row r="1105" spans="10:10">
      <c r="J1105" s="172"/>
    </row>
    <row r="1106" spans="10:10">
      <c r="J1106" s="172"/>
    </row>
    <row r="1107" spans="10:10">
      <c r="J1107" s="172"/>
    </row>
    <row r="1108" spans="10:10">
      <c r="J1108" s="172"/>
    </row>
    <row r="1109" spans="10:10">
      <c r="J1109" s="172"/>
    </row>
    <row r="1110" spans="10:10">
      <c r="J1110" s="172"/>
    </row>
    <row r="1111" spans="10:10">
      <c r="J1111" s="172"/>
    </row>
    <row r="1112" spans="10:10">
      <c r="J1112" s="172"/>
    </row>
    <row r="1113" spans="10:10">
      <c r="J1113" s="172"/>
    </row>
    <row r="1114" spans="10:10">
      <c r="J1114" s="172"/>
    </row>
    <row r="1115" spans="10:10">
      <c r="J1115" s="172"/>
    </row>
    <row r="1116" spans="10:10">
      <c r="J1116" s="172"/>
    </row>
    <row r="1117" spans="10:10">
      <c r="J1117" s="172"/>
    </row>
    <row r="1118" spans="10:10">
      <c r="J1118" s="172"/>
    </row>
    <row r="1119" spans="10:10">
      <c r="J1119" s="172"/>
    </row>
    <row r="1120" spans="10:10">
      <c r="J1120" s="172"/>
    </row>
    <row r="1121" spans="10:10">
      <c r="J1121" s="172"/>
    </row>
    <row r="1122" spans="10:10">
      <c r="J1122" s="172"/>
    </row>
    <row r="1123" spans="10:10">
      <c r="J1123" s="172"/>
    </row>
    <row r="1124" spans="10:10">
      <c r="J1124" s="172"/>
    </row>
    <row r="1125" spans="10:10">
      <c r="J1125" s="172"/>
    </row>
    <row r="1126" spans="10:10">
      <c r="J1126" s="172"/>
    </row>
    <row r="1127" spans="10:10">
      <c r="J1127" s="172"/>
    </row>
    <row r="1128" spans="10:10">
      <c r="J1128" s="172"/>
    </row>
    <row r="1129" spans="10:10">
      <c r="J1129" s="172"/>
    </row>
    <row r="1130" spans="10:10">
      <c r="J1130" s="172"/>
    </row>
    <row r="1131" spans="10:10">
      <c r="J1131" s="172"/>
    </row>
    <row r="1132" spans="10:10">
      <c r="J1132" s="172"/>
    </row>
    <row r="1133" spans="10:10">
      <c r="J1133" s="172"/>
    </row>
    <row r="1134" spans="10:10">
      <c r="J1134" s="172"/>
    </row>
    <row r="1135" spans="10:10">
      <c r="J1135" s="172"/>
    </row>
    <row r="1136" spans="10:10">
      <c r="J1136" s="172"/>
    </row>
    <row r="1137" spans="10:10">
      <c r="J1137" s="172"/>
    </row>
    <row r="1138" spans="10:10">
      <c r="J1138" s="172"/>
    </row>
    <row r="1139" spans="10:10">
      <c r="J1139" s="172"/>
    </row>
    <row r="1140" spans="10:10">
      <c r="J1140" s="172"/>
    </row>
    <row r="1141" spans="10:10">
      <c r="J1141" s="172"/>
    </row>
    <row r="1142" spans="10:10">
      <c r="J1142" s="172"/>
    </row>
    <row r="1143" spans="10:10">
      <c r="J1143" s="172"/>
    </row>
    <row r="1144" spans="10:10">
      <c r="J1144" s="172"/>
    </row>
    <row r="1145" spans="10:10">
      <c r="J1145" s="172"/>
    </row>
    <row r="1146" spans="10:10">
      <c r="J1146" s="172"/>
    </row>
    <row r="1147" spans="10:10">
      <c r="J1147" s="172"/>
    </row>
    <row r="1148" spans="10:10">
      <c r="J1148" s="172"/>
    </row>
    <row r="1149" spans="10:10">
      <c r="J1149" s="172"/>
    </row>
    <row r="1150" spans="10:10">
      <c r="J1150" s="172"/>
    </row>
    <row r="1151" spans="10:10">
      <c r="J1151" s="172"/>
    </row>
    <row r="1152" spans="10:10">
      <c r="J1152" s="172"/>
    </row>
    <row r="1153" spans="10:10">
      <c r="J1153" s="172"/>
    </row>
    <row r="1154" spans="10:10">
      <c r="J1154" s="172"/>
    </row>
    <row r="1155" spans="10:10">
      <c r="J1155" s="172"/>
    </row>
    <row r="1156" spans="10:10">
      <c r="J1156" s="172"/>
    </row>
    <row r="1157" spans="10:10">
      <c r="J1157" s="172"/>
    </row>
    <row r="1158" spans="10:10">
      <c r="J1158" s="172"/>
    </row>
    <row r="1159" spans="10:10">
      <c r="J1159" s="172"/>
    </row>
    <row r="1160" spans="10:10">
      <c r="J1160" s="172"/>
    </row>
    <row r="1161" spans="10:10">
      <c r="J1161" s="172"/>
    </row>
    <row r="1162" spans="10:10">
      <c r="J1162" s="172"/>
    </row>
    <row r="1163" spans="10:10">
      <c r="J1163" s="172"/>
    </row>
    <row r="1164" spans="10:10">
      <c r="J1164" s="172"/>
    </row>
    <row r="1165" spans="10:10">
      <c r="J1165" s="172"/>
    </row>
    <row r="1166" spans="10:10">
      <c r="J1166" s="172"/>
    </row>
    <row r="1167" spans="10:10">
      <c r="J1167" s="172"/>
    </row>
    <row r="1168" spans="10:10">
      <c r="J1168" s="172"/>
    </row>
    <row r="1169" spans="10:10">
      <c r="J1169" s="172"/>
    </row>
    <row r="1170" spans="10:10">
      <c r="J1170" s="172"/>
    </row>
    <row r="1171" spans="10:10">
      <c r="J1171" s="172"/>
    </row>
    <row r="1172" spans="10:10">
      <c r="J1172" s="172"/>
    </row>
    <row r="1173" spans="10:10">
      <c r="J1173" s="172"/>
    </row>
    <row r="1174" spans="10:10">
      <c r="J1174" s="172"/>
    </row>
    <row r="1175" spans="10:10">
      <c r="J1175" s="172"/>
    </row>
    <row r="1176" spans="10:10">
      <c r="J1176" s="172"/>
    </row>
    <row r="1177" spans="10:10">
      <c r="J1177" s="172"/>
    </row>
    <row r="1178" spans="10:10">
      <c r="J1178" s="172"/>
    </row>
    <row r="1179" spans="10:10">
      <c r="J1179" s="172"/>
    </row>
    <row r="1180" spans="10:10">
      <c r="J1180" s="172"/>
    </row>
    <row r="1181" spans="10:10">
      <c r="J1181" s="172"/>
    </row>
    <row r="1182" spans="10:10">
      <c r="J1182" s="172"/>
    </row>
    <row r="1183" spans="10:10">
      <c r="J1183" s="172"/>
    </row>
    <row r="1184" spans="10:10">
      <c r="J1184" s="172"/>
    </row>
    <row r="1185" spans="10:10">
      <c r="J1185" s="172"/>
    </row>
    <row r="1186" spans="10:10">
      <c r="J1186" s="172"/>
    </row>
    <row r="1187" spans="10:10">
      <c r="J1187" s="172"/>
    </row>
    <row r="1188" spans="10:10">
      <c r="J1188" s="172"/>
    </row>
    <row r="1189" spans="10:10">
      <c r="J1189" s="172"/>
    </row>
    <row r="1190" spans="10:10">
      <c r="J1190" s="172"/>
    </row>
    <row r="1191" spans="10:10">
      <c r="J1191" s="172"/>
    </row>
    <row r="1192" spans="10:10">
      <c r="J1192" s="172"/>
    </row>
    <row r="1193" spans="10:10">
      <c r="J1193" s="172"/>
    </row>
    <row r="1194" spans="10:10">
      <c r="J1194" s="172"/>
    </row>
    <row r="1195" spans="10:10">
      <c r="J1195" s="172"/>
    </row>
    <row r="1196" spans="10:10">
      <c r="J1196" s="172"/>
    </row>
    <row r="1197" spans="10:10">
      <c r="J1197" s="172"/>
    </row>
    <row r="1198" spans="10:10">
      <c r="J1198" s="172"/>
    </row>
    <row r="1199" spans="10:10">
      <c r="J1199" s="172"/>
    </row>
    <row r="1200" spans="10:10">
      <c r="J1200" s="172"/>
    </row>
    <row r="1201" spans="10:10">
      <c r="J1201" s="172"/>
    </row>
    <row r="1202" spans="10:10">
      <c r="J1202" s="172"/>
    </row>
    <row r="1203" spans="10:10">
      <c r="J1203" s="172"/>
    </row>
    <row r="1204" spans="10:10">
      <c r="J1204" s="172"/>
    </row>
    <row r="1205" spans="10:10">
      <c r="J1205" s="172"/>
    </row>
    <row r="1206" spans="10:10">
      <c r="J1206" s="172"/>
    </row>
    <row r="1207" spans="10:10">
      <c r="J1207" s="172"/>
    </row>
    <row r="1208" spans="10:10">
      <c r="J1208" s="172"/>
    </row>
    <row r="1209" spans="10:10">
      <c r="J1209" s="172"/>
    </row>
    <row r="1210" spans="10:10">
      <c r="J1210" s="172"/>
    </row>
    <row r="1211" spans="10:10">
      <c r="J1211" s="172"/>
    </row>
    <row r="1212" spans="10:10">
      <c r="J1212" s="172"/>
    </row>
    <row r="1213" spans="10:10">
      <c r="J1213" s="172"/>
    </row>
    <row r="1214" spans="10:10">
      <c r="J1214" s="172"/>
    </row>
    <row r="1215" spans="10:10">
      <c r="J1215" s="172"/>
    </row>
    <row r="1216" spans="10:10">
      <c r="J1216" s="172"/>
    </row>
    <row r="1217" spans="10:10">
      <c r="J1217" s="172"/>
    </row>
    <row r="1218" spans="10:10">
      <c r="J1218" s="172"/>
    </row>
    <row r="1219" spans="10:10">
      <c r="J1219" s="172"/>
    </row>
    <row r="1220" spans="10:10">
      <c r="J1220" s="172"/>
    </row>
    <row r="1221" spans="10:10">
      <c r="J1221" s="172"/>
    </row>
    <row r="1222" spans="10:10">
      <c r="J1222" s="172"/>
    </row>
    <row r="1223" spans="10:10">
      <c r="J1223" s="172"/>
    </row>
    <row r="1224" spans="10:10">
      <c r="J1224" s="172"/>
    </row>
    <row r="1225" spans="10:10">
      <c r="J1225" s="172"/>
    </row>
    <row r="1226" spans="10:10">
      <c r="J1226" s="172"/>
    </row>
    <row r="1227" spans="10:10">
      <c r="J1227" s="172"/>
    </row>
    <row r="1228" spans="10:10">
      <c r="J1228" s="172"/>
    </row>
    <row r="1229" spans="10:10">
      <c r="J1229" s="172"/>
    </row>
    <row r="1230" spans="10:10">
      <c r="J1230" s="172"/>
    </row>
    <row r="1231" spans="10:10">
      <c r="J1231" s="172"/>
    </row>
    <row r="1232" spans="10:10">
      <c r="J1232" s="172"/>
    </row>
    <row r="1233" spans="10:10">
      <c r="J1233" s="172"/>
    </row>
    <row r="1234" spans="10:10">
      <c r="J1234" s="172"/>
    </row>
    <row r="1235" spans="10:10">
      <c r="J1235" s="172"/>
    </row>
    <row r="1236" spans="10:10">
      <c r="J1236" s="172"/>
    </row>
    <row r="1237" spans="10:10">
      <c r="J1237" s="172"/>
    </row>
    <row r="1238" spans="10:10">
      <c r="J1238" s="172"/>
    </row>
    <row r="1239" spans="10:10">
      <c r="J1239" s="172"/>
    </row>
    <row r="1240" spans="10:10">
      <c r="J1240" s="172"/>
    </row>
    <row r="1241" spans="10:10">
      <c r="J1241" s="172"/>
    </row>
    <row r="1242" spans="10:10">
      <c r="J1242" s="172"/>
    </row>
    <row r="1243" spans="10:10">
      <c r="J1243" s="172"/>
    </row>
    <row r="1244" spans="10:10">
      <c r="J1244" s="172"/>
    </row>
    <row r="1245" spans="10:10">
      <c r="J1245" s="172"/>
    </row>
    <row r="1246" spans="10:10">
      <c r="J1246" s="172"/>
    </row>
    <row r="1247" spans="10:10">
      <c r="J1247" s="172"/>
    </row>
    <row r="1248" spans="10:10">
      <c r="J1248" s="172"/>
    </row>
    <row r="1249" spans="10:10">
      <c r="J1249" s="172"/>
    </row>
    <row r="1250" spans="10:10">
      <c r="J1250" s="172"/>
    </row>
    <row r="1251" spans="10:10">
      <c r="J1251" s="172"/>
    </row>
    <row r="1252" spans="10:10">
      <c r="J1252" s="172"/>
    </row>
    <row r="1253" spans="10:10">
      <c r="J1253" s="172"/>
    </row>
    <row r="1254" spans="10:10">
      <c r="J1254" s="172"/>
    </row>
    <row r="1255" spans="10:10">
      <c r="J1255" s="172"/>
    </row>
    <row r="1256" spans="10:10">
      <c r="J1256" s="172"/>
    </row>
    <row r="1257" spans="10:10">
      <c r="J1257" s="172"/>
    </row>
    <row r="1258" spans="10:10">
      <c r="J1258" s="172"/>
    </row>
    <row r="1259" spans="10:10">
      <c r="J1259" s="172"/>
    </row>
    <row r="1260" spans="10:10">
      <c r="J1260" s="172"/>
    </row>
    <row r="1261" spans="10:10">
      <c r="J1261" s="172"/>
    </row>
    <row r="1262" spans="10:10">
      <c r="J1262" s="172"/>
    </row>
    <row r="1263" spans="10:10">
      <c r="J1263" s="172"/>
    </row>
    <row r="1264" spans="10:10">
      <c r="J1264" s="172"/>
    </row>
    <row r="1265" spans="10:10">
      <c r="J1265" s="172"/>
    </row>
    <row r="1266" spans="10:10">
      <c r="J1266" s="172"/>
    </row>
    <row r="1267" spans="10:10">
      <c r="J1267" s="172"/>
    </row>
    <row r="1268" spans="10:10">
      <c r="J1268" s="172"/>
    </row>
    <row r="1269" spans="10:10">
      <c r="J1269" s="172"/>
    </row>
    <row r="1270" spans="10:10">
      <c r="J1270" s="172"/>
    </row>
    <row r="1271" spans="10:10">
      <c r="J1271" s="172"/>
    </row>
    <row r="1272" spans="10:10">
      <c r="J1272" s="172"/>
    </row>
    <row r="1273" spans="10:10">
      <c r="J1273" s="172"/>
    </row>
    <row r="1274" spans="10:10">
      <c r="J1274" s="172"/>
    </row>
    <row r="1275" spans="10:10">
      <c r="J1275" s="172"/>
    </row>
    <row r="1276" spans="10:10">
      <c r="J1276" s="172"/>
    </row>
    <row r="1277" spans="10:10">
      <c r="J1277" s="172"/>
    </row>
    <row r="1278" spans="10:10">
      <c r="J1278" s="172"/>
    </row>
    <row r="1279" spans="10:10">
      <c r="J1279" s="172"/>
    </row>
    <row r="1280" spans="10:10">
      <c r="J1280" s="172"/>
    </row>
    <row r="1281" spans="10:10">
      <c r="J1281" s="172"/>
    </row>
    <row r="1282" spans="10:10">
      <c r="J1282" s="172"/>
    </row>
    <row r="1283" spans="10:10">
      <c r="J1283" s="172"/>
    </row>
    <row r="1284" spans="10:10">
      <c r="J1284" s="172"/>
    </row>
    <row r="1285" spans="10:10">
      <c r="J1285" s="172"/>
    </row>
    <row r="1286" spans="10:10">
      <c r="J1286" s="172"/>
    </row>
    <row r="1287" spans="10:10">
      <c r="J1287" s="172"/>
    </row>
    <row r="1288" spans="10:10">
      <c r="J1288" s="172"/>
    </row>
    <row r="1289" spans="10:10">
      <c r="J1289" s="172"/>
    </row>
    <row r="1290" spans="10:10">
      <c r="J1290" s="172"/>
    </row>
    <row r="1291" spans="10:10">
      <c r="J1291" s="172"/>
    </row>
    <row r="1292" spans="10:10">
      <c r="J1292" s="172"/>
    </row>
    <row r="1293" spans="10:10">
      <c r="J1293" s="172"/>
    </row>
    <row r="1294" spans="10:10">
      <c r="J1294" s="172"/>
    </row>
    <row r="1295" spans="10:10">
      <c r="J1295" s="172"/>
    </row>
    <row r="1296" spans="10:10">
      <c r="J1296" s="172"/>
    </row>
    <row r="1297" spans="10:10">
      <c r="J1297" s="172"/>
    </row>
    <row r="1298" spans="10:10">
      <c r="J1298" s="172"/>
    </row>
    <row r="1299" spans="10:10">
      <c r="J1299" s="172"/>
    </row>
    <row r="1300" spans="10:10">
      <c r="J1300" s="172"/>
    </row>
    <row r="1301" spans="10:10">
      <c r="J1301" s="172"/>
    </row>
    <row r="1302" spans="10:10">
      <c r="J1302" s="172"/>
    </row>
    <row r="1303" spans="10:10">
      <c r="J1303" s="172"/>
    </row>
    <row r="1304" spans="10:10">
      <c r="J1304" s="172"/>
    </row>
    <row r="1305" spans="10:10">
      <c r="J1305" s="172"/>
    </row>
    <row r="1306" spans="10:10">
      <c r="J1306" s="172"/>
    </row>
    <row r="1307" spans="10:10">
      <c r="J1307" s="172"/>
    </row>
    <row r="1308" spans="10:10">
      <c r="J1308" s="172"/>
    </row>
    <row r="1309" spans="10:10">
      <c r="J1309" s="172"/>
    </row>
    <row r="1310" spans="10:10">
      <c r="J1310" s="172"/>
    </row>
    <row r="1311" spans="10:10">
      <c r="J1311" s="172"/>
    </row>
    <row r="1312" spans="10:10">
      <c r="J1312" s="172"/>
    </row>
    <row r="1313" spans="10:10">
      <c r="J1313" s="172"/>
    </row>
    <row r="1314" spans="10:10">
      <c r="J1314" s="172"/>
    </row>
    <row r="1315" spans="10:10">
      <c r="J1315" s="172"/>
    </row>
    <row r="1316" spans="10:10">
      <c r="J1316" s="172"/>
    </row>
    <row r="1317" spans="10:10">
      <c r="J1317" s="172"/>
    </row>
    <row r="1318" spans="10:10">
      <c r="J1318" s="172"/>
    </row>
    <row r="1319" spans="10:10">
      <c r="J1319" s="172"/>
    </row>
    <row r="1320" spans="10:10">
      <c r="J1320" s="172"/>
    </row>
    <row r="1321" spans="10:10">
      <c r="J1321" s="172"/>
    </row>
    <row r="1322" spans="10:10">
      <c r="J1322" s="172"/>
    </row>
    <row r="1323" spans="10:10">
      <c r="J1323" s="172"/>
    </row>
    <row r="1324" spans="10:10">
      <c r="J1324" s="172"/>
    </row>
    <row r="1325" spans="10:10">
      <c r="J1325" s="172"/>
    </row>
    <row r="1326" spans="10:10">
      <c r="J1326" s="172"/>
    </row>
    <row r="1327" spans="10:10">
      <c r="J1327" s="172"/>
    </row>
    <row r="1328" spans="10:10">
      <c r="J1328" s="172"/>
    </row>
    <row r="1329" spans="10:10">
      <c r="J1329" s="172"/>
    </row>
    <row r="1330" spans="10:10">
      <c r="J1330" s="172"/>
    </row>
    <row r="1331" spans="10:10">
      <c r="J1331" s="172"/>
    </row>
    <row r="1332" spans="10:10">
      <c r="J1332" s="172"/>
    </row>
    <row r="1333" spans="10:10">
      <c r="J1333" s="172"/>
    </row>
    <row r="1334" spans="10:10">
      <c r="J1334" s="172"/>
    </row>
    <row r="1335" spans="10:10">
      <c r="J1335" s="172"/>
    </row>
    <row r="1336" spans="10:10">
      <c r="J1336" s="172"/>
    </row>
    <row r="1337" spans="10:10">
      <c r="J1337" s="172"/>
    </row>
    <row r="1338" spans="10:10">
      <c r="J1338" s="172"/>
    </row>
    <row r="1339" spans="10:10">
      <c r="J1339" s="172"/>
    </row>
    <row r="1340" spans="10:10">
      <c r="J1340" s="172"/>
    </row>
    <row r="1341" spans="10:10">
      <c r="J1341" s="172"/>
    </row>
    <row r="1342" spans="10:10">
      <c r="J1342" s="172"/>
    </row>
    <row r="1343" spans="10:10">
      <c r="J1343" s="172"/>
    </row>
    <row r="1344" spans="10:10">
      <c r="J1344" s="172"/>
    </row>
    <row r="1345" spans="10:10">
      <c r="J1345" s="172"/>
    </row>
    <row r="1346" spans="10:10">
      <c r="J1346" s="172"/>
    </row>
    <row r="1347" spans="10:10">
      <c r="J1347" s="172"/>
    </row>
    <row r="1348" spans="10:10">
      <c r="J1348" s="172"/>
    </row>
    <row r="1349" spans="10:10">
      <c r="J1349" s="172"/>
    </row>
    <row r="1350" spans="10:10">
      <c r="J1350" s="172"/>
    </row>
    <row r="1351" spans="10:10">
      <c r="J1351" s="172"/>
    </row>
    <row r="1352" spans="10:10">
      <c r="J1352" s="172"/>
    </row>
    <row r="1353" spans="10:10">
      <c r="J1353" s="172"/>
    </row>
    <row r="1354" spans="10:10">
      <c r="J1354" s="172"/>
    </row>
    <row r="1355" spans="10:10">
      <c r="J1355" s="172"/>
    </row>
    <row r="1356" spans="10:10">
      <c r="J1356" s="172"/>
    </row>
    <row r="1357" spans="10:10">
      <c r="J1357" s="172"/>
    </row>
    <row r="1358" spans="10:10">
      <c r="J1358" s="172"/>
    </row>
    <row r="1359" spans="10:10">
      <c r="J1359" s="172"/>
    </row>
    <row r="1360" spans="10:10">
      <c r="J1360" s="172"/>
    </row>
    <row r="1361" spans="10:10">
      <c r="J1361" s="172"/>
    </row>
    <row r="1362" spans="10:10">
      <c r="J1362" s="172"/>
    </row>
    <row r="1363" spans="10:10">
      <c r="J1363" s="172"/>
    </row>
    <row r="1364" spans="10:10">
      <c r="J1364" s="172"/>
    </row>
    <row r="1365" spans="10:10">
      <c r="J1365" s="172"/>
    </row>
    <row r="1366" spans="10:10">
      <c r="J1366" s="172"/>
    </row>
    <row r="1367" spans="10:10">
      <c r="J1367" s="172"/>
    </row>
    <row r="1368" spans="10:10">
      <c r="J1368" s="172"/>
    </row>
    <row r="1369" spans="10:10">
      <c r="J1369" s="172"/>
    </row>
    <row r="1370" spans="10:10">
      <c r="J1370" s="172"/>
    </row>
    <row r="1371" spans="10:10">
      <c r="J1371" s="172"/>
    </row>
    <row r="1372" spans="10:10">
      <c r="J1372" s="172"/>
    </row>
    <row r="1373" spans="10:10">
      <c r="J1373" s="172"/>
    </row>
    <row r="1374" spans="10:10">
      <c r="J1374" s="172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4" sqref="I14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223</v>
      </c>
      <c r="C2" s="72" t="str">
        <f>Well!D4</f>
        <v>송악읍 신평로 1469</v>
      </c>
      <c r="D2" s="72" t="str">
        <f>Well!E4</f>
        <v>동부제철사원아파트</v>
      </c>
      <c r="H2" s="283"/>
      <c r="I2" s="283"/>
      <c r="J2" s="283"/>
      <c r="K2" s="283"/>
      <c r="L2" s="283"/>
    </row>
    <row r="3" spans="1:12" ht="26.1" customHeight="1">
      <c r="B3" s="73" t="s">
        <v>65</v>
      </c>
      <c r="C3" s="74" t="str">
        <f>Well!C4</f>
        <v>1-1</v>
      </c>
      <c r="D3" s="284" t="s">
        <v>66</v>
      </c>
      <c r="E3" s="116" t="s">
        <v>152</v>
      </c>
      <c r="F3" s="77" t="s">
        <v>141</v>
      </c>
      <c r="G3" s="73" t="s">
        <v>67</v>
      </c>
      <c r="H3" s="283"/>
      <c r="I3" s="276" t="s">
        <v>304</v>
      </c>
      <c r="J3" s="277">
        <v>1.7975000143051147</v>
      </c>
      <c r="K3" s="280">
        <f>ROUND(J3,4)</f>
        <v>1.7975000000000001</v>
      </c>
      <c r="L3" s="283"/>
    </row>
    <row r="4" spans="1:12" ht="26.1" customHeight="1">
      <c r="B4" s="78" t="s">
        <v>68</v>
      </c>
      <c r="C4" s="79" t="str">
        <f>Well!R4</f>
        <v>0, 0, 0</v>
      </c>
      <c r="D4" s="285" t="s">
        <v>69</v>
      </c>
      <c r="E4" s="287">
        <v>0</v>
      </c>
      <c r="F4" s="82"/>
      <c r="G4" s="83"/>
      <c r="H4" s="283"/>
      <c r="I4" s="275" t="s">
        <v>305</v>
      </c>
      <c r="J4" s="274">
        <v>88</v>
      </c>
      <c r="K4" s="281">
        <f>ROUND(J4,1)</f>
        <v>88</v>
      </c>
      <c r="L4" s="283"/>
    </row>
    <row r="5" spans="1:12" ht="26.1" customHeight="1">
      <c r="B5" s="78" t="s">
        <v>70</v>
      </c>
      <c r="C5" s="79" t="str">
        <f>Well!Q4</f>
        <v>0, 0, 0</v>
      </c>
      <c r="D5" s="285" t="s">
        <v>71</v>
      </c>
      <c r="E5" s="288">
        <v>1.8280000000000001</v>
      </c>
      <c r="F5" s="157">
        <f>$E$5/$C$14</f>
        <v>1.5623931623931624E-2</v>
      </c>
      <c r="G5" s="83">
        <v>7.6559999999999996E-4</v>
      </c>
      <c r="H5" s="283"/>
      <c r="I5" s="275" t="s">
        <v>153</v>
      </c>
      <c r="J5" s="274">
        <v>313</v>
      </c>
      <c r="K5" s="281">
        <f>ROUND(J5,1)</f>
        <v>313</v>
      </c>
      <c r="L5" s="283"/>
    </row>
    <row r="6" spans="1:12" ht="26.1" customHeight="1" thickBot="1">
      <c r="B6" s="78" t="s">
        <v>72</v>
      </c>
      <c r="C6" s="118" t="str">
        <f>Well!D4</f>
        <v>송악읍 신평로 1469</v>
      </c>
      <c r="D6" s="285" t="s">
        <v>74</v>
      </c>
      <c r="E6" s="287">
        <v>1.698</v>
      </c>
      <c r="F6" s="157">
        <f>$E$6/$C$14</f>
        <v>1.4512820512820513E-2</v>
      </c>
      <c r="G6" s="83" t="s">
        <v>75</v>
      </c>
      <c r="H6" s="283"/>
      <c r="I6" s="278" t="s">
        <v>306</v>
      </c>
      <c r="J6" s="279">
        <v>9.0620238333940506E-3</v>
      </c>
      <c r="K6" s="282">
        <f>ROUND(J6,4)</f>
        <v>9.1000000000000004E-3</v>
      </c>
      <c r="L6" s="283"/>
    </row>
    <row r="7" spans="1:12" ht="26.1" customHeight="1" thickBot="1">
      <c r="B7" s="78" t="s">
        <v>73</v>
      </c>
      <c r="C7" s="78">
        <f>Well!H4</f>
        <v>129</v>
      </c>
      <c r="D7" s="286" t="s">
        <v>77</v>
      </c>
      <c r="E7" s="289">
        <f>(E5+E6)/2</f>
        <v>1.7629999999999999</v>
      </c>
      <c r="F7" s="158">
        <f>$E$7/$C$14</f>
        <v>1.5068376068376068E-2</v>
      </c>
      <c r="G7" s="154">
        <f>G5</f>
        <v>7.6559999999999996E-4</v>
      </c>
    </row>
    <row r="8" spans="1:12" ht="26.1" customHeight="1" thickBot="1">
      <c r="B8" s="78" t="s">
        <v>76</v>
      </c>
      <c r="C8" s="78">
        <f>Well!G4</f>
        <v>200</v>
      </c>
    </row>
    <row r="9" spans="1:12" ht="26.1" customHeight="1" thickBot="1">
      <c r="B9" s="78" t="s">
        <v>78</v>
      </c>
      <c r="C9" s="78">
        <f>C10+C11</f>
        <v>12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65.900000000000006</v>
      </c>
      <c r="F10" s="89">
        <v>80.8</v>
      </c>
      <c r="G10" s="90">
        <v>68.900000000000006</v>
      </c>
      <c r="H10" s="91"/>
      <c r="I10" s="92"/>
    </row>
    <row r="11" spans="1:12" ht="26.1" customHeight="1" thickBot="1">
      <c r="B11" s="78" t="s">
        <v>81</v>
      </c>
      <c r="C11" s="79">
        <v>8</v>
      </c>
      <c r="D11" s="134" t="s">
        <v>82</v>
      </c>
      <c r="E11" s="176">
        <f>ROUND(AVERAGE(E10:G10),1)</f>
        <v>71.900000000000006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117</v>
      </c>
      <c r="H12" s="95"/>
      <c r="J12" s="177" t="s">
        <v>153</v>
      </c>
      <c r="K12" s="178">
        <v>135</v>
      </c>
      <c r="L12" s="235">
        <f>K12+180</f>
        <v>315</v>
      </c>
    </row>
    <row r="13" spans="1:12" ht="26.1" customHeight="1">
      <c r="A13" s="93">
        <f>C10+C11+C12+C13</f>
        <v>129</v>
      </c>
      <c r="B13" s="78" t="s">
        <v>84</v>
      </c>
      <c r="C13" s="79"/>
      <c r="E13" s="246" t="str">
        <f>Well!E4</f>
        <v>동부제철사원아파트</v>
      </c>
      <c r="H13" s="96"/>
      <c r="J13" s="162" t="s">
        <v>145</v>
      </c>
      <c r="K13" s="163">
        <v>778</v>
      </c>
      <c r="L13" s="179"/>
    </row>
    <row r="14" spans="1:12" ht="26.1" customHeight="1">
      <c r="B14" s="78" t="s">
        <v>85</v>
      </c>
      <c r="C14" s="159">
        <f>C7-IF(C20&gt;C9,C20,C9)</f>
        <v>117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Well!I4</f>
        <v>240</v>
      </c>
      <c r="E15" s="237" t="s">
        <v>215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Well!J4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10.5</v>
      </c>
      <c r="L16" s="179"/>
    </row>
    <row r="17" spans="2:12" ht="26.1" customHeight="1" thickBot="1">
      <c r="B17" s="78" t="s">
        <v>88</v>
      </c>
      <c r="C17" s="78">
        <f>Well!L4</f>
        <v>5</v>
      </c>
      <c r="E17" s="99">
        <f>Well!P4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5.5</v>
      </c>
      <c r="L17" s="179"/>
    </row>
    <row r="18" spans="2:12" ht="26.1" customHeight="1" thickBot="1">
      <c r="B18" s="78" t="s">
        <v>89</v>
      </c>
      <c r="C18" s="78">
        <f>Well!M4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7.0694087403598968E-3</v>
      </c>
      <c r="L18" s="180">
        <f>K18*100</f>
        <v>0.70694087403598971</v>
      </c>
    </row>
    <row r="19" spans="2:12" ht="26.1" customHeight="1" thickBot="1">
      <c r="B19" s="98" t="s">
        <v>93</v>
      </c>
      <c r="C19" s="98">
        <f>Well!N4</f>
        <v>50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49.7</v>
      </c>
      <c r="D21" s="93"/>
      <c r="E21" s="103">
        <f>Well!I4</f>
        <v>240</v>
      </c>
      <c r="F21" s="104">
        <f>Well!O4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134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0.70694087403598971</v>
      </c>
      <c r="I26" s="149" t="s">
        <v>191</v>
      </c>
      <c r="J26" s="149">
        <f>(E7/C14)/864</f>
        <v>1.7440250079138969E-5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8</xdr:col>
                <xdr:colOff>66675</xdr:colOff>
                <xdr:row>8</xdr:row>
                <xdr:rowOff>133350</xdr:rowOff>
              </from>
              <to>
                <xdr:col>9</xdr:col>
                <xdr:colOff>1152525</xdr:colOff>
                <xdr:row>9</xdr:row>
                <xdr:rowOff>228600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8</xdr:col>
                <xdr:colOff>76200</xdr:colOff>
                <xdr:row>6</xdr:row>
                <xdr:rowOff>257175</xdr:rowOff>
              </from>
              <to>
                <xdr:col>9</xdr:col>
                <xdr:colOff>1152525</xdr:colOff>
                <xdr:row>8</xdr:row>
                <xdr:rowOff>28575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autoPict="0" r:id="rId9">
            <anchor moveWithCells="1">
              <from>
                <xdr:col>8</xdr:col>
                <xdr:colOff>104775</xdr:colOff>
                <xdr:row>10</xdr:row>
                <xdr:rowOff>47625</xdr:rowOff>
              </from>
              <to>
                <xdr:col>8</xdr:col>
                <xdr:colOff>1628775</xdr:colOff>
                <xdr:row>11</xdr:row>
                <xdr:rowOff>142875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224</v>
      </c>
      <c r="C2" s="72" t="str">
        <f>Well!D5</f>
        <v>송악읍 신평로 1469</v>
      </c>
      <c r="D2" s="72" t="str">
        <f>Well!E5</f>
        <v>동부제철사원아파트</v>
      </c>
    </row>
    <row r="3" spans="1:12" ht="26.1" customHeight="1">
      <c r="B3" s="73" t="s">
        <v>6</v>
      </c>
      <c r="C3" s="74" t="str">
        <f>Well!C5</f>
        <v>1-2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Well!R5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Well!Q5</f>
        <v>0, 0, 0</v>
      </c>
      <c r="D5" s="80" t="s">
        <v>71</v>
      </c>
      <c r="E5" s="156">
        <v>1.9419999999999999</v>
      </c>
      <c r="F5" s="157">
        <f>$E$5/$C$14</f>
        <v>3.2915254237288132E-2</v>
      </c>
      <c r="G5" s="83">
        <v>7.5630000000000001E-4</v>
      </c>
    </row>
    <row r="6" spans="1:12" ht="26.1" customHeight="1">
      <c r="B6" s="78" t="s">
        <v>72</v>
      </c>
      <c r="C6" s="118" t="str">
        <f>Well!D5</f>
        <v>송악읍 신평로 1469</v>
      </c>
      <c r="D6" s="80" t="s">
        <v>74</v>
      </c>
      <c r="E6" s="81">
        <v>1.722</v>
      </c>
      <c r="F6" s="157">
        <f>$E$6/$C$14</f>
        <v>2.9186440677966101E-2</v>
      </c>
      <c r="G6" s="83" t="s">
        <v>75</v>
      </c>
    </row>
    <row r="7" spans="1:12" ht="26.1" customHeight="1" thickBot="1">
      <c r="B7" s="78" t="s">
        <v>73</v>
      </c>
      <c r="C7" s="78">
        <f>Well!H5</f>
        <v>72</v>
      </c>
      <c r="D7" s="154" t="s">
        <v>77</v>
      </c>
      <c r="E7" s="155">
        <f>(E5+E6)/2</f>
        <v>1.8319999999999999</v>
      </c>
      <c r="F7" s="158">
        <f>$E$7/$C$14</f>
        <v>3.1050847457627116E-2</v>
      </c>
      <c r="G7" s="154">
        <f>G5</f>
        <v>7.5630000000000001E-4</v>
      </c>
      <c r="J7" s="72">
        <f>F7*100</f>
        <v>3.1050847457627118</v>
      </c>
    </row>
    <row r="8" spans="1:12" ht="26.1" customHeight="1" thickBot="1">
      <c r="B8" s="78" t="s">
        <v>76</v>
      </c>
      <c r="C8" s="78">
        <f>Well!G5</f>
        <v>200</v>
      </c>
      <c r="J8" s="72">
        <f>J7/24/60/60</f>
        <v>3.5938480853735092E-5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96.1</v>
      </c>
      <c r="F10" s="89">
        <v>117.7</v>
      </c>
      <c r="G10" s="90">
        <v>72.3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59</v>
      </c>
      <c r="H12" s="248">
        <f>(E7+'1'!E7)/2</f>
        <v>1.7974999999999999</v>
      </c>
      <c r="J12" s="177" t="s">
        <v>153</v>
      </c>
      <c r="K12" s="178">
        <v>131</v>
      </c>
      <c r="L12" s="235">
        <f>K12+180</f>
        <v>311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Well!E4</f>
        <v>동부제철사원아파트</v>
      </c>
      <c r="H13" s="96">
        <f>(C14+'1'!C14)/2</f>
        <v>88</v>
      </c>
      <c r="J13" s="162" t="s">
        <v>145</v>
      </c>
      <c r="K13" s="163">
        <v>787</v>
      </c>
      <c r="L13" s="179"/>
    </row>
    <row r="14" spans="1:12" ht="26.1" customHeight="1">
      <c r="B14" s="78" t="s">
        <v>85</v>
      </c>
      <c r="C14" s="159">
        <f>C7-IF(C20&gt;C9,C20,C9)</f>
        <v>59</v>
      </c>
      <c r="H14" s="96"/>
      <c r="J14" s="164" t="s">
        <v>146</v>
      </c>
      <c r="K14" s="165">
        <v>23</v>
      </c>
      <c r="L14" s="179"/>
    </row>
    <row r="15" spans="1:12" ht="26.1" customHeight="1" thickBot="1">
      <c r="B15" s="78" t="s">
        <v>86</v>
      </c>
      <c r="C15" s="78">
        <f>Well!I5</f>
        <v>240</v>
      </c>
      <c r="E15" s="238" t="s">
        <v>231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Well!J5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</v>
      </c>
      <c r="L16" s="179"/>
    </row>
    <row r="17" spans="2:12" ht="26.1" customHeight="1" thickBot="1">
      <c r="B17" s="78" t="s">
        <v>88</v>
      </c>
      <c r="C17" s="78">
        <f>Well!L5</f>
        <v>5</v>
      </c>
      <c r="E17" s="99">
        <f>Well!P5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8.6999999999999993</v>
      </c>
      <c r="L17" s="179"/>
    </row>
    <row r="18" spans="2:12" ht="26.1" customHeight="1" thickBot="1">
      <c r="B18" s="78" t="s">
        <v>89</v>
      </c>
      <c r="C18" s="78">
        <f>Well!M5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1.1054637865311308E-2</v>
      </c>
      <c r="L18" s="180">
        <f>K18*100</f>
        <v>1.1054637865311308</v>
      </c>
    </row>
    <row r="19" spans="2:12" ht="26.1" customHeight="1" thickBot="1">
      <c r="B19" s="98" t="s">
        <v>93</v>
      </c>
      <c r="C19" s="98">
        <f>Well!N5</f>
        <v>40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  <c r="K19" s="72">
        <f>(K18+'1'!K18)/2</f>
        <v>9.0620233028356027E-3</v>
      </c>
    </row>
    <row r="20" spans="2:12" ht="26.1" customHeight="1">
      <c r="B20" s="100" t="s">
        <v>94</v>
      </c>
      <c r="C20" s="101">
        <v>9.3000000000000007</v>
      </c>
      <c r="D20" s="93"/>
      <c r="E20" s="116" t="s">
        <v>112</v>
      </c>
      <c r="F20" s="117" t="s">
        <v>95</v>
      </c>
      <c r="G20" s="115" t="s">
        <v>96</v>
      </c>
      <c r="K20" s="250">
        <f>(L12+'1'!L12)/2</f>
        <v>313</v>
      </c>
    </row>
    <row r="21" spans="2:12" ht="26.1" customHeight="1" thickBot="1">
      <c r="B21" s="98" t="s">
        <v>97</v>
      </c>
      <c r="C21" s="102">
        <v>48.4</v>
      </c>
      <c r="D21" s="93"/>
      <c r="E21" s="103">
        <f>Well!I5</f>
        <v>240</v>
      </c>
      <c r="F21" s="104">
        <f>Well!O5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9.3000000000000007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1.1054637865311308</v>
      </c>
      <c r="I26" s="149" t="s">
        <v>191</v>
      </c>
      <c r="J26" s="149">
        <f>(E7/C14)/864</f>
        <v>3.5938480853735085E-5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B1"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Well!D6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Well!C6</f>
        <v>2-1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2.0610001087188721</v>
      </c>
      <c r="K3" s="280">
        <f>ROUND(J3,4)</f>
        <v>2.0609999999999999</v>
      </c>
    </row>
    <row r="4" spans="1:12" ht="26.1" customHeight="1">
      <c r="B4" s="78" t="s">
        <v>68</v>
      </c>
      <c r="C4" s="79" t="str">
        <f>Well!R6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80</v>
      </c>
      <c r="K4" s="281">
        <f>ROUND(J4,1)</f>
        <v>80</v>
      </c>
    </row>
    <row r="5" spans="1:12" ht="26.1" customHeight="1">
      <c r="B5" s="78" t="s">
        <v>70</v>
      </c>
      <c r="C5" s="79" t="str">
        <f>Well!Q6</f>
        <v>0, 0, 0</v>
      </c>
      <c r="D5" s="80" t="s">
        <v>71</v>
      </c>
      <c r="E5" s="156">
        <v>1.849</v>
      </c>
      <c r="F5" s="157">
        <f>$E$5/$C$14</f>
        <v>2.2277108433734941E-2</v>
      </c>
      <c r="G5" s="83">
        <v>8.1039999999999997E-4</v>
      </c>
      <c r="I5" s="275" t="s">
        <v>153</v>
      </c>
      <c r="J5" s="274">
        <v>30.333333969116211</v>
      </c>
      <c r="K5" s="281">
        <f>ROUND(J5,1)</f>
        <v>30.3</v>
      </c>
    </row>
    <row r="6" spans="1:12" ht="26.1" customHeight="1" thickBot="1">
      <c r="B6" s="78" t="s">
        <v>72</v>
      </c>
      <c r="C6" s="118" t="str">
        <f>Well!D6</f>
        <v>송산로 809</v>
      </c>
      <c r="D6" s="80" t="s">
        <v>74</v>
      </c>
      <c r="E6" s="81">
        <v>1.7869999999999999</v>
      </c>
      <c r="F6" s="157">
        <f>$E$6/$C$14</f>
        <v>2.1530120481927709E-2</v>
      </c>
      <c r="G6" s="83" t="s">
        <v>75</v>
      </c>
      <c r="I6" s="278" t="s">
        <v>306</v>
      </c>
      <c r="J6" s="279">
        <v>3.2021740917116404E-3</v>
      </c>
      <c r="K6" s="282">
        <f>ROUND(J6,4)</f>
        <v>3.2000000000000002E-3</v>
      </c>
    </row>
    <row r="7" spans="1:12" ht="26.1" customHeight="1" thickBot="1">
      <c r="B7" s="78" t="s">
        <v>73</v>
      </c>
      <c r="C7" s="78">
        <f>Well!H6</f>
        <v>96</v>
      </c>
      <c r="D7" s="154" t="s">
        <v>77</v>
      </c>
      <c r="E7" s="155">
        <f>(E5+E6)/2</f>
        <v>1.8180000000000001</v>
      </c>
      <c r="F7" s="158">
        <f>$E$7/$C$14</f>
        <v>2.1903614457831327E-2</v>
      </c>
      <c r="G7" s="154">
        <f>G5</f>
        <v>8.1039999999999997E-4</v>
      </c>
    </row>
    <row r="8" spans="1:12" ht="26.1" customHeight="1" thickBot="1">
      <c r="B8" s="78" t="s">
        <v>76</v>
      </c>
      <c r="C8" s="78">
        <f>Well!G6</f>
        <v>200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76.400000000000006</v>
      </c>
      <c r="F10" s="89">
        <v>93.5</v>
      </c>
      <c r="G10" s="90">
        <v>68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79.3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Well!E6</f>
        <v>중명아파트(송산)</v>
      </c>
      <c r="H13" s="96"/>
      <c r="J13" s="162" t="s">
        <v>145</v>
      </c>
      <c r="K13" s="163">
        <v>2559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24</v>
      </c>
      <c r="L14" s="179"/>
    </row>
    <row r="15" spans="1:12" ht="26.1" customHeight="1" thickBot="1">
      <c r="B15" s="78" t="s">
        <v>86</v>
      </c>
      <c r="C15" s="78">
        <f>Well!I6</f>
        <v>390</v>
      </c>
      <c r="E15" s="237" t="s">
        <v>247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Well!J6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14.4</v>
      </c>
      <c r="L16" s="179"/>
    </row>
    <row r="17" spans="2:12" ht="26.1" customHeight="1" thickBot="1">
      <c r="B17" s="78" t="s">
        <v>88</v>
      </c>
      <c r="C17" s="78">
        <f>Well!L6</f>
        <v>3</v>
      </c>
      <c r="E17" s="99">
        <f>Well!P6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9.4</v>
      </c>
      <c r="L17" s="179"/>
    </row>
    <row r="18" spans="2:12" ht="26.1" customHeight="1" thickBot="1">
      <c r="B18" s="78" t="s">
        <v>89</v>
      </c>
      <c r="C18" s="78">
        <f>Well!M6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3.6733098866744826E-3</v>
      </c>
      <c r="L18" s="180">
        <f>K18*100</f>
        <v>0.36733098866744823</v>
      </c>
    </row>
    <row r="19" spans="2:12" ht="26.1" customHeight="1" thickBot="1">
      <c r="B19" s="98" t="s">
        <v>93</v>
      </c>
      <c r="C19" s="98">
        <f>Well!N6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48.84</v>
      </c>
      <c r="D21" s="93"/>
      <c r="E21" s="103">
        <f>Well!I6</f>
        <v>390</v>
      </c>
      <c r="F21" s="104">
        <f>Well!O6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9.6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0.36733098866744823</v>
      </c>
      <c r="I26" s="149" t="s">
        <v>191</v>
      </c>
      <c r="J26" s="149">
        <f>(E7/C14)/864</f>
        <v>2.5351405622489961E-5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Well!D8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Well!C8</f>
        <v>2-3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Well!R8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Well!Q8</f>
        <v>0, 0, 0</v>
      </c>
      <c r="D5" s="80" t="s">
        <v>71</v>
      </c>
      <c r="E5" s="156">
        <v>2.5960000000000001</v>
      </c>
      <c r="F5" s="157">
        <f>$E$5/$C$14</f>
        <v>3.2860759493670885E-2</v>
      </c>
      <c r="G5" s="83">
        <v>6.8389999999999998E-4</v>
      </c>
    </row>
    <row r="6" spans="1:12" ht="26.1" customHeight="1">
      <c r="B6" s="78" t="s">
        <v>72</v>
      </c>
      <c r="C6" s="118" t="str">
        <f>Well!D8</f>
        <v>송산로 809</v>
      </c>
      <c r="D6" s="80" t="s">
        <v>74</v>
      </c>
      <c r="E6" s="81">
        <v>2.504</v>
      </c>
      <c r="F6" s="157">
        <f>$E$6/$C$14</f>
        <v>3.1696202531645568E-2</v>
      </c>
      <c r="G6" s="83" t="s">
        <v>75</v>
      </c>
    </row>
    <row r="7" spans="1:12" ht="26.1" customHeight="1" thickBot="1">
      <c r="B7" s="78" t="s">
        <v>73</v>
      </c>
      <c r="C7" s="78">
        <f>Well!H8</f>
        <v>92</v>
      </c>
      <c r="D7" s="154" t="s">
        <v>77</v>
      </c>
      <c r="E7" s="155">
        <f>(E5+E6)/2</f>
        <v>2.5499999999999998</v>
      </c>
      <c r="F7" s="158">
        <f>$E$7/$C$14</f>
        <v>3.2278481012658226E-2</v>
      </c>
      <c r="G7" s="154">
        <f>G5</f>
        <v>6.8389999999999998E-4</v>
      </c>
      <c r="J7" s="72">
        <f>F7*100</f>
        <v>3.2278481012658227</v>
      </c>
    </row>
    <row r="8" spans="1:12" ht="26.1" customHeight="1" thickBot="1">
      <c r="B8" s="78" t="s">
        <v>76</v>
      </c>
      <c r="C8" s="78">
        <f>Well!G8</f>
        <v>200</v>
      </c>
      <c r="J8" s="72">
        <f>J7/24/60/60</f>
        <v>3.7359353023909983E-5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88.3</v>
      </c>
      <c r="F10" s="89">
        <v>108.2</v>
      </c>
      <c r="G10" s="90">
        <v>89.7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79</v>
      </c>
      <c r="H12" s="95"/>
      <c r="J12" s="177" t="s">
        <v>153</v>
      </c>
      <c r="K12" s="236">
        <v>31</v>
      </c>
      <c r="L12" s="206">
        <f>K12+180</f>
        <v>211</v>
      </c>
    </row>
    <row r="13" spans="1:12" ht="26.1" customHeight="1">
      <c r="A13" s="93">
        <f>C10+C11+C12+C13</f>
        <v>92</v>
      </c>
      <c r="B13" s="78" t="s">
        <v>84</v>
      </c>
      <c r="C13" s="79"/>
      <c r="E13" s="237" t="str">
        <f>Well!E8</f>
        <v>중명아파트(송산)</v>
      </c>
      <c r="H13" s="96"/>
      <c r="J13" s="162" t="s">
        <v>145</v>
      </c>
      <c r="K13" s="163">
        <v>2585</v>
      </c>
      <c r="L13" s="179"/>
    </row>
    <row r="14" spans="1:12" ht="26.1" customHeight="1">
      <c r="B14" s="78" t="s">
        <v>85</v>
      </c>
      <c r="C14" s="159">
        <f>C7-IF(C20&gt;C9,C20,C9)</f>
        <v>79</v>
      </c>
      <c r="H14" s="96"/>
      <c r="J14" s="164" t="s">
        <v>146</v>
      </c>
      <c r="K14" s="165">
        <v>26</v>
      </c>
      <c r="L14" s="179"/>
    </row>
    <row r="15" spans="1:12" ht="26.1" customHeight="1" thickBot="1">
      <c r="B15" s="78" t="s">
        <v>86</v>
      </c>
      <c r="C15" s="78">
        <f>Well!I8</f>
        <v>390</v>
      </c>
      <c r="E15" s="237" t="s">
        <v>271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Well!J8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16.5</v>
      </c>
      <c r="L16" s="179"/>
    </row>
    <row r="17" spans="2:12" ht="26.1" customHeight="1" thickBot="1">
      <c r="B17" s="78" t="s">
        <v>88</v>
      </c>
      <c r="C17" s="78">
        <f>Well!L8</f>
        <v>3</v>
      </c>
      <c r="E17" s="99">
        <f>Well!P8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11.5</v>
      </c>
      <c r="L17" s="179"/>
    </row>
    <row r="18" spans="2:12" ht="26.1" customHeight="1" thickBot="1">
      <c r="B18" s="78" t="s">
        <v>89</v>
      </c>
      <c r="C18" s="78">
        <f>Well!M8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4.4487427466150869E-3</v>
      </c>
      <c r="L18" s="180">
        <f>K18*100</f>
        <v>0.4448742746615087</v>
      </c>
    </row>
    <row r="19" spans="2:12" ht="26.1" customHeight="1" thickBot="1">
      <c r="B19" s="98" t="s">
        <v>93</v>
      </c>
      <c r="C19" s="98">
        <f>Well!N8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  <c r="K20" s="72">
        <f>(K18+'4'!K18+'3'!K18)/3</f>
        <v>3.2021740591535353E-3</v>
      </c>
    </row>
    <row r="21" spans="2:12" ht="26.1" customHeight="1" thickBot="1">
      <c r="B21" s="98" t="s">
        <v>97</v>
      </c>
      <c r="C21" s="102">
        <v>38.25</v>
      </c>
      <c r="D21" s="93"/>
      <c r="E21" s="103">
        <f>Well!I8</f>
        <v>390</v>
      </c>
      <c r="F21" s="104">
        <f>Well!O8</f>
        <v>538.9</v>
      </c>
      <c r="G21" s="124">
        <f>G19-E21-F21</f>
        <v>1064.8055243780823</v>
      </c>
      <c r="K21" s="72">
        <f>(E7+'4'!E7+'3'!E7)/3</f>
        <v>2.0609999999999999</v>
      </c>
    </row>
    <row r="22" spans="2:12" ht="22.5" customHeight="1">
      <c r="E22" s="97"/>
      <c r="F22" s="97"/>
      <c r="G22" s="97"/>
      <c r="I22" s="96"/>
      <c r="K22" s="262">
        <f>(C14+'4'!C14+'3'!C14)/3</f>
        <v>80</v>
      </c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0.4448742746615087</v>
      </c>
      <c r="I26" s="149" t="s">
        <v>191</v>
      </c>
      <c r="J26" s="149">
        <f>(E7/C14)/864</f>
        <v>3.7359353023909983E-5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Well!D7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Well!C7</f>
        <v>2-2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Well!R7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Well!Q7</f>
        <v>0, 0, 0</v>
      </c>
      <c r="D5" s="80" t="s">
        <v>71</v>
      </c>
      <c r="E5" s="156">
        <v>1.7450000000000001</v>
      </c>
      <c r="F5" s="157">
        <f>$E$5/$C$14</f>
        <v>2.2371794871794873E-2</v>
      </c>
      <c r="G5" s="83">
        <v>8.1110000000000004E-4</v>
      </c>
    </row>
    <row r="6" spans="1:12" ht="26.1" customHeight="1">
      <c r="B6" s="78" t="s">
        <v>72</v>
      </c>
      <c r="C6" s="118" t="str">
        <f>Well!D7</f>
        <v>송산로 809</v>
      </c>
      <c r="D6" s="80" t="s">
        <v>74</v>
      </c>
      <c r="E6" s="81">
        <v>1.885</v>
      </c>
      <c r="F6" s="157">
        <f>$E$6/$C$14</f>
        <v>2.4166666666666666E-2</v>
      </c>
      <c r="G6" s="83" t="s">
        <v>75</v>
      </c>
    </row>
    <row r="7" spans="1:12" ht="26.1" customHeight="1" thickBot="1">
      <c r="B7" s="78" t="s">
        <v>73</v>
      </c>
      <c r="C7" s="78">
        <f>Well!H7</f>
        <v>96</v>
      </c>
      <c r="D7" s="154" t="s">
        <v>77</v>
      </c>
      <c r="E7" s="155">
        <f>(E5+E6)/2</f>
        <v>1.8149999999999999</v>
      </c>
      <c r="F7" s="158">
        <f>$E$7/$C$14</f>
        <v>2.3269230769230768E-2</v>
      </c>
      <c r="G7" s="154">
        <f>G5</f>
        <v>8.1110000000000004E-4</v>
      </c>
      <c r="J7" s="72">
        <f>F7*100</f>
        <v>2.3269230769230766</v>
      </c>
    </row>
    <row r="8" spans="1:12" ht="26.1" customHeight="1" thickBot="1">
      <c r="B8" s="78" t="s">
        <v>76</v>
      </c>
      <c r="C8" s="78">
        <f>Well!G7</f>
        <v>200</v>
      </c>
      <c r="J8" s="72">
        <f>J7/24/60/60</f>
        <v>2.6931980056980056E-5</v>
      </c>
    </row>
    <row r="9" spans="1:12" ht="26.1" customHeight="1" thickBot="1">
      <c r="B9" s="78" t="s">
        <v>78</v>
      </c>
      <c r="C9" s="78">
        <f>C10+C11</f>
        <v>18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83.3</v>
      </c>
      <c r="F10" s="89">
        <v>102.1</v>
      </c>
      <c r="G10" s="90">
        <v>69.5</v>
      </c>
      <c r="H10" s="91"/>
      <c r="I10" s="92"/>
    </row>
    <row r="11" spans="1:12" ht="26.1" customHeight="1" thickBot="1">
      <c r="B11" s="78" t="s">
        <v>81</v>
      </c>
      <c r="C11" s="79">
        <v>13</v>
      </c>
      <c r="D11" s="134" t="s">
        <v>82</v>
      </c>
      <c r="E11" s="176">
        <f>ROUND(AVERAGE(E10:G10),1)</f>
        <v>85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78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Well!E7</f>
        <v>중명아파트(송산)</v>
      </c>
      <c r="H13" s="96"/>
      <c r="J13" s="162" t="s">
        <v>145</v>
      </c>
      <c r="K13" s="163">
        <v>2479</v>
      </c>
      <c r="L13" s="179"/>
    </row>
    <row r="14" spans="1:12" ht="26.1" customHeight="1">
      <c r="B14" s="78" t="s">
        <v>85</v>
      </c>
      <c r="C14" s="159">
        <f>C7-IF(C20&gt;C9,C20,C9)</f>
        <v>78</v>
      </c>
      <c r="H14" s="96"/>
      <c r="J14" s="164" t="s">
        <v>146</v>
      </c>
      <c r="K14" s="165">
        <v>25</v>
      </c>
      <c r="L14" s="179"/>
    </row>
    <row r="15" spans="1:12" ht="26.1" customHeight="1" thickBot="1">
      <c r="B15" s="78" t="s">
        <v>86</v>
      </c>
      <c r="C15" s="78">
        <f>Well!I7</f>
        <v>390</v>
      </c>
      <c r="E15" s="237" t="s">
        <v>270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Well!J7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8.68</v>
      </c>
      <c r="L16" s="179"/>
    </row>
    <row r="17" spans="2:12" ht="26.1" customHeight="1" thickBot="1">
      <c r="B17" s="78" t="s">
        <v>88</v>
      </c>
      <c r="C17" s="78">
        <f>Well!L7</f>
        <v>3</v>
      </c>
      <c r="E17" s="99">
        <f>Well!P7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3.6799999999999997</v>
      </c>
      <c r="L17" s="179"/>
    </row>
    <row r="18" spans="2:12" ht="26.1" customHeight="1" thickBot="1">
      <c r="B18" s="78" t="s">
        <v>89</v>
      </c>
      <c r="C18" s="78">
        <f>Well!M7</f>
        <v>70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1.4844695441710366E-3</v>
      </c>
      <c r="L18" s="180">
        <f>K18*100</f>
        <v>0.14844695441710365</v>
      </c>
    </row>
    <row r="19" spans="2:12" ht="26.1" customHeight="1" thickBot="1">
      <c r="B19" s="98" t="s">
        <v>93</v>
      </c>
      <c r="C19" s="98">
        <f>Well!N7</f>
        <v>40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16.32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58.43</v>
      </c>
      <c r="D21" s="93"/>
      <c r="E21" s="103">
        <f>Well!I7</f>
        <v>390</v>
      </c>
      <c r="F21" s="104">
        <f>Well!O7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16.32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0.14844695441710365</v>
      </c>
      <c r="I26" s="149" t="s">
        <v>191</v>
      </c>
      <c r="J26" s="149">
        <f>(E7/C14)/864</f>
        <v>2.6931980056980056E-5</v>
      </c>
      <c r="K26" s="149"/>
    </row>
    <row r="27" spans="2:12" ht="36.75" customHeight="1" thickBot="1">
      <c r="B27" s="536"/>
      <c r="C27" s="148" t="s">
        <v>136</v>
      </c>
      <c r="D27" s="12">
        <v>3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225</v>
      </c>
      <c r="C2" s="72" t="str">
        <f>Well!D9</f>
        <v>고대면 고대로 26-10</v>
      </c>
      <c r="D2" s="72" t="str">
        <f>Well!E9</f>
        <v>고대아파트(고대면고대로)</v>
      </c>
    </row>
    <row r="3" spans="1:12" ht="26.1" customHeight="1">
      <c r="B3" s="73" t="s">
        <v>6</v>
      </c>
      <c r="C3" s="74" t="str">
        <f>Well!C9</f>
        <v>3-1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0.95742499828338623</v>
      </c>
      <c r="K3" s="280">
        <f>ROUND(J3,4)</f>
        <v>0.95740000000000003</v>
      </c>
    </row>
    <row r="4" spans="1:12" ht="26.1" customHeight="1">
      <c r="B4" s="78" t="s">
        <v>68</v>
      </c>
      <c r="C4" s="79" t="str">
        <f>Well!R9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133.5</v>
      </c>
      <c r="K4" s="281">
        <f>ROUND(J4,1)</f>
        <v>133.5</v>
      </c>
    </row>
    <row r="5" spans="1:12" ht="26.1" customHeight="1">
      <c r="B5" s="78" t="s">
        <v>70</v>
      </c>
      <c r="C5" s="79" t="str">
        <f>Well!Q9</f>
        <v>0, 0, 0</v>
      </c>
      <c r="D5" s="80" t="s">
        <v>71</v>
      </c>
      <c r="E5" s="156">
        <v>0.91779999999999995</v>
      </c>
      <c r="F5" s="157">
        <f>$E$5/$C$14</f>
        <v>4.9344086021505373E-3</v>
      </c>
      <c r="G5" s="83">
        <v>8.2569999999999996E-4</v>
      </c>
      <c r="I5" s="275" t="s">
        <v>153</v>
      </c>
      <c r="J5" s="274">
        <v>13.5</v>
      </c>
      <c r="K5" s="281">
        <f>ROUND(J5,1)</f>
        <v>13.5</v>
      </c>
    </row>
    <row r="6" spans="1:12" ht="26.1" customHeight="1" thickBot="1">
      <c r="B6" s="78" t="s">
        <v>72</v>
      </c>
      <c r="C6" s="118" t="str">
        <f>Well!D9</f>
        <v>고대면 고대로 26-10</v>
      </c>
      <c r="D6" s="80" t="s">
        <v>74</v>
      </c>
      <c r="E6" s="81">
        <v>0.95050000000000001</v>
      </c>
      <c r="F6" s="157">
        <f>$E$6/$C$14</f>
        <v>5.1102150537634412E-3</v>
      </c>
      <c r="G6" s="83" t="s">
        <v>75</v>
      </c>
      <c r="I6" s="278" t="s">
        <v>306</v>
      </c>
      <c r="J6" s="279">
        <v>6.1201915377750993E-4</v>
      </c>
      <c r="K6" s="282">
        <f>ROUND(J6,4)</f>
        <v>5.9999999999999995E-4</v>
      </c>
    </row>
    <row r="7" spans="1:12" ht="26.1" customHeight="1" thickBot="1">
      <c r="B7" s="78" t="s">
        <v>73</v>
      </c>
      <c r="C7" s="78">
        <f>Well!H9</f>
        <v>200</v>
      </c>
      <c r="D7" s="154" t="s">
        <v>77</v>
      </c>
      <c r="E7" s="155">
        <f>(E5+E6)/2</f>
        <v>0.93415000000000004</v>
      </c>
      <c r="F7" s="158">
        <f>$E$7/$C$14</f>
        <v>5.0223118279569892E-3</v>
      </c>
      <c r="G7" s="154">
        <f>G5</f>
        <v>8.2569999999999996E-4</v>
      </c>
    </row>
    <row r="8" spans="1:12" ht="26.1" customHeight="1" thickBot="1">
      <c r="B8" s="78" t="s">
        <v>76</v>
      </c>
      <c r="C8" s="78">
        <f>Well!G9</f>
        <v>200</v>
      </c>
    </row>
    <row r="9" spans="1:12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43.6</v>
      </c>
      <c r="F10" s="89">
        <v>53.4</v>
      </c>
      <c r="G10" s="90">
        <v>47.2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48.1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186</v>
      </c>
      <c r="H12" s="95"/>
      <c r="J12" s="177" t="s">
        <v>153</v>
      </c>
      <c r="K12" s="236">
        <v>13</v>
      </c>
      <c r="L12" s="206">
        <f>K12+180</f>
        <v>193</v>
      </c>
    </row>
    <row r="13" spans="1:12" ht="26.1" customHeight="1">
      <c r="A13" s="93">
        <f>C10+C11+C12+C13</f>
        <v>200</v>
      </c>
      <c r="B13" s="78" t="s">
        <v>84</v>
      </c>
      <c r="C13" s="79"/>
      <c r="E13" s="246" t="str">
        <f>Well!E9</f>
        <v>고대아파트(고대면고대로)</v>
      </c>
      <c r="H13" s="96"/>
      <c r="J13" s="162" t="s">
        <v>145</v>
      </c>
      <c r="K13" s="163">
        <v>2424</v>
      </c>
      <c r="L13" s="179"/>
    </row>
    <row r="14" spans="1:12" ht="26.1" customHeight="1">
      <c r="B14" s="78" t="s">
        <v>85</v>
      </c>
      <c r="C14" s="159">
        <f>C7-IF(C20&gt;C9,C20,C9)</f>
        <v>186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Well!I9</f>
        <v>200</v>
      </c>
      <c r="E15" s="238" t="s">
        <v>217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Well!J9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6.6999999999999993</v>
      </c>
      <c r="L16" s="179"/>
    </row>
    <row r="17" spans="2:12" ht="26.1" customHeight="1" thickBot="1">
      <c r="B17" s="78" t="s">
        <v>88</v>
      </c>
      <c r="C17" s="78">
        <f>Well!L9</f>
        <v>2</v>
      </c>
      <c r="E17" s="99">
        <f>Well!P9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1.6999999999999993</v>
      </c>
      <c r="L17" s="179"/>
    </row>
    <row r="18" spans="2:12" ht="26.1" customHeight="1" thickBot="1">
      <c r="B18" s="78" t="s">
        <v>89</v>
      </c>
      <c r="C18" s="78">
        <f>Well!M9</f>
        <v>150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7.01320132013201E-4</v>
      </c>
      <c r="L18" s="180">
        <f>K18*100</f>
        <v>7.0132013201320106E-2</v>
      </c>
    </row>
    <row r="19" spans="2:12" ht="26.1" customHeight="1" thickBot="1">
      <c r="B19" s="98" t="s">
        <v>93</v>
      </c>
      <c r="C19" s="98">
        <f>Well!N9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72.8</v>
      </c>
      <c r="D21" s="93"/>
      <c r="E21" s="103">
        <f>Well!I9</f>
        <v>200</v>
      </c>
      <c r="F21" s="104">
        <f>Well!O9</f>
        <v>397.7</v>
      </c>
      <c r="G21" s="124">
        <f>G19-E21-F21</f>
        <v>1306.2224960920551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13.3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7.0132013201320106E-2</v>
      </c>
      <c r="I26" s="149" t="s">
        <v>191</v>
      </c>
      <c r="J26" s="149">
        <f>(E7/C14)/864</f>
        <v>5.8128609119872559E-6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226</v>
      </c>
      <c r="C2" s="72" t="str">
        <f>Well!D10</f>
        <v>고대면 고대로 26-10</v>
      </c>
      <c r="D2" s="72" t="str">
        <f>Well!E10</f>
        <v>고대아파트(고대면고대로)</v>
      </c>
    </row>
    <row r="3" spans="1:12" ht="26.1" customHeight="1">
      <c r="B3" s="73" t="s">
        <v>6</v>
      </c>
      <c r="C3" s="74" t="str">
        <f>Well!C10</f>
        <v>3-2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Well!R10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Well!Q10</f>
        <v>0, 0, 0</v>
      </c>
      <c r="D5" s="80" t="s">
        <v>71</v>
      </c>
      <c r="E5" s="156">
        <v>0.97119999999999995</v>
      </c>
      <c r="F5" s="157">
        <f>$E$5/$C$14</f>
        <v>1.1990123456790123E-2</v>
      </c>
      <c r="G5" s="83">
        <v>7.4949999999999995E-4</v>
      </c>
    </row>
    <row r="6" spans="1:12" ht="26.1" customHeight="1">
      <c r="B6" s="78" t="s">
        <v>72</v>
      </c>
      <c r="C6" s="118" t="str">
        <f>Well!D10</f>
        <v>고대면 고대로 26-10</v>
      </c>
      <c r="D6" s="80" t="s">
        <v>74</v>
      </c>
      <c r="E6" s="81">
        <v>0.99019999999999997</v>
      </c>
      <c r="F6" s="157">
        <f>$E$6/$C$14</f>
        <v>1.2224691358024691E-2</v>
      </c>
      <c r="G6" s="83"/>
    </row>
    <row r="7" spans="1:12" ht="26.1" customHeight="1" thickBot="1">
      <c r="B7" s="78" t="s">
        <v>73</v>
      </c>
      <c r="C7" s="78">
        <f>Well!H10</f>
        <v>96</v>
      </c>
      <c r="D7" s="154" t="s">
        <v>77</v>
      </c>
      <c r="E7" s="155">
        <f>(E5+E6)/2</f>
        <v>0.98069999999999991</v>
      </c>
      <c r="F7" s="158">
        <f>$E$7/$C$14</f>
        <v>1.2107407407407407E-2</v>
      </c>
      <c r="G7" s="154">
        <f>G5</f>
        <v>7.4949999999999995E-4</v>
      </c>
      <c r="J7" s="72">
        <f>F7*100</f>
        <v>1.2107407407407407</v>
      </c>
    </row>
    <row r="8" spans="1:12" ht="26.1" customHeight="1" thickBot="1">
      <c r="B8" s="78" t="s">
        <v>76</v>
      </c>
      <c r="C8" s="78">
        <f>Well!G10</f>
        <v>200</v>
      </c>
      <c r="J8" s="72">
        <f>J7/24/60/60</f>
        <v>1.4013203017832647E-5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72.3</v>
      </c>
      <c r="F10" s="89">
        <v>88.6</v>
      </c>
      <c r="G10" s="90">
        <v>51.9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70.900000000000006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81</v>
      </c>
      <c r="G12" s="72" t="s">
        <v>256</v>
      </c>
      <c r="H12" s="249">
        <f>(E7+'6'!E7)/2</f>
        <v>0.95742499999999997</v>
      </c>
      <c r="J12" s="177" t="s">
        <v>153</v>
      </c>
      <c r="K12" s="236">
        <v>14</v>
      </c>
      <c r="L12" s="206">
        <f>K12+180</f>
        <v>194</v>
      </c>
    </row>
    <row r="13" spans="1:12" ht="26.1" customHeight="1">
      <c r="A13" s="93">
        <f>C10+C11+C12+C13</f>
        <v>96</v>
      </c>
      <c r="B13" s="78" t="s">
        <v>84</v>
      </c>
      <c r="C13" s="79"/>
      <c r="E13" s="246" t="str">
        <f>Well!E10</f>
        <v>고대아파트(고대면고대로)</v>
      </c>
      <c r="H13" s="96">
        <f>(C14+'6'!C14)/2</f>
        <v>133.5</v>
      </c>
      <c r="J13" s="162" t="s">
        <v>145</v>
      </c>
      <c r="K13" s="163">
        <v>2487</v>
      </c>
      <c r="L13" s="179"/>
    </row>
    <row r="14" spans="1:12" ht="26.1" customHeight="1">
      <c r="B14" s="78" t="s">
        <v>85</v>
      </c>
      <c r="C14" s="159">
        <f>C7-IF(C20&gt;C9,C20,C9)</f>
        <v>81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Well!I10</f>
        <v>200</v>
      </c>
      <c r="E15" s="238" t="s">
        <v>232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Well!J10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6.3000000000000007</v>
      </c>
      <c r="L16" s="179"/>
    </row>
    <row r="17" spans="2:12" ht="26.1" customHeight="1" thickBot="1">
      <c r="B17" s="78" t="s">
        <v>88</v>
      </c>
      <c r="C17" s="78">
        <f>Well!L10</f>
        <v>3</v>
      </c>
      <c r="E17" s="99">
        <f>Well!P10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1.3000000000000007</v>
      </c>
      <c r="L17" s="179"/>
    </row>
    <row r="18" spans="2:12" ht="26.1" customHeight="1" thickBot="1">
      <c r="B18" s="78" t="s">
        <v>89</v>
      </c>
      <c r="C18" s="78">
        <f>Well!M10</f>
        <v>85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5.2271813429835166E-4</v>
      </c>
      <c r="L18" s="180">
        <f>K18*100</f>
        <v>5.2271813429835168E-2</v>
      </c>
    </row>
    <row r="19" spans="2:12" ht="26.1" customHeight="1" thickBot="1">
      <c r="B19" s="98" t="s">
        <v>93</v>
      </c>
      <c r="C19" s="98">
        <f>Well!N10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13.7</v>
      </c>
      <c r="D20" s="93"/>
      <c r="E20" s="116" t="s">
        <v>112</v>
      </c>
      <c r="F20" s="117" t="s">
        <v>95</v>
      </c>
      <c r="G20" s="115" t="s">
        <v>96</v>
      </c>
      <c r="K20" s="72">
        <f>(K18+'6'!K18)/2</f>
        <v>6.1201913315577633E-4</v>
      </c>
    </row>
    <row r="21" spans="2:12" ht="26.1" customHeight="1" thickBot="1">
      <c r="B21" s="98" t="s">
        <v>97</v>
      </c>
      <c r="C21" s="102">
        <v>72.599999999999994</v>
      </c>
      <c r="D21" s="93"/>
      <c r="E21" s="103">
        <f>Well!I10</f>
        <v>200</v>
      </c>
      <c r="F21" s="104">
        <f>Well!O10</f>
        <v>397.7</v>
      </c>
      <c r="G21" s="124">
        <f>G19-E21-F21</f>
        <v>1306.2224960920551</v>
      </c>
      <c r="K21" s="250">
        <f>(K12+'6'!K12)/2</f>
        <v>13.5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5.2271813429835168E-2</v>
      </c>
      <c r="I26" s="149" t="s">
        <v>191</v>
      </c>
      <c r="J26" s="149">
        <f>(E7/C14)/864</f>
        <v>1.4013203017832647E-5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3" ht="33" customHeight="1" thickBot="1">
      <c r="B2" s="114" t="s">
        <v>227</v>
      </c>
      <c r="C2" s="72" t="str">
        <f>Well!D11</f>
        <v>순성면 순성로 454</v>
      </c>
    </row>
    <row r="3" spans="1:13" ht="26.1" customHeight="1">
      <c r="B3" s="73" t="s">
        <v>6</v>
      </c>
      <c r="C3" s="74" t="str">
        <f>Well!C11</f>
        <v>4-1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3.6077499389648438</v>
      </c>
      <c r="K3" s="280">
        <f>ROUND(J3,4)</f>
        <v>3.6076999999999999</v>
      </c>
    </row>
    <row r="4" spans="1:13" ht="26.1" customHeight="1">
      <c r="B4" s="78" t="s">
        <v>68</v>
      </c>
      <c r="C4" s="79" t="str">
        <f>Well!R11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51.5</v>
      </c>
      <c r="K4" s="281">
        <f>ROUND(J4,1)</f>
        <v>51.5</v>
      </c>
    </row>
    <row r="5" spans="1:13" ht="26.1" customHeight="1">
      <c r="B5" s="78" t="s">
        <v>70</v>
      </c>
      <c r="C5" s="79" t="str">
        <f>Well!Q11</f>
        <v>0, 0, 0</v>
      </c>
      <c r="D5" s="80" t="s">
        <v>71</v>
      </c>
      <c r="E5" s="156">
        <v>3.2170000000000001</v>
      </c>
      <c r="F5" s="157">
        <f>$E$5/$C$14</f>
        <v>5.5465517241379311E-2</v>
      </c>
      <c r="G5" s="83">
        <v>6.4079999999999996E-4</v>
      </c>
      <c r="I5" s="275" t="s">
        <v>153</v>
      </c>
      <c r="J5" s="274">
        <v>47</v>
      </c>
      <c r="K5" s="281">
        <f>ROUND(J5,1)</f>
        <v>47</v>
      </c>
    </row>
    <row r="6" spans="1:13" ht="26.1" customHeight="1" thickBot="1">
      <c r="B6" s="78" t="s">
        <v>72</v>
      </c>
      <c r="C6" s="118" t="str">
        <f>Well!D11</f>
        <v>순성면 순성로 454</v>
      </c>
      <c r="D6" s="80" t="s">
        <v>74</v>
      </c>
      <c r="E6" s="81">
        <v>2.8330000000000002</v>
      </c>
      <c r="F6" s="157">
        <f>$E$6/$C$14</f>
        <v>4.8844827586206903E-2</v>
      </c>
      <c r="G6" s="83" t="s">
        <v>75</v>
      </c>
      <c r="I6" s="278" t="s">
        <v>306</v>
      </c>
      <c r="J6" s="279">
        <v>6.247546523809433E-3</v>
      </c>
      <c r="K6" s="282">
        <f>ROUND(J6,4)</f>
        <v>6.1999999999999998E-3</v>
      </c>
    </row>
    <row r="7" spans="1:13" ht="26.1" customHeight="1" thickBot="1">
      <c r="B7" s="78" t="s">
        <v>73</v>
      </c>
      <c r="C7" s="78">
        <f>Well!H11</f>
        <v>72</v>
      </c>
      <c r="D7" s="154" t="s">
        <v>77</v>
      </c>
      <c r="E7" s="155">
        <f>(E5+E6)/2</f>
        <v>3.0250000000000004</v>
      </c>
      <c r="F7" s="158">
        <f>$E$7/$C$14</f>
        <v>5.2155172413793111E-2</v>
      </c>
      <c r="G7" s="154">
        <f>G5</f>
        <v>6.4079999999999996E-4</v>
      </c>
    </row>
    <row r="8" spans="1:13" ht="26.1" customHeight="1" thickBot="1">
      <c r="B8" s="78" t="s">
        <v>76</v>
      </c>
      <c r="C8" s="78">
        <f>Well!G11</f>
        <v>200</v>
      </c>
    </row>
    <row r="9" spans="1:13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3" ht="26.1" customHeight="1" thickBot="1">
      <c r="B10" s="78" t="s">
        <v>79</v>
      </c>
      <c r="C10" s="79">
        <v>4</v>
      </c>
      <c r="D10" s="87" t="s">
        <v>80</v>
      </c>
      <c r="E10" s="88">
        <v>101.4</v>
      </c>
      <c r="F10" s="89">
        <v>124.2</v>
      </c>
      <c r="G10" s="90">
        <v>96.4</v>
      </c>
      <c r="H10" s="91"/>
      <c r="I10" s="92"/>
    </row>
    <row r="11" spans="1:13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107.3</v>
      </c>
      <c r="F11" s="94"/>
      <c r="G11" s="94"/>
      <c r="H11" s="91"/>
      <c r="I11" s="92"/>
      <c r="J11" s="538" t="s">
        <v>150</v>
      </c>
      <c r="K11" s="539"/>
    </row>
    <row r="12" spans="1:13" ht="26.1" customHeight="1" thickBot="1">
      <c r="A12" s="93" t="str">
        <f>IF(A13&lt;&gt;C7,"CHECK","OK")</f>
        <v>OK</v>
      </c>
      <c r="B12" s="78" t="s">
        <v>83</v>
      </c>
      <c r="C12" s="79">
        <f>C7-C9</f>
        <v>58</v>
      </c>
      <c r="H12" s="95"/>
      <c r="J12" s="177" t="s">
        <v>153</v>
      </c>
      <c r="K12" s="236">
        <v>45</v>
      </c>
      <c r="L12" s="206">
        <f>K12+180</f>
        <v>225</v>
      </c>
      <c r="M12" s="72">
        <v>260</v>
      </c>
    </row>
    <row r="13" spans="1:13" ht="26.1" customHeight="1">
      <c r="A13" s="93">
        <f>C10+C11+C12+C13</f>
        <v>72</v>
      </c>
      <c r="B13" s="78" t="s">
        <v>84</v>
      </c>
      <c r="C13" s="79"/>
      <c r="E13" s="246" t="str">
        <f>Well!E11</f>
        <v>세안근로자복지아파트</v>
      </c>
      <c r="H13" s="96"/>
      <c r="J13" s="162" t="s">
        <v>145</v>
      </c>
      <c r="K13" s="163">
        <v>1517</v>
      </c>
      <c r="L13" s="179"/>
    </row>
    <row r="14" spans="1:13" ht="26.1" customHeight="1">
      <c r="B14" s="78" t="s">
        <v>85</v>
      </c>
      <c r="C14" s="159">
        <f>C7-IF(C20&gt;C9,C20,C9)</f>
        <v>58</v>
      </c>
      <c r="H14" s="96"/>
      <c r="J14" s="164" t="s">
        <v>146</v>
      </c>
      <c r="K14" s="165">
        <v>28</v>
      </c>
      <c r="L14" s="179"/>
    </row>
    <row r="15" spans="1:13" ht="26.1" customHeight="1" thickBot="1">
      <c r="B15" s="78" t="s">
        <v>86</v>
      </c>
      <c r="C15" s="78">
        <f>Well!I11</f>
        <v>240</v>
      </c>
      <c r="E15" s="238" t="s">
        <v>219</v>
      </c>
      <c r="J15" s="164" t="s">
        <v>147</v>
      </c>
      <c r="K15" s="165">
        <v>5</v>
      </c>
      <c r="L15" s="179"/>
    </row>
    <row r="16" spans="1:13" ht="26.1" customHeight="1">
      <c r="B16" s="78" t="s">
        <v>87</v>
      </c>
      <c r="C16" s="160">
        <f>Well!J11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15.64</v>
      </c>
      <c r="L16" s="179"/>
    </row>
    <row r="17" spans="2:12" ht="26.1" customHeight="1" thickBot="1">
      <c r="B17" s="78" t="s">
        <v>88</v>
      </c>
      <c r="C17" s="78">
        <f>Well!L11</f>
        <v>3</v>
      </c>
      <c r="E17" s="99">
        <f>Well!P11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10.64</v>
      </c>
      <c r="L17" s="179"/>
    </row>
    <row r="18" spans="2:12" ht="26.1" customHeight="1" thickBot="1">
      <c r="B18" s="78" t="s">
        <v>89</v>
      </c>
      <c r="C18" s="78">
        <f>Well!M11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7.013843111404087E-3</v>
      </c>
      <c r="L18" s="180">
        <f>K18*100</f>
        <v>0.70138431114040867</v>
      </c>
    </row>
    <row r="19" spans="2:12" ht="26.1" customHeight="1" thickBot="1">
      <c r="B19" s="98" t="s">
        <v>93</v>
      </c>
      <c r="C19" s="98">
        <f>Well!N11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12.36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36.42</v>
      </c>
      <c r="D21" s="93"/>
      <c r="E21" s="103">
        <f>Well!I11</f>
        <v>240</v>
      </c>
      <c r="F21" s="104">
        <f>Well!O11</f>
        <v>997.3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12.36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0.70138431114040867</v>
      </c>
      <c r="I26" s="149" t="s">
        <v>191</v>
      </c>
      <c r="J26" s="149">
        <f>(E7/C14)/864</f>
        <v>6.0364782886334618E-5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228</v>
      </c>
      <c r="C2" s="72" t="str">
        <f>Well!D12</f>
        <v>순성면 순성로 454</v>
      </c>
    </row>
    <row r="3" spans="1:12" ht="26.1" customHeight="1">
      <c r="B3" s="73" t="s">
        <v>6</v>
      </c>
      <c r="C3" s="74" t="str">
        <f>Well!C12</f>
        <v>4-2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Well!R12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Well!Q12</f>
        <v>0, 0, 0</v>
      </c>
      <c r="D5" s="80" t="s">
        <v>71</v>
      </c>
      <c r="E5" s="156">
        <v>4.5369999999999999</v>
      </c>
      <c r="F5" s="157">
        <f>$E$5/$C$14</f>
        <v>0.10082222222222222</v>
      </c>
      <c r="G5" s="83">
        <v>6.2620000000000004E-4</v>
      </c>
    </row>
    <row r="6" spans="1:12" ht="26.1" customHeight="1">
      <c r="B6" s="78" t="s">
        <v>72</v>
      </c>
      <c r="C6" s="118" t="str">
        <f>Well!D12</f>
        <v>순성면 순성로 454</v>
      </c>
      <c r="D6" s="80" t="s">
        <v>74</v>
      </c>
      <c r="E6" s="81">
        <v>3.8439999999999999</v>
      </c>
      <c r="F6" s="157">
        <f>$E$6/$C$14</f>
        <v>8.5422222222222219E-2</v>
      </c>
      <c r="G6" s="83" t="s">
        <v>75</v>
      </c>
    </row>
    <row r="7" spans="1:12" ht="26.1" customHeight="1" thickBot="1">
      <c r="B7" s="78" t="s">
        <v>73</v>
      </c>
      <c r="C7" s="78">
        <f>Well!H12</f>
        <v>60</v>
      </c>
      <c r="D7" s="154" t="s">
        <v>77</v>
      </c>
      <c r="E7" s="155">
        <f>(E5+E6)/2</f>
        <v>4.1905000000000001</v>
      </c>
      <c r="F7" s="158">
        <f>$E$7/$C$14</f>
        <v>9.3122222222222231E-2</v>
      </c>
      <c r="G7" s="154">
        <f>G5</f>
        <v>6.2620000000000004E-4</v>
      </c>
      <c r="J7" s="72">
        <f>F7*100</f>
        <v>9.3122222222222231</v>
      </c>
    </row>
    <row r="8" spans="1:12" ht="26.1" customHeight="1" thickBot="1">
      <c r="B8" s="78" t="s">
        <v>76</v>
      </c>
      <c r="C8" s="78">
        <f>Well!G12</f>
        <v>200</v>
      </c>
      <c r="J8" s="72">
        <f>J7/24/60/60</f>
        <v>1.0778034979423869E-4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121</v>
      </c>
      <c r="F10" s="89">
        <v>148.19999999999999</v>
      </c>
      <c r="G10" s="90">
        <v>120.1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129.80000000000001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45</v>
      </c>
      <c r="G12" s="72">
        <f>(E7+'8'!E7)/2</f>
        <v>3.6077500000000002</v>
      </c>
      <c r="H12" s="95"/>
      <c r="J12" s="177" t="s">
        <v>153</v>
      </c>
      <c r="K12" s="236">
        <v>49</v>
      </c>
      <c r="L12" s="206">
        <f>K12+180</f>
        <v>229</v>
      </c>
    </row>
    <row r="13" spans="1:12" ht="26.1" customHeight="1">
      <c r="A13" s="93">
        <f>C10+C11+C12+C13</f>
        <v>60</v>
      </c>
      <c r="B13" s="78" t="s">
        <v>84</v>
      </c>
      <c r="C13" s="79"/>
      <c r="E13" s="246" t="str">
        <f>Well!E12</f>
        <v>세안근로자복지아파트</v>
      </c>
      <c r="G13" s="72">
        <f>(C14+'8'!C14)/2</f>
        <v>51.5</v>
      </c>
      <c r="H13" s="96"/>
      <c r="J13" s="162" t="s">
        <v>145</v>
      </c>
      <c r="K13" s="163">
        <v>1600</v>
      </c>
      <c r="L13" s="179"/>
    </row>
    <row r="14" spans="1:12" ht="26.1" customHeight="1">
      <c r="B14" s="78" t="s">
        <v>85</v>
      </c>
      <c r="C14" s="159">
        <f>C7-IF(C20&gt;C9,C20,C9)</f>
        <v>45</v>
      </c>
      <c r="H14" s="96"/>
      <c r="J14" s="164" t="s">
        <v>146</v>
      </c>
      <c r="K14" s="165">
        <v>28</v>
      </c>
      <c r="L14" s="179"/>
    </row>
    <row r="15" spans="1:12" ht="26.1" customHeight="1" thickBot="1">
      <c r="B15" s="78" t="s">
        <v>86</v>
      </c>
      <c r="C15" s="78">
        <f>Well!I12</f>
        <v>240</v>
      </c>
      <c r="E15" s="238" t="s">
        <v>233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Well!J12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13.77</v>
      </c>
      <c r="L16" s="179"/>
    </row>
    <row r="17" spans="2:12" ht="26.1" customHeight="1" thickBot="1">
      <c r="B17" s="78" t="s">
        <v>88</v>
      </c>
      <c r="C17" s="78">
        <f>Well!L12</f>
        <v>3</v>
      </c>
      <c r="E17" s="99">
        <f>Well!P12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8.77</v>
      </c>
      <c r="L17" s="179"/>
    </row>
    <row r="18" spans="2:12" ht="26.1" customHeight="1" thickBot="1">
      <c r="B18" s="78" t="s">
        <v>89</v>
      </c>
      <c r="C18" s="78">
        <f>Well!M12</f>
        <v>40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5.48125E-3</v>
      </c>
      <c r="L18" s="180">
        <f>K18*100</f>
        <v>0.54812499999999997</v>
      </c>
    </row>
    <row r="19" spans="2:12" ht="26.1" customHeight="1" thickBot="1">
      <c r="B19" s="98" t="s">
        <v>93</v>
      </c>
      <c r="C19" s="98">
        <f>Well!N12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14.23</v>
      </c>
      <c r="D20" s="93"/>
      <c r="E20" s="116" t="s">
        <v>112</v>
      </c>
      <c r="F20" s="117" t="s">
        <v>95</v>
      </c>
      <c r="G20" s="115" t="s">
        <v>96</v>
      </c>
      <c r="K20" s="72">
        <f>(K18+'8'!K18)/2</f>
        <v>6.2475465557020431E-3</v>
      </c>
    </row>
    <row r="21" spans="2:12" ht="26.1" customHeight="1" thickBot="1">
      <c r="B21" s="98" t="s">
        <v>97</v>
      </c>
      <c r="C21" s="102">
        <v>31.35</v>
      </c>
      <c r="D21" s="93"/>
      <c r="E21" s="103">
        <f>Well!I12</f>
        <v>240</v>
      </c>
      <c r="F21" s="104">
        <f>Well!O12</f>
        <v>997.3</v>
      </c>
      <c r="G21" s="124">
        <f>G19-E21-F21</f>
        <v>864.66424794520549</v>
      </c>
      <c r="K21" s="250">
        <f>(K12+'8'!K12)/2</f>
        <v>47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14.23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0.54812499999999997</v>
      </c>
      <c r="I26" s="149" t="s">
        <v>191</v>
      </c>
      <c r="J26" s="149">
        <f>(E7/C14)/864</f>
        <v>1.0778034979423869E-4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229</v>
      </c>
      <c r="C2" s="72" t="str">
        <f>Well!D13</f>
        <v>순성면 순성로 453-30</v>
      </c>
    </row>
    <row r="3" spans="1:12" ht="26.1" customHeight="1">
      <c r="B3" s="73" t="s">
        <v>6</v>
      </c>
      <c r="C3" s="74" t="str">
        <f>Well!C13</f>
        <v>5-1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2.9807500839233398</v>
      </c>
      <c r="K3" s="280">
        <f>ROUND(J3,4)</f>
        <v>2.9807999999999999</v>
      </c>
    </row>
    <row r="4" spans="1:12" ht="26.1" customHeight="1">
      <c r="B4" s="78" t="s">
        <v>68</v>
      </c>
      <c r="C4" s="79" t="str">
        <f>Well!R13</f>
        <v>126, 36, 12</v>
      </c>
      <c r="D4" s="80" t="s">
        <v>69</v>
      </c>
      <c r="E4" s="81">
        <v>0</v>
      </c>
      <c r="F4" s="82"/>
      <c r="G4" s="83"/>
      <c r="I4" s="275" t="s">
        <v>305</v>
      </c>
      <c r="J4" s="274">
        <v>104</v>
      </c>
      <c r="K4" s="281">
        <f>ROUND(J4,1)</f>
        <v>104</v>
      </c>
    </row>
    <row r="5" spans="1:12" ht="26.1" customHeight="1">
      <c r="B5" s="78" t="s">
        <v>70</v>
      </c>
      <c r="C5" s="79" t="str">
        <f>Well!Q13</f>
        <v>36, 16, 59</v>
      </c>
      <c r="D5" s="80" t="s">
        <v>71</v>
      </c>
      <c r="E5" s="156">
        <v>2.73</v>
      </c>
      <c r="F5" s="157">
        <f>$E$5/$C$14</f>
        <v>3.2891566265060242E-2</v>
      </c>
      <c r="G5" s="83">
        <v>7.2020000000000005E-4</v>
      </c>
      <c r="I5" s="275" t="s">
        <v>153</v>
      </c>
      <c r="J5" s="274">
        <v>40.5</v>
      </c>
      <c r="K5" s="281">
        <f>ROUND(J5,1)</f>
        <v>40.5</v>
      </c>
    </row>
    <row r="6" spans="1:12" ht="26.1" customHeight="1" thickBot="1">
      <c r="B6" s="78" t="s">
        <v>72</v>
      </c>
      <c r="C6" s="118" t="str">
        <f>Well!D13</f>
        <v>순성면 순성로 453-30</v>
      </c>
      <c r="D6" s="80" t="s">
        <v>74</v>
      </c>
      <c r="E6" s="81">
        <v>2.379</v>
      </c>
      <c r="F6" s="157">
        <f>$E$6/$C$14</f>
        <v>2.8662650602409637E-2</v>
      </c>
      <c r="G6" s="83" t="s">
        <v>75</v>
      </c>
      <c r="I6" s="278" t="s">
        <v>306</v>
      </c>
      <c r="J6" s="279">
        <v>4.2925858870148659E-3</v>
      </c>
      <c r="K6" s="282">
        <f>ROUND(J6,4)</f>
        <v>4.3E-3</v>
      </c>
    </row>
    <row r="7" spans="1:12" ht="26.1" customHeight="1" thickBot="1">
      <c r="B7" s="78" t="s">
        <v>73</v>
      </c>
      <c r="C7" s="78">
        <f>Well!H13</f>
        <v>100</v>
      </c>
      <c r="D7" s="154" t="s">
        <v>77</v>
      </c>
      <c r="E7" s="155">
        <f>(E5+E6)/2</f>
        <v>2.5545</v>
      </c>
      <c r="F7" s="158">
        <f>$E$7/$C$14</f>
        <v>3.0777108433734941E-2</v>
      </c>
      <c r="G7" s="154">
        <f>G5</f>
        <v>7.2020000000000005E-4</v>
      </c>
    </row>
    <row r="8" spans="1:12" ht="26.1" customHeight="1" thickBot="1">
      <c r="B8" s="78" t="s">
        <v>76</v>
      </c>
      <c r="C8" s="78">
        <f>Well!G13</f>
        <v>200</v>
      </c>
    </row>
    <row r="9" spans="1:12" ht="26.1" customHeight="1" thickBot="1">
      <c r="B9" s="78" t="s">
        <v>78</v>
      </c>
      <c r="C9" s="78">
        <f>C10+C11</f>
        <v>17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72.099999999999994</v>
      </c>
      <c r="F10" s="89">
        <v>88.3</v>
      </c>
      <c r="G10" s="90">
        <v>83.6</v>
      </c>
      <c r="H10" s="91"/>
      <c r="I10" s="92"/>
    </row>
    <row r="11" spans="1:12" ht="26.1" customHeight="1" thickBot="1">
      <c r="B11" s="78" t="s">
        <v>81</v>
      </c>
      <c r="C11" s="79">
        <v>12</v>
      </c>
      <c r="D11" s="134" t="s">
        <v>82</v>
      </c>
      <c r="E11" s="176">
        <f>ROUND(AVERAGE(E10:G10),1)</f>
        <v>81.3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41</v>
      </c>
      <c r="L12" s="206">
        <f>K12+180</f>
        <v>221</v>
      </c>
    </row>
    <row r="13" spans="1:12" ht="26.1" customHeight="1">
      <c r="A13" s="93">
        <f>C10+C11+C12+C13</f>
        <v>100</v>
      </c>
      <c r="B13" s="78" t="s">
        <v>84</v>
      </c>
      <c r="C13" s="79"/>
      <c r="E13" s="246" t="str">
        <f>Well!E13</f>
        <v>중명아파트(순성)</v>
      </c>
      <c r="H13" s="96"/>
      <c r="J13" s="162" t="s">
        <v>145</v>
      </c>
      <c r="K13" s="163">
        <v>1333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Well!I13</f>
        <v>200</v>
      </c>
      <c r="E15" s="238" t="s">
        <v>221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Well!J13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14.8</v>
      </c>
      <c r="L16" s="179"/>
    </row>
    <row r="17" spans="2:12" ht="26.1" customHeight="1" thickBot="1">
      <c r="B17" s="78" t="s">
        <v>88</v>
      </c>
      <c r="C17" s="78">
        <f>Well!L13</f>
        <v>3</v>
      </c>
      <c r="E17" s="99">
        <f>Well!P13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9.8000000000000007</v>
      </c>
      <c r="L17" s="179"/>
    </row>
    <row r="18" spans="2:12" ht="26.1" customHeight="1" thickBot="1">
      <c r="B18" s="78" t="s">
        <v>89</v>
      </c>
      <c r="C18" s="78">
        <f>Well!M13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7.3518379594898729E-3</v>
      </c>
      <c r="L18" s="180">
        <f>K18*100</f>
        <v>0.73518379594898731</v>
      </c>
    </row>
    <row r="19" spans="2:12" ht="26.1" customHeight="1" thickBot="1">
      <c r="B19" s="98" t="s">
        <v>93</v>
      </c>
      <c r="C19" s="98">
        <f>Well!N13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15.2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38.4</v>
      </c>
      <c r="D21" s="93"/>
      <c r="E21" s="103">
        <f>Well!I13</f>
        <v>200</v>
      </c>
      <c r="F21" s="104">
        <f>Well!O13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15.2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0.73518379594898731</v>
      </c>
      <c r="I26" s="149" t="s">
        <v>191</v>
      </c>
      <c r="J26" s="149">
        <f>(E7/C14)/864</f>
        <v>3.5621653279785814E-5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zoomScaleNormal="100" workbookViewId="0">
      <selection activeCell="I7" sqref="I7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230</v>
      </c>
      <c r="C2" s="72" t="str">
        <f>Well!D14</f>
        <v>순성면 순성로 453-30</v>
      </c>
    </row>
    <row r="3" spans="1:12" ht="26.1" customHeight="1">
      <c r="B3" s="73" t="s">
        <v>6</v>
      </c>
      <c r="C3" s="74" t="str">
        <f>Well!C14</f>
        <v>5-2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Well!R14</f>
        <v>126, 36, 12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Well!Q14</f>
        <v>36, 16, 59</v>
      </c>
      <c r="D5" s="80" t="s">
        <v>71</v>
      </c>
      <c r="E5" s="156">
        <v>3.7050000000000001</v>
      </c>
      <c r="F5" s="157">
        <f>$E$5/$C$14</f>
        <v>2.964E-2</v>
      </c>
      <c r="G5" s="83">
        <v>5.8270000000000001E-4</v>
      </c>
    </row>
    <row r="6" spans="1:12" ht="26.1" customHeight="1">
      <c r="B6" s="78" t="s">
        <v>72</v>
      </c>
      <c r="C6" s="118" t="str">
        <f>Well!D14</f>
        <v>순성면 순성로 453-30</v>
      </c>
      <c r="D6" s="80" t="s">
        <v>74</v>
      </c>
      <c r="E6" s="81">
        <v>3.109</v>
      </c>
      <c r="F6" s="157">
        <f>$E$6/$C$14</f>
        <v>2.4871999999999998E-2</v>
      </c>
      <c r="G6" s="83" t="s">
        <v>75</v>
      </c>
    </row>
    <row r="7" spans="1:12" ht="26.1" customHeight="1" thickBot="1">
      <c r="B7" s="78" t="s">
        <v>73</v>
      </c>
      <c r="C7" s="78">
        <f>Well!H14</f>
        <v>150</v>
      </c>
      <c r="D7" s="154" t="s">
        <v>77</v>
      </c>
      <c r="E7" s="155">
        <f>(E5+E6)/2</f>
        <v>3.407</v>
      </c>
      <c r="F7" s="158">
        <f>$E$7/$C$14</f>
        <v>2.7255999999999999E-2</v>
      </c>
      <c r="G7" s="154">
        <f>G5</f>
        <v>5.8270000000000001E-4</v>
      </c>
      <c r="J7" s="72">
        <f>F7*100</f>
        <v>2.7256</v>
      </c>
    </row>
    <row r="8" spans="1:12" ht="26.1" customHeight="1" thickBot="1">
      <c r="B8" s="78" t="s">
        <v>76</v>
      </c>
      <c r="C8" s="78">
        <f>Well!G14</f>
        <v>200</v>
      </c>
      <c r="J8" s="72">
        <f>J7/24/60/60</f>
        <v>3.1546296296296295E-5</v>
      </c>
    </row>
    <row r="9" spans="1:12" ht="26.1" customHeight="1" thickBot="1">
      <c r="B9" s="78" t="s">
        <v>78</v>
      </c>
      <c r="C9" s="78">
        <f>C10+C11</f>
        <v>25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67.900000000000006</v>
      </c>
      <c r="F10" s="89">
        <v>83.2</v>
      </c>
      <c r="G10" s="90">
        <v>109.8</v>
      </c>
      <c r="H10" s="91"/>
      <c r="I10" s="92"/>
    </row>
    <row r="11" spans="1:12" ht="26.1" customHeight="1" thickBot="1">
      <c r="B11" s="78" t="s">
        <v>81</v>
      </c>
      <c r="C11" s="79">
        <v>20</v>
      </c>
      <c r="D11" s="134" t="s">
        <v>82</v>
      </c>
      <c r="E11" s="176">
        <f>ROUND(AVERAGE(E10:G10),1)</f>
        <v>87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125</v>
      </c>
      <c r="G12" s="72">
        <f>(E7+'10'!E7)/2</f>
        <v>2.98075</v>
      </c>
      <c r="H12" s="95"/>
      <c r="J12" s="177" t="s">
        <v>153</v>
      </c>
      <c r="K12" s="236">
        <v>40</v>
      </c>
      <c r="L12" s="206">
        <f>K12+180</f>
        <v>220</v>
      </c>
    </row>
    <row r="13" spans="1:12" ht="26.1" customHeight="1">
      <c r="A13" s="93">
        <f>C10+C11+C12+C13</f>
        <v>150</v>
      </c>
      <c r="B13" s="78" t="s">
        <v>84</v>
      </c>
      <c r="C13" s="79"/>
      <c r="E13" s="246" t="str">
        <f>Well!E14</f>
        <v>중명아파트(순성)</v>
      </c>
      <c r="G13" s="72">
        <f>(C14+'10'!C14)/2</f>
        <v>104</v>
      </c>
      <c r="H13" s="96"/>
      <c r="J13" s="162" t="s">
        <v>145</v>
      </c>
      <c r="K13" s="163">
        <v>1200</v>
      </c>
      <c r="L13" s="179"/>
    </row>
    <row r="14" spans="1:12" ht="26.1" customHeight="1">
      <c r="B14" s="78" t="s">
        <v>85</v>
      </c>
      <c r="C14" s="159">
        <f>C7-IF(C20&gt;C9,C20,C9)</f>
        <v>125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Well!I14</f>
        <v>200</v>
      </c>
      <c r="E15" s="238" t="s">
        <v>234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Well!J14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6.48</v>
      </c>
      <c r="L16" s="179"/>
    </row>
    <row r="17" spans="2:12" ht="26.1" customHeight="1" thickBot="1">
      <c r="B17" s="78" t="s">
        <v>88</v>
      </c>
      <c r="C17" s="78">
        <f>Well!L14</f>
        <v>3</v>
      </c>
      <c r="E17" s="99">
        <f>Well!P14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1.4800000000000004</v>
      </c>
      <c r="L17" s="179"/>
    </row>
    <row r="18" spans="2:12" ht="26.1" customHeight="1" thickBot="1">
      <c r="B18" s="78" t="s">
        <v>89</v>
      </c>
      <c r="C18" s="78">
        <f>Well!M14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1.2333333333333337E-3</v>
      </c>
      <c r="L18" s="180">
        <f>K18*100</f>
        <v>0.12333333333333336</v>
      </c>
    </row>
    <row r="19" spans="2:12" ht="26.1" customHeight="1" thickBot="1">
      <c r="B19" s="98" t="s">
        <v>93</v>
      </c>
      <c r="C19" s="98">
        <f>Well!N14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  <c r="K19" s="72">
        <f>(K18+'10'!K18)/2</f>
        <v>4.2925856464116029E-3</v>
      </c>
    </row>
    <row r="20" spans="2:12" ht="26.1" customHeight="1">
      <c r="B20" s="100" t="s">
        <v>94</v>
      </c>
      <c r="C20" s="101">
        <v>23.52</v>
      </c>
      <c r="D20" s="93"/>
      <c r="E20" s="116" t="s">
        <v>112</v>
      </c>
      <c r="F20" s="117" t="s">
        <v>95</v>
      </c>
      <c r="G20" s="115" t="s">
        <v>96</v>
      </c>
      <c r="K20" s="250">
        <f>(K12+'10'!K12)/2</f>
        <v>40.5</v>
      </c>
    </row>
    <row r="21" spans="2:12" ht="26.1" customHeight="1" thickBot="1">
      <c r="B21" s="98" t="s">
        <v>97</v>
      </c>
      <c r="C21" s="102">
        <v>41.47</v>
      </c>
      <c r="D21" s="93"/>
      <c r="E21" s="103">
        <f>Well!I14</f>
        <v>200</v>
      </c>
      <c r="F21" s="104">
        <f>Well!O14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23.52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0.12333333333333336</v>
      </c>
      <c r="I26" s="149" t="s">
        <v>191</v>
      </c>
      <c r="J26" s="149">
        <f>(E7/C14)/864</f>
        <v>3.1546296296296295E-5</v>
      </c>
      <c r="K26" s="149"/>
    </row>
    <row r="27" spans="2:12" ht="36.75" customHeight="1" thickBot="1">
      <c r="B27" s="536"/>
      <c r="C27" s="148" t="s">
        <v>136</v>
      </c>
      <c r="D27" s="12">
        <v>2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10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111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241</v>
      </c>
      <c r="C2" s="72" t="str">
        <f>Well!D15</f>
        <v>반촌로 288-5</v>
      </c>
    </row>
    <row r="3" spans="1:12" ht="26.1" customHeight="1">
      <c r="B3" s="73" t="s">
        <v>6</v>
      </c>
      <c r="C3" s="74" t="str">
        <f>Well!C15</f>
        <v>6-1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2.937000036239624</v>
      </c>
      <c r="K3" s="280">
        <f>ROUND(J3,4)</f>
        <v>2.9369999999999998</v>
      </c>
    </row>
    <row r="4" spans="1:12" ht="26.1" customHeight="1">
      <c r="B4" s="78" t="s">
        <v>68</v>
      </c>
      <c r="C4" s="79">
        <f>Well!R15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61</v>
      </c>
      <c r="K4" s="281">
        <f>ROUND(J4,1)</f>
        <v>61</v>
      </c>
    </row>
    <row r="5" spans="1:12" ht="26.1" customHeight="1">
      <c r="B5" s="78" t="s">
        <v>70</v>
      </c>
      <c r="C5" s="79">
        <f>Well!Q15</f>
        <v>9</v>
      </c>
      <c r="D5" s="80" t="s">
        <v>71</v>
      </c>
      <c r="E5" s="156">
        <v>3.0619999999999998</v>
      </c>
      <c r="F5" s="157">
        <f>$E$5/$C$14</f>
        <v>5.0196721311475408E-2</v>
      </c>
      <c r="G5" s="83">
        <v>6.935E-4</v>
      </c>
      <c r="I5" s="275" t="s">
        <v>153</v>
      </c>
      <c r="J5" s="274">
        <v>303</v>
      </c>
      <c r="K5" s="281">
        <f>ROUND(J5,1)</f>
        <v>303</v>
      </c>
    </row>
    <row r="6" spans="1:12" ht="26.1" customHeight="1" thickBot="1">
      <c r="B6" s="78" t="s">
        <v>72</v>
      </c>
      <c r="C6" s="118" t="str">
        <f>Well!D15</f>
        <v>반촌로 288-5</v>
      </c>
      <c r="D6" s="80" t="s">
        <v>74</v>
      </c>
      <c r="E6" s="81">
        <v>2.8119999999999998</v>
      </c>
      <c r="F6" s="157">
        <f>$E$6/$C$14</f>
        <v>4.6098360655737705E-2</v>
      </c>
      <c r="G6" s="83" t="s">
        <v>75</v>
      </c>
      <c r="I6" s="278" t="s">
        <v>306</v>
      </c>
      <c r="J6" s="279">
        <v>1.0277777910232544E-2</v>
      </c>
      <c r="K6" s="282">
        <f>ROUND(J6,4)</f>
        <v>1.03E-2</v>
      </c>
    </row>
    <row r="7" spans="1:12" ht="26.1" customHeight="1" thickBot="1">
      <c r="B7" s="78" t="s">
        <v>73</v>
      </c>
      <c r="C7" s="78">
        <f>Well!H15</f>
        <v>72</v>
      </c>
      <c r="D7" s="154" t="s">
        <v>77</v>
      </c>
      <c r="E7" s="155">
        <f>(E5+E6)/2</f>
        <v>2.9369999999999998</v>
      </c>
      <c r="F7" s="158">
        <f>$E$7/$C$14</f>
        <v>4.8147540983606553E-2</v>
      </c>
      <c r="G7" s="154">
        <f>G5</f>
        <v>6.935E-4</v>
      </c>
    </row>
    <row r="8" spans="1:12" ht="26.1" customHeight="1" thickBot="1">
      <c r="B8" s="78" t="s">
        <v>76</v>
      </c>
      <c r="C8" s="78">
        <f>Well!G15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111.4</v>
      </c>
      <c r="F10" s="89">
        <v>136.4</v>
      </c>
      <c r="G10" s="90">
        <v>95.6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114.5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61</v>
      </c>
      <c r="H12" s="95"/>
      <c r="J12" s="177" t="s">
        <v>153</v>
      </c>
      <c r="K12" s="178">
        <v>123</v>
      </c>
      <c r="L12" s="235">
        <f>K12+180</f>
        <v>303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Well!E15</f>
        <v>명지아파트(반촌)</v>
      </c>
      <c r="H13" s="96"/>
      <c r="J13" s="162" t="s">
        <v>145</v>
      </c>
      <c r="K13" s="163">
        <v>2196</v>
      </c>
      <c r="L13" s="179"/>
    </row>
    <row r="14" spans="1:12" ht="26.1" customHeight="1">
      <c r="B14" s="78" t="s">
        <v>85</v>
      </c>
      <c r="C14" s="159">
        <f>C7-IF(C20&gt;C9,C20,C9)</f>
        <v>61</v>
      </c>
      <c r="H14" s="96"/>
      <c r="J14" s="164" t="s">
        <v>146</v>
      </c>
      <c r="K14" s="165">
        <v>40</v>
      </c>
      <c r="L14" s="179"/>
    </row>
    <row r="15" spans="1:12" ht="26.1" customHeight="1" thickBot="1">
      <c r="B15" s="78" t="s">
        <v>86</v>
      </c>
      <c r="C15" s="78">
        <f>Well!I15</f>
        <v>150</v>
      </c>
      <c r="E15" s="237" t="s">
        <v>245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Well!J15</f>
        <v>160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32.57</v>
      </c>
      <c r="L16" s="179"/>
    </row>
    <row r="17" spans="2:12" ht="26.1" customHeight="1" thickBot="1">
      <c r="B17" s="78" t="s">
        <v>88</v>
      </c>
      <c r="C17" s="78">
        <f>Well!L15</f>
        <v>3</v>
      </c>
      <c r="E17" s="99">
        <f>Well!P15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22.57</v>
      </c>
      <c r="L17" s="179"/>
    </row>
    <row r="18" spans="2:12" ht="26.1" customHeight="1" thickBot="1">
      <c r="B18" s="78" t="s">
        <v>89</v>
      </c>
      <c r="C18" s="78">
        <f>Well!M15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1.0277777777777778E-2</v>
      </c>
      <c r="L18" s="180">
        <f>K18*100</f>
        <v>1.0277777777777779</v>
      </c>
    </row>
    <row r="19" spans="2:12" ht="26.1" customHeight="1" thickBot="1">
      <c r="B19" s="98" t="s">
        <v>93</v>
      </c>
      <c r="C19" s="98">
        <f>Well!N15</f>
        <v>40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7.43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38.51</v>
      </c>
      <c r="D21" s="93"/>
      <c r="E21" s="103">
        <f>Well!I15</f>
        <v>150</v>
      </c>
      <c r="F21" s="104">
        <f>Well!O15</f>
        <v>614.79999999999995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7.43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1.0277777777777779</v>
      </c>
      <c r="I26" s="149" t="s">
        <v>191</v>
      </c>
      <c r="J26" s="149">
        <f>(E7/C14)/864</f>
        <v>5.5726320582877954E-5</v>
      </c>
      <c r="K26" s="149"/>
    </row>
    <row r="27" spans="2:12" ht="36.75" customHeight="1" thickBot="1">
      <c r="B27" s="536"/>
      <c r="C27" s="148" t="s">
        <v>136</v>
      </c>
      <c r="D27" s="12">
        <v>7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35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138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252</v>
      </c>
      <c r="C2" s="72" t="str">
        <f>Well!D16</f>
        <v>반촌로 267</v>
      </c>
    </row>
    <row r="3" spans="1:12" ht="26.1" customHeight="1">
      <c r="B3" s="73" t="s">
        <v>6</v>
      </c>
      <c r="C3" s="74" t="str">
        <f>Well!C16</f>
        <v>7-1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2.560499906539917</v>
      </c>
      <c r="K3" s="280">
        <f>ROUND(J3,4)</f>
        <v>2.5605000000000002</v>
      </c>
    </row>
    <row r="4" spans="1:12" ht="26.1" customHeight="1">
      <c r="B4" s="78" t="s">
        <v>68</v>
      </c>
      <c r="C4" s="79">
        <f>Well!R16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101</v>
      </c>
      <c r="K4" s="281">
        <f>ROUND(J4,1)</f>
        <v>101</v>
      </c>
    </row>
    <row r="5" spans="1:12" ht="26.1" customHeight="1">
      <c r="B5" s="78" t="s">
        <v>70</v>
      </c>
      <c r="C5" s="79">
        <f>Well!Q16</f>
        <v>9</v>
      </c>
      <c r="D5" s="80" t="s">
        <v>71</v>
      </c>
      <c r="E5" s="156">
        <v>2.6579999999999999</v>
      </c>
      <c r="F5" s="157">
        <f>$E$5/$C$14</f>
        <v>2.6316831683168316E-2</v>
      </c>
      <c r="G5" s="83">
        <v>6.1160000000000001E-4</v>
      </c>
      <c r="I5" s="275" t="s">
        <v>153</v>
      </c>
      <c r="J5" s="274">
        <v>302</v>
      </c>
      <c r="K5" s="281">
        <f>ROUND(J5,1)</f>
        <v>302</v>
      </c>
    </row>
    <row r="6" spans="1:12" ht="26.1" customHeight="1" thickBot="1">
      <c r="B6" s="78" t="s">
        <v>72</v>
      </c>
      <c r="C6" s="118" t="str">
        <f>Well!D16</f>
        <v>반촌로 267</v>
      </c>
      <c r="D6" s="80" t="s">
        <v>74</v>
      </c>
      <c r="E6" s="81">
        <v>2.4630000000000001</v>
      </c>
      <c r="F6" s="157">
        <f>$E$6/$C$14</f>
        <v>2.4386138613861387E-2</v>
      </c>
      <c r="G6" s="83" t="s">
        <v>75</v>
      </c>
      <c r="I6" s="278" t="s">
        <v>306</v>
      </c>
      <c r="J6" s="279">
        <v>8.947368711233139E-3</v>
      </c>
      <c r="K6" s="282">
        <f>ROUND(J6,4)</f>
        <v>8.8999999999999999E-3</v>
      </c>
    </row>
    <row r="7" spans="1:12" ht="26.1" customHeight="1" thickBot="1">
      <c r="B7" s="78" t="s">
        <v>73</v>
      </c>
      <c r="C7" s="78">
        <f>Well!H16</f>
        <v>112</v>
      </c>
      <c r="D7" s="154" t="s">
        <v>77</v>
      </c>
      <c r="E7" s="155">
        <f>(E5+E6)/2</f>
        <v>2.5605000000000002</v>
      </c>
      <c r="F7" s="158">
        <f>$E$7/$C$14</f>
        <v>2.5351485148514853E-2</v>
      </c>
      <c r="G7" s="154">
        <f>G5</f>
        <v>6.1160000000000001E-4</v>
      </c>
    </row>
    <row r="8" spans="1:12" ht="26.1" customHeight="1" thickBot="1">
      <c r="B8" s="78" t="s">
        <v>76</v>
      </c>
      <c r="C8" s="78">
        <f>Well!G16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111.5</v>
      </c>
      <c r="F10" s="89">
        <v>136.6</v>
      </c>
      <c r="G10" s="90">
        <v>99.1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115.7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101</v>
      </c>
      <c r="H12" s="95"/>
      <c r="J12" s="177" t="s">
        <v>153</v>
      </c>
      <c r="K12" s="178">
        <v>122</v>
      </c>
      <c r="L12" s="235">
        <f>K12+180</f>
        <v>302</v>
      </c>
    </row>
    <row r="13" spans="1:12" ht="26.1" customHeight="1">
      <c r="A13" s="93">
        <f>C10+C11+C12+C13</f>
        <v>112</v>
      </c>
      <c r="B13" s="78" t="s">
        <v>84</v>
      </c>
      <c r="C13" s="79"/>
      <c r="E13" s="246" t="str">
        <f>Well!E16</f>
        <v>동진아파트(반촌)</v>
      </c>
      <c r="H13" s="96"/>
      <c r="J13" s="162" t="s">
        <v>145</v>
      </c>
      <c r="K13" s="163">
        <v>2432</v>
      </c>
      <c r="L13" s="179"/>
    </row>
    <row r="14" spans="1:12" ht="26.1" customHeight="1">
      <c r="B14" s="78" t="s">
        <v>85</v>
      </c>
      <c r="C14" s="159">
        <f>C7-IF(C20&gt;C9,C20,C9)</f>
        <v>101</v>
      </c>
      <c r="H14" s="96"/>
      <c r="J14" s="164" t="s">
        <v>146</v>
      </c>
      <c r="K14" s="165">
        <v>35</v>
      </c>
      <c r="L14" s="179"/>
    </row>
    <row r="15" spans="1:12" ht="26.1" customHeight="1" thickBot="1">
      <c r="B15" s="78" t="s">
        <v>86</v>
      </c>
      <c r="C15" s="78">
        <f>Well!I16</f>
        <v>200</v>
      </c>
      <c r="E15" s="237" t="s">
        <v>254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Well!J16</f>
        <v>210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31.759999999999998</v>
      </c>
      <c r="L16" s="179"/>
    </row>
    <row r="17" spans="2:12" ht="26.1" customHeight="1" thickBot="1">
      <c r="B17" s="78" t="s">
        <v>88</v>
      </c>
      <c r="C17" s="78">
        <f>Well!L16</f>
        <v>7.5</v>
      </c>
      <c r="E17" s="99">
        <f>Well!P16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21.759999999999998</v>
      </c>
      <c r="L17" s="179"/>
    </row>
    <row r="18" spans="2:12" ht="26.1" customHeight="1" thickBot="1">
      <c r="B18" s="78" t="s">
        <v>89</v>
      </c>
      <c r="C18" s="78">
        <f>Well!M16</f>
        <v>54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8.9473684210526309E-3</v>
      </c>
      <c r="L18" s="180">
        <f>K18*100</f>
        <v>0.89473684210526305</v>
      </c>
    </row>
    <row r="19" spans="2:12" ht="26.1" customHeight="1" thickBot="1">
      <c r="B19" s="98" t="s">
        <v>93</v>
      </c>
      <c r="C19" s="98">
        <f>Well!N16</f>
        <v>50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3.24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51.27</v>
      </c>
      <c r="D21" s="93"/>
      <c r="E21" s="103">
        <f>Well!I16</f>
        <v>200</v>
      </c>
      <c r="F21" s="104">
        <f>Well!O16</f>
        <v>564.79999999999995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3.24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0.89473684210526305</v>
      </c>
      <c r="I26" s="149" t="s">
        <v>191</v>
      </c>
      <c r="J26" s="149">
        <f>(E7/C14)/864</f>
        <v>2.934199669966997E-5</v>
      </c>
      <c r="K26" s="149"/>
    </row>
    <row r="27" spans="2:12" ht="36.75" customHeight="1" thickBot="1">
      <c r="B27" s="536"/>
      <c r="C27" s="148" t="s">
        <v>136</v>
      </c>
      <c r="D27" s="12">
        <v>9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45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146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abSelected="1" topLeftCell="A13" workbookViewId="0">
      <selection activeCell="O25" sqref="O25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13" width="8.77734375" style="113" customWidth="1"/>
    <col min="14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248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43577.375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7.6023219481773152E-2</v>
      </c>
    </row>
    <row r="8" spans="2:9" s="106" customFormat="1" ht="26.1" customHeight="1">
      <c r="B8" s="243" t="s">
        <v>101</v>
      </c>
      <c r="C8" s="244">
        <v>226</v>
      </c>
      <c r="D8" s="264">
        <v>229</v>
      </c>
      <c r="E8" s="12"/>
      <c r="F8" s="12"/>
    </row>
    <row r="9" spans="2:9" s="106" customFormat="1" ht="26.1" customHeight="1">
      <c r="B9" s="243" t="s">
        <v>102</v>
      </c>
      <c r="C9" s="244">
        <v>7.9</v>
      </c>
      <c r="D9" s="264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>
      <c r="B13" s="493" t="s">
        <v>99</v>
      </c>
      <c r="C13" s="495" t="s">
        <v>105</v>
      </c>
      <c r="D13" s="493" t="s">
        <v>106</v>
      </c>
      <c r="E13" s="494" t="s">
        <v>107</v>
      </c>
      <c r="F13" s="495" t="s">
        <v>108</v>
      </c>
      <c r="G13" s="493" t="s">
        <v>106</v>
      </c>
      <c r="H13" s="494" t="s">
        <v>107</v>
      </c>
      <c r="I13" s="495" t="s">
        <v>108</v>
      </c>
    </row>
    <row r="14" spans="2:9" s="12" customFormat="1" ht="26.1" customHeight="1">
      <c r="B14" s="476">
        <f>$C$6+C14/1440</f>
        <v>43577.378472222219</v>
      </c>
      <c r="C14" s="482">
        <v>5</v>
      </c>
      <c r="D14" s="484">
        <f t="shared" ref="D14:D23" ca="1" si="0">baseTemp+D31</f>
        <v>14.2</v>
      </c>
      <c r="E14" s="478">
        <f t="shared" ref="E14:E23" ca="1" si="1">$C$8+E31</f>
        <v>225</v>
      </c>
      <c r="F14" s="479">
        <f t="shared" ref="F14:F23" ca="1" si="2">$C$9+F31</f>
        <v>7.8000000000000007</v>
      </c>
      <c r="G14" s="486">
        <f t="shared" ref="G14:G23" ca="1" si="3">baseTemp+H31</f>
        <v>13.8</v>
      </c>
      <c r="H14" s="478">
        <f ca="1">$D$8+I31</f>
        <v>226</v>
      </c>
      <c r="I14" s="479">
        <f ca="1">$D$9+J31</f>
        <v>7.7299999999999995</v>
      </c>
    </row>
    <row r="15" spans="2:9" s="12" customFormat="1" ht="26.1" customHeight="1">
      <c r="B15" s="466">
        <f t="shared" ref="B15:B23" si="4">$C$6+C15/1440</f>
        <v>43577.395833333336</v>
      </c>
      <c r="C15" s="465">
        <v>30</v>
      </c>
      <c r="D15" s="335">
        <f t="shared" ca="1" si="0"/>
        <v>13.8</v>
      </c>
      <c r="E15" s="467">
        <f t="shared" ca="1" si="1"/>
        <v>225</v>
      </c>
      <c r="F15" s="468">
        <f t="shared" ca="1" si="2"/>
        <v>7.99</v>
      </c>
      <c r="G15" s="486">
        <f t="shared" ca="1" si="3"/>
        <v>14.1</v>
      </c>
      <c r="H15" s="478">
        <f t="shared" ref="H15:H23" ca="1" si="5">$D$8+I32</f>
        <v>231</v>
      </c>
      <c r="I15" s="479">
        <f t="shared" ref="I15:I22" ca="1" si="6">$D$9+J32</f>
        <v>7.7299999999999995</v>
      </c>
    </row>
    <row r="16" spans="2:9" s="12" customFormat="1" ht="26.1" customHeight="1">
      <c r="B16" s="466">
        <f t="shared" si="4"/>
        <v>43577.416666666664</v>
      </c>
      <c r="C16" s="465">
        <v>60</v>
      </c>
      <c r="D16" s="335">
        <f t="shared" ca="1" si="0"/>
        <v>14.2</v>
      </c>
      <c r="E16" s="467">
        <f t="shared" ca="1" si="1"/>
        <v>225</v>
      </c>
      <c r="F16" s="468">
        <f t="shared" ca="1" si="2"/>
        <v>7.82</v>
      </c>
      <c r="G16" s="486">
        <f t="shared" ca="1" si="3"/>
        <v>14.3</v>
      </c>
      <c r="H16" s="478">
        <f t="shared" ca="1" si="5"/>
        <v>226</v>
      </c>
      <c r="I16" s="479">
        <f t="shared" ca="1" si="6"/>
        <v>7.89</v>
      </c>
    </row>
    <row r="17" spans="2:10" s="12" customFormat="1" ht="26.1" customHeight="1">
      <c r="B17" s="466">
        <f t="shared" si="4"/>
        <v>43577.458333333336</v>
      </c>
      <c r="C17" s="465">
        <v>120</v>
      </c>
      <c r="D17" s="335">
        <f t="shared" ca="1" si="0"/>
        <v>13.9</v>
      </c>
      <c r="E17" s="467">
        <f t="shared" ca="1" si="1"/>
        <v>223</v>
      </c>
      <c r="F17" s="468">
        <f t="shared" ca="1" si="2"/>
        <v>7.8100000000000005</v>
      </c>
      <c r="G17" s="486">
        <f t="shared" ca="1" si="3"/>
        <v>13.9</v>
      </c>
      <c r="H17" s="478">
        <f t="shared" ca="1" si="5"/>
        <v>232</v>
      </c>
      <c r="I17" s="479">
        <f t="shared" ca="1" si="6"/>
        <v>7.7299999999999995</v>
      </c>
    </row>
    <row r="18" spans="2:10" s="12" customFormat="1" ht="26.1" customHeight="1">
      <c r="B18" s="466">
        <f t="shared" si="4"/>
        <v>43577.541666666664</v>
      </c>
      <c r="C18" s="465">
        <v>240</v>
      </c>
      <c r="D18" s="335">
        <f t="shared" ca="1" si="0"/>
        <v>13.9</v>
      </c>
      <c r="E18" s="467">
        <f t="shared" ca="1" si="1"/>
        <v>229</v>
      </c>
      <c r="F18" s="468">
        <f t="shared" ca="1" si="2"/>
        <v>8</v>
      </c>
      <c r="G18" s="486">
        <f t="shared" ca="1" si="3"/>
        <v>13.8</v>
      </c>
      <c r="H18" s="478">
        <f t="shared" ca="1" si="5"/>
        <v>231</v>
      </c>
      <c r="I18" s="479">
        <f t="shared" ca="1" si="6"/>
        <v>7.91</v>
      </c>
    </row>
    <row r="19" spans="2:10" s="12" customFormat="1" ht="26.1" customHeight="1">
      <c r="B19" s="466">
        <f t="shared" si="4"/>
        <v>43577.708333333336</v>
      </c>
      <c r="C19" s="465">
        <v>480</v>
      </c>
      <c r="D19" s="335">
        <f t="shared" ca="1" si="0"/>
        <v>14.2</v>
      </c>
      <c r="E19" s="467">
        <f t="shared" ca="1" si="1"/>
        <v>225</v>
      </c>
      <c r="F19" s="468">
        <f t="shared" ca="1" si="2"/>
        <v>7.8100000000000005</v>
      </c>
      <c r="G19" s="486">
        <f t="shared" ca="1" si="3"/>
        <v>14.2</v>
      </c>
      <c r="H19" s="478">
        <f t="shared" ca="1" si="5"/>
        <v>230</v>
      </c>
      <c r="I19" s="479">
        <f t="shared" ca="1" si="6"/>
        <v>7.68</v>
      </c>
    </row>
    <row r="20" spans="2:10" s="106" customFormat="1" ht="26.1" customHeight="1">
      <c r="B20" s="466">
        <f t="shared" si="4"/>
        <v>43578.375</v>
      </c>
      <c r="C20" s="465">
        <v>1440</v>
      </c>
      <c r="D20" s="335">
        <f t="shared" ca="1" si="0"/>
        <v>13.9</v>
      </c>
      <c r="E20" s="467">
        <f t="shared" ca="1" si="1"/>
        <v>227</v>
      </c>
      <c r="F20" s="468">
        <f t="shared" ca="1" si="2"/>
        <v>7.98</v>
      </c>
      <c r="G20" s="486">
        <f t="shared" ca="1" si="3"/>
        <v>13.9</v>
      </c>
      <c r="H20" s="478">
        <f t="shared" ca="1" si="5"/>
        <v>231</v>
      </c>
      <c r="I20" s="479">
        <f t="shared" ca="1" si="6"/>
        <v>7.87</v>
      </c>
    </row>
    <row r="21" spans="2:10" s="106" customFormat="1" ht="26.1" customHeight="1">
      <c r="B21" s="466">
        <f t="shared" si="4"/>
        <v>43578.541666666664</v>
      </c>
      <c r="C21" s="465">
        <v>1680</v>
      </c>
      <c r="D21" s="335">
        <f t="shared" ca="1" si="0"/>
        <v>14.1</v>
      </c>
      <c r="E21" s="467">
        <f t="shared" ca="1" si="1"/>
        <v>229</v>
      </c>
      <c r="F21" s="468">
        <f t="shared" ca="1" si="2"/>
        <v>7.78</v>
      </c>
      <c r="G21" s="486">
        <f t="shared" ca="1" si="3"/>
        <v>13.7</v>
      </c>
      <c r="H21" s="478">
        <f t="shared" ca="1" si="5"/>
        <v>226</v>
      </c>
      <c r="I21" s="479">
        <f t="shared" ca="1" si="6"/>
        <v>7.7299999999999995</v>
      </c>
    </row>
    <row r="22" spans="2:10" s="106" customFormat="1" ht="26.1" customHeight="1">
      <c r="B22" s="466">
        <f t="shared" si="4"/>
        <v>43578.708333333336</v>
      </c>
      <c r="C22" s="465">
        <v>1920</v>
      </c>
      <c r="D22" s="335">
        <f t="shared" ca="1" si="0"/>
        <v>13.8</v>
      </c>
      <c r="E22" s="467">
        <f t="shared" ca="1" si="1"/>
        <v>223</v>
      </c>
      <c r="F22" s="468">
        <f t="shared" ca="1" si="2"/>
        <v>7.8100000000000005</v>
      </c>
      <c r="G22" s="486">
        <f t="shared" ca="1" si="3"/>
        <v>13.7</v>
      </c>
      <c r="H22" s="478">
        <f t="shared" ca="1" si="5"/>
        <v>230</v>
      </c>
      <c r="I22" s="479">
        <f t="shared" ca="1" si="6"/>
        <v>7.71</v>
      </c>
    </row>
    <row r="23" spans="2:10" s="106" customFormat="1" ht="26.1" customHeight="1">
      <c r="B23" s="471">
        <f t="shared" si="4"/>
        <v>43579.375</v>
      </c>
      <c r="C23" s="483">
        <v>2880</v>
      </c>
      <c r="D23" s="340">
        <f t="shared" ca="1" si="0"/>
        <v>14.2</v>
      </c>
      <c r="E23" s="472">
        <f t="shared" ca="1" si="1"/>
        <v>227</v>
      </c>
      <c r="F23" s="473">
        <f t="shared" ca="1" si="2"/>
        <v>7.8000000000000007</v>
      </c>
      <c r="G23" s="506">
        <f t="shared" ca="1" si="3"/>
        <v>13.8</v>
      </c>
      <c r="H23" s="507">
        <f t="shared" ca="1" si="5"/>
        <v>228</v>
      </c>
      <c r="I23" s="473">
        <f t="shared" ref="I23" ca="1" si="7">$D$9+J40-0.02</f>
        <v>7.6800000000000006</v>
      </c>
    </row>
    <row r="24" spans="2:10" s="106" customFormat="1" ht="26.1" customHeight="1">
      <c r="B24" s="543" t="s">
        <v>48</v>
      </c>
      <c r="C24" s="544"/>
      <c r="D24" s="493">
        <f ca="1">MAX(D14:D23)</f>
        <v>14.2</v>
      </c>
      <c r="E24" s="494">
        <f t="shared" ref="E24:F24" ca="1" si="8">MAX(E14:E23)</f>
        <v>229</v>
      </c>
      <c r="F24" s="495">
        <f t="shared" ca="1" si="8"/>
        <v>8</v>
      </c>
      <c r="G24" s="493">
        <f ca="1">MAX(G14:G23)</f>
        <v>14.3</v>
      </c>
      <c r="H24" s="494">
        <f t="shared" ref="H24:I24" ca="1" si="9">MAX(H14:H23)</f>
        <v>232</v>
      </c>
      <c r="I24" s="495">
        <f t="shared" ca="1" si="9"/>
        <v>7.91</v>
      </c>
      <c r="J24" s="245"/>
    </row>
    <row r="25" spans="2:10" s="106" customFormat="1" ht="26.1" customHeight="1">
      <c r="B25" s="543" t="s">
        <v>49</v>
      </c>
      <c r="C25" s="544"/>
      <c r="D25" s="493">
        <f ca="1">MIN(D14:D23)</f>
        <v>13.8</v>
      </c>
      <c r="E25" s="494">
        <f t="shared" ref="E25:F25" ca="1" si="10">MIN(E14:E23)</f>
        <v>223</v>
      </c>
      <c r="F25" s="510">
        <f t="shared" ca="1" si="10"/>
        <v>7.78</v>
      </c>
      <c r="G25" s="493">
        <f ca="1">MIN(G14:G23)</f>
        <v>13.7</v>
      </c>
      <c r="H25" s="494">
        <f t="shared" ref="H25:I25" ca="1" si="11">MIN(H14:H23)</f>
        <v>226</v>
      </c>
      <c r="I25" s="495">
        <f t="shared" ca="1" si="11"/>
        <v>7.68</v>
      </c>
      <c r="J25" s="245"/>
    </row>
    <row r="26" spans="2:10" s="106" customFormat="1" ht="26.1" customHeight="1" thickBot="1">
      <c r="B26" s="545" t="s">
        <v>109</v>
      </c>
      <c r="C26" s="546"/>
      <c r="D26" s="487">
        <f ca="1">D24-D25</f>
        <v>0.39999999999999858</v>
      </c>
      <c r="E26" s="489">
        <f t="shared" ref="E26:F26" ca="1" si="12">E24-E25</f>
        <v>6</v>
      </c>
      <c r="F26" s="488">
        <f t="shared" ca="1" si="12"/>
        <v>0.21999999999999975</v>
      </c>
      <c r="G26" s="487">
        <f ca="1">G24-G25</f>
        <v>0.60000000000000142</v>
      </c>
      <c r="H26" s="489">
        <f t="shared" ref="H26:I26" ca="1" si="13">H24-H25</f>
        <v>6</v>
      </c>
      <c r="I26" s="488">
        <f t="shared" ca="1" si="13"/>
        <v>0.23000000000000043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f ca="1">ROUND(myRandBetween(1,3,10), 1)</f>
        <v>0.2</v>
      </c>
      <c r="E31" s="464">
        <f ca="1">myRandBetween(1,3,1)</f>
        <v>-1</v>
      </c>
      <c r="F31" s="485">
        <f ca="1">ROUND(myRandBetween(7,12,100), 2)</f>
        <v>-0.1</v>
      </c>
      <c r="H31" s="496">
        <f ca="1">ROUND(myRandBetween(1,3,10), 1)</f>
        <v>-0.2</v>
      </c>
      <c r="I31" s="477">
        <f ca="1">myRandBetween(1,3,1)</f>
        <v>-3</v>
      </c>
      <c r="J31" s="497">
        <f ca="1">ROUND(myRandBetween(7,12,100), 2)</f>
        <v>-7.0000000000000007E-2</v>
      </c>
    </row>
    <row r="32" spans="2:10" s="106" customFormat="1" ht="18" customHeight="1">
      <c r="D32" s="490">
        <f t="shared" ref="D32:D40" ca="1" si="14">ROUND(myRandBetween(1,3,10), 1)</f>
        <v>-0.2</v>
      </c>
      <c r="E32" s="464">
        <f t="shared" ref="E32:E40" ca="1" si="15">myRandBetween(1,3,1)</f>
        <v>-1</v>
      </c>
      <c r="F32" s="485">
        <f t="shared" ref="F32:F40" ca="1" si="16">ROUND(myRandBetween(7,12,100), 2)</f>
        <v>0.09</v>
      </c>
      <c r="H32" s="490">
        <f t="shared" ref="H32:H40" ca="1" si="17">ROUND(myRandBetween(1,3,10), 1)</f>
        <v>0.1</v>
      </c>
      <c r="I32" s="464">
        <f t="shared" ref="I32:I40" ca="1" si="18">myRandBetween(1,3,1)</f>
        <v>2</v>
      </c>
      <c r="J32" s="497">
        <f t="shared" ref="J32:J40" ca="1" si="19">ROUND(myRandBetween(7,12,100), 2)</f>
        <v>-7.0000000000000007E-2</v>
      </c>
    </row>
    <row r="33" spans="4:10" s="106" customFormat="1" ht="18" customHeight="1">
      <c r="D33" s="490">
        <f ca="1">ROUND(myRandBetween(1,3,10), 1)</f>
        <v>0.2</v>
      </c>
      <c r="E33" s="464">
        <f t="shared" ca="1" si="15"/>
        <v>-1</v>
      </c>
      <c r="F33" s="485">
        <f t="shared" ca="1" si="16"/>
        <v>-0.08</v>
      </c>
      <c r="H33" s="490">
        <f t="shared" ca="1" si="17"/>
        <v>0.3</v>
      </c>
      <c r="I33" s="464">
        <f t="shared" ca="1" si="18"/>
        <v>-3</v>
      </c>
      <c r="J33" s="497">
        <f t="shared" ca="1" si="19"/>
        <v>0.09</v>
      </c>
    </row>
    <row r="34" spans="4:10" s="106" customFormat="1" ht="18" customHeight="1">
      <c r="D34" s="490">
        <f t="shared" ca="1" si="14"/>
        <v>-0.1</v>
      </c>
      <c r="E34" s="464">
        <f t="shared" ca="1" si="15"/>
        <v>-3</v>
      </c>
      <c r="F34" s="485">
        <f t="shared" ca="1" si="16"/>
        <v>-0.09</v>
      </c>
      <c r="H34" s="490">
        <f t="shared" ca="1" si="17"/>
        <v>-0.1</v>
      </c>
      <c r="I34" s="464">
        <f t="shared" ca="1" si="18"/>
        <v>3</v>
      </c>
      <c r="J34" s="497">
        <f t="shared" ca="1" si="19"/>
        <v>-7.0000000000000007E-2</v>
      </c>
    </row>
    <row r="35" spans="4:10" s="106" customFormat="1" ht="18" customHeight="1">
      <c r="D35" s="490">
        <f t="shared" ca="1" si="14"/>
        <v>-0.1</v>
      </c>
      <c r="E35" s="464">
        <f t="shared" ca="1" si="15"/>
        <v>3</v>
      </c>
      <c r="F35" s="485">
        <f t="shared" ca="1" si="16"/>
        <v>0.1</v>
      </c>
      <c r="H35" s="490">
        <f t="shared" ca="1" si="17"/>
        <v>-0.2</v>
      </c>
      <c r="I35" s="464">
        <f t="shared" ca="1" si="18"/>
        <v>2</v>
      </c>
      <c r="J35" s="497">
        <f t="shared" ca="1" si="19"/>
        <v>0.11</v>
      </c>
    </row>
    <row r="36" spans="4:10" s="106" customFormat="1" ht="18" customHeight="1">
      <c r="D36" s="490">
        <f t="shared" ca="1" si="14"/>
        <v>0.2</v>
      </c>
      <c r="E36" s="464">
        <f t="shared" ca="1" si="15"/>
        <v>-1</v>
      </c>
      <c r="F36" s="485">
        <f t="shared" ca="1" si="16"/>
        <v>-0.09</v>
      </c>
      <c r="H36" s="490">
        <f t="shared" ca="1" si="17"/>
        <v>0.2</v>
      </c>
      <c r="I36" s="464">
        <f t="shared" ca="1" si="18"/>
        <v>1</v>
      </c>
      <c r="J36" s="497">
        <f t="shared" ca="1" si="19"/>
        <v>-0.12</v>
      </c>
    </row>
    <row r="37" spans="4:10" s="106" customFormat="1" ht="18" customHeight="1">
      <c r="D37" s="490">
        <f t="shared" ca="1" si="14"/>
        <v>-0.1</v>
      </c>
      <c r="E37" s="464">
        <f t="shared" ca="1" si="15"/>
        <v>1</v>
      </c>
      <c r="F37" s="485">
        <f t="shared" ca="1" si="16"/>
        <v>0.08</v>
      </c>
      <c r="H37" s="490">
        <f t="shared" ca="1" si="17"/>
        <v>-0.1</v>
      </c>
      <c r="I37" s="464">
        <f t="shared" ca="1" si="18"/>
        <v>2</v>
      </c>
      <c r="J37" s="497">
        <f t="shared" ca="1" si="19"/>
        <v>7.0000000000000007E-2</v>
      </c>
    </row>
    <row r="38" spans="4:10" ht="18" customHeight="1">
      <c r="D38" s="490">
        <f t="shared" ca="1" si="14"/>
        <v>0.1</v>
      </c>
      <c r="E38" s="464">
        <f t="shared" ca="1" si="15"/>
        <v>3</v>
      </c>
      <c r="F38" s="485">
        <f t="shared" ca="1" si="16"/>
        <v>-0.12</v>
      </c>
      <c r="H38" s="490">
        <f t="shared" ca="1" si="17"/>
        <v>-0.3</v>
      </c>
      <c r="I38" s="464">
        <f t="shared" ca="1" si="18"/>
        <v>-3</v>
      </c>
      <c r="J38" s="497">
        <f t="shared" ca="1" si="19"/>
        <v>-7.0000000000000007E-2</v>
      </c>
    </row>
    <row r="39" spans="4:10" ht="18" customHeight="1">
      <c r="D39" s="490">
        <f t="shared" ca="1" si="14"/>
        <v>-0.2</v>
      </c>
      <c r="E39" s="464">
        <f t="shared" ca="1" si="15"/>
        <v>-3</v>
      </c>
      <c r="F39" s="485">
        <f t="shared" ca="1" si="16"/>
        <v>-0.09</v>
      </c>
      <c r="H39" s="490">
        <f t="shared" ca="1" si="17"/>
        <v>-0.3</v>
      </c>
      <c r="I39" s="464">
        <f t="shared" ca="1" si="18"/>
        <v>1</v>
      </c>
      <c r="J39" s="497">
        <f t="shared" ca="1" si="19"/>
        <v>-0.09</v>
      </c>
    </row>
    <row r="40" spans="4:10" ht="18" customHeight="1" thickBot="1">
      <c r="D40" s="491">
        <f t="shared" ca="1" si="14"/>
        <v>0.2</v>
      </c>
      <c r="E40" s="469">
        <f t="shared" ca="1" si="15"/>
        <v>1</v>
      </c>
      <c r="F40" s="492">
        <f t="shared" ca="1" si="16"/>
        <v>-0.1</v>
      </c>
      <c r="H40" s="491">
        <f t="shared" ca="1" si="17"/>
        <v>-0.2</v>
      </c>
      <c r="I40" s="469">
        <f t="shared" ca="1" si="18"/>
        <v>-1</v>
      </c>
      <c r="J40" s="511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.77734375" style="113" bestFit="1" customWidth="1"/>
    <col min="4" max="4" width="7.33203125" style="113" customWidth="1"/>
    <col min="5" max="6" width="7.33203125" style="112" customWidth="1"/>
    <col min="7" max="12" width="7.33203125" style="113" customWidth="1"/>
    <col min="13" max="23" width="6.77734375" style="113" customWidth="1"/>
    <col min="24" max="16384" width="8.88671875" style="113"/>
  </cols>
  <sheetData>
    <row r="1" spans="2:12" s="106" customFormat="1" ht="18" customHeight="1">
      <c r="E1" s="12"/>
      <c r="F1" s="12"/>
    </row>
    <row r="2" spans="2:12" s="106" customFormat="1" ht="18" customHeight="1">
      <c r="B2" s="106" t="s">
        <v>98</v>
      </c>
      <c r="E2" s="12"/>
      <c r="F2" s="12"/>
    </row>
    <row r="3" spans="2:12" s="106" customFormat="1" ht="18" customHeight="1">
      <c r="E3" s="12" t="s">
        <v>249</v>
      </c>
      <c r="F3" s="12"/>
    </row>
    <row r="4" spans="2:12" s="106" customFormat="1" ht="18" customHeight="1">
      <c r="B4" s="239" t="s">
        <v>111</v>
      </c>
      <c r="E4" s="12"/>
      <c r="F4" s="12"/>
    </row>
    <row r="5" spans="2:12" s="106" customFormat="1" ht="18" customHeight="1" thickBot="1">
      <c r="E5" s="12"/>
      <c r="F5" s="12"/>
    </row>
    <row r="6" spans="2:12" s="106" customFormat="1" ht="26.1" customHeight="1" thickBot="1">
      <c r="B6" s="240" t="s">
        <v>99</v>
      </c>
      <c r="C6" s="241">
        <v>43580.375</v>
      </c>
      <c r="D6" s="242"/>
      <c r="E6" s="12"/>
      <c r="F6" s="12"/>
    </row>
    <row r="7" spans="2:12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5.3942579705501981E-2</v>
      </c>
    </row>
    <row r="8" spans="2:12" s="106" customFormat="1" ht="26.1" customHeight="1">
      <c r="B8" s="243" t="s">
        <v>101</v>
      </c>
      <c r="C8" s="244">
        <v>233</v>
      </c>
      <c r="D8" s="264">
        <v>238</v>
      </c>
      <c r="E8" s="12">
        <v>231</v>
      </c>
      <c r="F8" s="12"/>
    </row>
    <row r="9" spans="2:12" s="106" customFormat="1" ht="26.1" customHeight="1">
      <c r="B9" s="243" t="s">
        <v>102</v>
      </c>
      <c r="C9" s="244">
        <v>6.2</v>
      </c>
      <c r="D9" s="264">
        <v>6.3</v>
      </c>
      <c r="E9" s="12">
        <v>6.7</v>
      </c>
      <c r="F9" s="12"/>
    </row>
    <row r="10" spans="2:12" s="106" customFormat="1" ht="26.1" customHeight="1">
      <c r="B10" s="243"/>
      <c r="C10" s="244"/>
      <c r="D10" s="242"/>
      <c r="E10" s="12"/>
      <c r="F10" s="12"/>
    </row>
    <row r="11" spans="2:12" s="106" customFormat="1" ht="18" customHeight="1" thickBot="1">
      <c r="E11" s="12"/>
      <c r="F11" s="12"/>
    </row>
    <row r="12" spans="2:12" s="12" customFormat="1" ht="27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  <c r="J12" s="547" t="s">
        <v>274</v>
      </c>
      <c r="K12" s="541"/>
      <c r="L12" s="542"/>
    </row>
    <row r="13" spans="2:12" s="12" customFormat="1" ht="27" customHeight="1">
      <c r="B13" s="493" t="s">
        <v>99</v>
      </c>
      <c r="C13" s="495" t="s">
        <v>105</v>
      </c>
      <c r="D13" s="493" t="s">
        <v>275</v>
      </c>
      <c r="E13" s="494" t="s">
        <v>276</v>
      </c>
      <c r="F13" s="495" t="s">
        <v>108</v>
      </c>
      <c r="G13" s="493" t="s">
        <v>275</v>
      </c>
      <c r="H13" s="494" t="s">
        <v>276</v>
      </c>
      <c r="I13" s="495" t="s">
        <v>108</v>
      </c>
      <c r="J13" s="501" t="s">
        <v>275</v>
      </c>
      <c r="K13" s="494" t="s">
        <v>276</v>
      </c>
      <c r="L13" s="495" t="s">
        <v>108</v>
      </c>
    </row>
    <row r="14" spans="2:12" s="12" customFormat="1" ht="27" customHeight="1">
      <c r="B14" s="476">
        <f>$C$6+C14/1440</f>
        <v>43580.378472222219</v>
      </c>
      <c r="C14" s="482">
        <v>5</v>
      </c>
      <c r="D14" s="484">
        <f t="shared" ref="D14:D23" ca="1" si="0">baseTemp+D31</f>
        <v>13.7</v>
      </c>
      <c r="E14" s="478">
        <f t="shared" ref="E14:E23" ca="1" si="1">$C$8+E31</f>
        <v>236</v>
      </c>
      <c r="F14" s="479">
        <f t="shared" ref="F14:F23" ca="1" si="2">$C$9+F31</f>
        <v>6.32</v>
      </c>
      <c r="G14" s="486">
        <f t="shared" ref="G14:G23" ca="1" si="3">baseTemp+H31</f>
        <v>13.8</v>
      </c>
      <c r="H14" s="478">
        <f ca="1">$D$8+I31</f>
        <v>236</v>
      </c>
      <c r="I14" s="479">
        <f ca="1">$D$9+J31</f>
        <v>6.38</v>
      </c>
      <c r="J14" s="505">
        <f t="shared" ref="J14:J23" ca="1" si="4">baseTemp+L31</f>
        <v>13.8</v>
      </c>
      <c r="K14" s="478">
        <f ca="1">$E$8+M31</f>
        <v>234</v>
      </c>
      <c r="L14" s="479">
        <f ca="1">$E$9+N31</f>
        <v>6.82</v>
      </c>
    </row>
    <row r="15" spans="2:12" s="12" customFormat="1" ht="27" customHeight="1">
      <c r="B15" s="466">
        <f t="shared" ref="B15:B23" si="5">$C$6+C15/1440</f>
        <v>43580.395833333336</v>
      </c>
      <c r="C15" s="465">
        <v>30</v>
      </c>
      <c r="D15" s="335">
        <f t="shared" ca="1" si="0"/>
        <v>13.7</v>
      </c>
      <c r="E15" s="467">
        <f t="shared" ca="1" si="1"/>
        <v>236</v>
      </c>
      <c r="F15" s="468">
        <f t="shared" ca="1" si="2"/>
        <v>6.09</v>
      </c>
      <c r="G15" s="486">
        <f t="shared" ca="1" si="3"/>
        <v>14.2</v>
      </c>
      <c r="H15" s="478">
        <f t="shared" ref="H15:H23" ca="1" si="6">$D$8+I32</f>
        <v>236</v>
      </c>
      <c r="I15" s="479">
        <f t="shared" ref="I15:I23" ca="1" si="7">$D$9+J32</f>
        <v>6.1899999999999995</v>
      </c>
      <c r="J15" s="505">
        <f t="shared" ca="1" si="4"/>
        <v>14.3</v>
      </c>
      <c r="K15" s="478">
        <f t="shared" ref="K15:K23" ca="1" si="8">$E$8+M32</f>
        <v>233</v>
      </c>
      <c r="L15" s="479">
        <f t="shared" ref="L15:L23" ca="1" si="9">$E$9+N32</f>
        <v>6.61</v>
      </c>
    </row>
    <row r="16" spans="2:12" s="12" customFormat="1" ht="27" customHeight="1">
      <c r="B16" s="466">
        <f t="shared" si="5"/>
        <v>43580.416666666664</v>
      </c>
      <c r="C16" s="465">
        <v>60</v>
      </c>
      <c r="D16" s="335">
        <f t="shared" ca="1" si="0"/>
        <v>13.9</v>
      </c>
      <c r="E16" s="467">
        <f t="shared" ca="1" si="1"/>
        <v>234</v>
      </c>
      <c r="F16" s="468">
        <f t="shared" ca="1" si="2"/>
        <v>6.08</v>
      </c>
      <c r="G16" s="486">
        <f t="shared" ca="1" si="3"/>
        <v>13.7</v>
      </c>
      <c r="H16" s="478">
        <f t="shared" ca="1" si="6"/>
        <v>236</v>
      </c>
      <c r="I16" s="479">
        <f t="shared" ca="1" si="7"/>
        <v>6.39</v>
      </c>
      <c r="J16" s="505">
        <f t="shared" ca="1" si="4"/>
        <v>14.3</v>
      </c>
      <c r="K16" s="478">
        <f t="shared" ca="1" si="8"/>
        <v>232</v>
      </c>
      <c r="L16" s="479">
        <f t="shared" ca="1" si="9"/>
        <v>6.8100000000000005</v>
      </c>
    </row>
    <row r="17" spans="2:14" s="12" customFormat="1" ht="27" customHeight="1">
      <c r="B17" s="466">
        <f t="shared" si="5"/>
        <v>43580.458333333336</v>
      </c>
      <c r="C17" s="465">
        <v>120</v>
      </c>
      <c r="D17" s="335">
        <f t="shared" ca="1" si="0"/>
        <v>13.9</v>
      </c>
      <c r="E17" s="467">
        <f t="shared" ca="1" si="1"/>
        <v>236</v>
      </c>
      <c r="F17" s="468">
        <f t="shared" ca="1" si="2"/>
        <v>6.3</v>
      </c>
      <c r="G17" s="486">
        <f t="shared" ca="1" si="3"/>
        <v>14.2</v>
      </c>
      <c r="H17" s="478">
        <f t="shared" ca="1" si="6"/>
        <v>240</v>
      </c>
      <c r="I17" s="479">
        <f t="shared" ca="1" si="7"/>
        <v>6.1899999999999995</v>
      </c>
      <c r="J17" s="505">
        <f t="shared" ca="1" si="4"/>
        <v>13.7</v>
      </c>
      <c r="K17" s="478">
        <f t="shared" ca="1" si="8"/>
        <v>234</v>
      </c>
      <c r="L17" s="479">
        <f t="shared" ca="1" si="9"/>
        <v>6.61</v>
      </c>
    </row>
    <row r="18" spans="2:14" s="12" customFormat="1" ht="27" customHeight="1">
      <c r="B18" s="466">
        <f t="shared" si="5"/>
        <v>43580.541666666664</v>
      </c>
      <c r="C18" s="465">
        <v>240</v>
      </c>
      <c r="D18" s="335">
        <f t="shared" ca="1" si="0"/>
        <v>14.2</v>
      </c>
      <c r="E18" s="467">
        <f t="shared" ca="1" si="1"/>
        <v>230</v>
      </c>
      <c r="F18" s="468">
        <f t="shared" ca="1" si="2"/>
        <v>6.08</v>
      </c>
      <c r="G18" s="486">
        <f t="shared" ca="1" si="3"/>
        <v>14.2</v>
      </c>
      <c r="H18" s="478">
        <f t="shared" ca="1" si="6"/>
        <v>239</v>
      </c>
      <c r="I18" s="479">
        <f t="shared" ca="1" si="7"/>
        <v>6.21</v>
      </c>
      <c r="J18" s="505">
        <f t="shared" ca="1" si="4"/>
        <v>14.2</v>
      </c>
      <c r="K18" s="478">
        <f t="shared" ca="1" si="8"/>
        <v>232</v>
      </c>
      <c r="L18" s="479">
        <f t="shared" ca="1" si="9"/>
        <v>6.7700000000000005</v>
      </c>
    </row>
    <row r="19" spans="2:14" s="12" customFormat="1" ht="27" customHeight="1">
      <c r="B19" s="466">
        <f t="shared" si="5"/>
        <v>43580.708333333336</v>
      </c>
      <c r="C19" s="465">
        <v>480</v>
      </c>
      <c r="D19" s="335">
        <f t="shared" ca="1" si="0"/>
        <v>13.7</v>
      </c>
      <c r="E19" s="467">
        <f t="shared" ca="1" si="1"/>
        <v>236</v>
      </c>
      <c r="F19" s="468">
        <f t="shared" ca="1" si="2"/>
        <v>6.2700000000000005</v>
      </c>
      <c r="G19" s="486">
        <f t="shared" ca="1" si="3"/>
        <v>14.3</v>
      </c>
      <c r="H19" s="478">
        <f t="shared" ca="1" si="6"/>
        <v>241</v>
      </c>
      <c r="I19" s="479">
        <f t="shared" ca="1" si="7"/>
        <v>6.1899999999999995</v>
      </c>
      <c r="J19" s="505">
        <f t="shared" ca="1" si="4"/>
        <v>13.7</v>
      </c>
      <c r="K19" s="478">
        <f t="shared" ca="1" si="8"/>
        <v>229</v>
      </c>
      <c r="L19" s="479">
        <f t="shared" ca="1" si="9"/>
        <v>6.7700000000000005</v>
      </c>
    </row>
    <row r="20" spans="2:14" s="106" customFormat="1" ht="27" customHeight="1">
      <c r="B20" s="466">
        <f t="shared" si="5"/>
        <v>43581.375</v>
      </c>
      <c r="C20" s="465">
        <v>1440</v>
      </c>
      <c r="D20" s="335">
        <f t="shared" ca="1" si="0"/>
        <v>14.2</v>
      </c>
      <c r="E20" s="467">
        <f t="shared" ca="1" si="1"/>
        <v>235</v>
      </c>
      <c r="F20" s="468">
        <f t="shared" ca="1" si="2"/>
        <v>6.3</v>
      </c>
      <c r="G20" s="486">
        <f t="shared" ca="1" si="3"/>
        <v>14.1</v>
      </c>
      <c r="H20" s="478">
        <f t="shared" ca="1" si="6"/>
        <v>236</v>
      </c>
      <c r="I20" s="479">
        <f t="shared" ca="1" si="7"/>
        <v>6.38</v>
      </c>
      <c r="J20" s="505">
        <f t="shared" ca="1" si="4"/>
        <v>14.1</v>
      </c>
      <c r="K20" s="478">
        <f t="shared" ca="1" si="8"/>
        <v>228</v>
      </c>
      <c r="L20" s="479">
        <f t="shared" ca="1" si="9"/>
        <v>6.78</v>
      </c>
    </row>
    <row r="21" spans="2:14" s="106" customFormat="1" ht="27" customHeight="1">
      <c r="B21" s="466">
        <f t="shared" si="5"/>
        <v>43581.541666666664</v>
      </c>
      <c r="C21" s="465">
        <v>1680</v>
      </c>
      <c r="D21" s="335">
        <f t="shared" ca="1" si="0"/>
        <v>13.7</v>
      </c>
      <c r="E21" s="467">
        <f t="shared" ca="1" si="1"/>
        <v>235</v>
      </c>
      <c r="F21" s="468">
        <f t="shared" ca="1" si="2"/>
        <v>6.2700000000000005</v>
      </c>
      <c r="G21" s="486">
        <f t="shared" ca="1" si="3"/>
        <v>13.7</v>
      </c>
      <c r="H21" s="478">
        <f t="shared" ca="1" si="6"/>
        <v>235</v>
      </c>
      <c r="I21" s="479">
        <f t="shared" ca="1" si="7"/>
        <v>6.1899999999999995</v>
      </c>
      <c r="J21" s="505">
        <f t="shared" ca="1" si="4"/>
        <v>14.3</v>
      </c>
      <c r="K21" s="478">
        <f t="shared" ca="1" si="8"/>
        <v>234</v>
      </c>
      <c r="L21" s="479">
        <f t="shared" ca="1" si="9"/>
        <v>6.61</v>
      </c>
    </row>
    <row r="22" spans="2:14" s="106" customFormat="1" ht="27" customHeight="1">
      <c r="B22" s="466">
        <f t="shared" si="5"/>
        <v>43581.708333333336</v>
      </c>
      <c r="C22" s="465">
        <v>1920</v>
      </c>
      <c r="D22" s="335">
        <f t="shared" ca="1" si="0"/>
        <v>13.7</v>
      </c>
      <c r="E22" s="467">
        <f t="shared" ca="1" si="1"/>
        <v>234</v>
      </c>
      <c r="F22" s="468">
        <f t="shared" ca="1" si="2"/>
        <v>6.32</v>
      </c>
      <c r="G22" s="486">
        <f t="shared" ca="1" si="3"/>
        <v>13.8</v>
      </c>
      <c r="H22" s="478">
        <f t="shared" ca="1" si="6"/>
        <v>239</v>
      </c>
      <c r="I22" s="479">
        <f t="shared" ca="1" si="7"/>
        <v>6.41</v>
      </c>
      <c r="J22" s="505">
        <f t="shared" ca="1" si="4"/>
        <v>13.7</v>
      </c>
      <c r="K22" s="478">
        <f t="shared" ca="1" si="8"/>
        <v>228</v>
      </c>
      <c r="L22" s="479">
        <f t="shared" ca="1" si="9"/>
        <v>6.7700000000000005</v>
      </c>
    </row>
    <row r="23" spans="2:14" s="106" customFormat="1" ht="27" customHeight="1">
      <c r="B23" s="471">
        <f t="shared" si="5"/>
        <v>43582.375</v>
      </c>
      <c r="C23" s="483">
        <v>2880</v>
      </c>
      <c r="D23" s="340">
        <f t="shared" ca="1" si="0"/>
        <v>14.1</v>
      </c>
      <c r="E23" s="472">
        <f t="shared" ca="1" si="1"/>
        <v>230</v>
      </c>
      <c r="F23" s="473">
        <f t="shared" ca="1" si="2"/>
        <v>6.12</v>
      </c>
      <c r="G23" s="506">
        <f t="shared" ca="1" si="3"/>
        <v>13.8</v>
      </c>
      <c r="H23" s="507">
        <f t="shared" ca="1" si="6"/>
        <v>235</v>
      </c>
      <c r="I23" s="508">
        <f t="shared" ca="1" si="7"/>
        <v>6.18</v>
      </c>
      <c r="J23" s="509">
        <f t="shared" ca="1" si="4"/>
        <v>14.1</v>
      </c>
      <c r="K23" s="507">
        <f t="shared" ca="1" si="8"/>
        <v>232</v>
      </c>
      <c r="L23" s="508">
        <f t="shared" ca="1" si="9"/>
        <v>6.7700000000000005</v>
      </c>
    </row>
    <row r="24" spans="2:14" s="106" customFormat="1" ht="27" customHeight="1">
      <c r="B24" s="543" t="s">
        <v>48</v>
      </c>
      <c r="C24" s="544"/>
      <c r="D24" s="493">
        <f ca="1">MAX(D14:D23)</f>
        <v>14.2</v>
      </c>
      <c r="E24" s="494">
        <f t="shared" ref="E24:F24" ca="1" si="10">MAX(E14:E23)</f>
        <v>236</v>
      </c>
      <c r="F24" s="495">
        <f t="shared" ca="1" si="10"/>
        <v>6.32</v>
      </c>
      <c r="G24" s="493">
        <f ca="1">MAX(G14:G23)</f>
        <v>14.3</v>
      </c>
      <c r="H24" s="494">
        <f t="shared" ref="H24:I24" ca="1" si="11">MAX(H14:H23)</f>
        <v>241</v>
      </c>
      <c r="I24" s="495">
        <f t="shared" ca="1" si="11"/>
        <v>6.41</v>
      </c>
      <c r="J24" s="501">
        <f ca="1">MAX(J14:J23)</f>
        <v>14.3</v>
      </c>
      <c r="K24" s="494">
        <f t="shared" ref="K24:L24" ca="1" si="12">MAX(K14:K23)</f>
        <v>234</v>
      </c>
      <c r="L24" s="495">
        <f t="shared" ca="1" si="12"/>
        <v>6.82</v>
      </c>
    </row>
    <row r="25" spans="2:14" s="106" customFormat="1" ht="27" customHeight="1">
      <c r="B25" s="543" t="s">
        <v>49</v>
      </c>
      <c r="C25" s="544"/>
      <c r="D25" s="493">
        <f ca="1">MIN(D14:D23)</f>
        <v>13.7</v>
      </c>
      <c r="E25" s="494">
        <f t="shared" ref="E25:F25" ca="1" si="13">MIN(E14:E23)</f>
        <v>230</v>
      </c>
      <c r="F25" s="495">
        <f t="shared" ca="1" si="13"/>
        <v>6.08</v>
      </c>
      <c r="G25" s="493">
        <f ca="1">MIN(G14:G23)</f>
        <v>13.7</v>
      </c>
      <c r="H25" s="494">
        <f t="shared" ref="H25:I25" ca="1" si="14">MIN(H14:H23)</f>
        <v>235</v>
      </c>
      <c r="I25" s="495">
        <f t="shared" ca="1" si="14"/>
        <v>6.18</v>
      </c>
      <c r="J25" s="501">
        <f ca="1">MIN(J14:J23)</f>
        <v>13.7</v>
      </c>
      <c r="K25" s="494">
        <f t="shared" ref="K25:L25" ca="1" si="15">MIN(K14:K23)</f>
        <v>228</v>
      </c>
      <c r="L25" s="495">
        <f t="shared" ca="1" si="15"/>
        <v>6.61</v>
      </c>
    </row>
    <row r="26" spans="2:14" s="106" customFormat="1" ht="27" customHeight="1" thickBot="1">
      <c r="B26" s="545" t="s">
        <v>109</v>
      </c>
      <c r="C26" s="546"/>
      <c r="D26" s="487">
        <f ca="1">D24-D25</f>
        <v>0.5</v>
      </c>
      <c r="E26" s="489">
        <f t="shared" ref="E26:F26" ca="1" si="16">E24-E25</f>
        <v>6</v>
      </c>
      <c r="F26" s="488">
        <f t="shared" ca="1" si="16"/>
        <v>0.24000000000000021</v>
      </c>
      <c r="G26" s="487">
        <f ca="1">G24-G25</f>
        <v>0.60000000000000142</v>
      </c>
      <c r="H26" s="489">
        <f t="shared" ref="H26:I26" ca="1" si="17">H24-H25</f>
        <v>6</v>
      </c>
      <c r="I26" s="488">
        <f t="shared" ca="1" si="17"/>
        <v>0.23000000000000043</v>
      </c>
      <c r="J26" s="498">
        <f ca="1">J24-J25</f>
        <v>0.60000000000000142</v>
      </c>
      <c r="K26" s="489">
        <f t="shared" ref="K26:L26" ca="1" si="18">K24-K25</f>
        <v>6</v>
      </c>
      <c r="L26" s="488">
        <f t="shared" ca="1" si="18"/>
        <v>0.20999999999999996</v>
      </c>
    </row>
    <row r="27" spans="2:14" s="106" customFormat="1" ht="18" customHeight="1">
      <c r="E27" s="12"/>
      <c r="F27" s="12"/>
    </row>
    <row r="28" spans="2:14" s="106" customFormat="1" ht="18" customHeight="1" thickBot="1">
      <c r="E28" s="12"/>
      <c r="F28" s="12"/>
    </row>
    <row r="29" spans="2:14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  <c r="L29" s="540" t="s">
        <v>274</v>
      </c>
      <c r="M29" s="541"/>
      <c r="N29" s="542"/>
    </row>
    <row r="30" spans="2:14" s="106" customFormat="1" ht="18" customHeight="1">
      <c r="D30" s="493" t="s">
        <v>308</v>
      </c>
      <c r="E30" s="494" t="s">
        <v>309</v>
      </c>
      <c r="F30" s="495" t="s">
        <v>108</v>
      </c>
      <c r="H30" s="493" t="s">
        <v>308</v>
      </c>
      <c r="I30" s="494" t="s">
        <v>309</v>
      </c>
      <c r="J30" s="495" t="s">
        <v>108</v>
      </c>
      <c r="L30" s="493" t="s">
        <v>308</v>
      </c>
      <c r="M30" s="494" t="s">
        <v>309</v>
      </c>
      <c r="N30" s="495" t="s">
        <v>108</v>
      </c>
    </row>
    <row r="31" spans="2:14" s="106" customFormat="1" ht="18" customHeight="1">
      <c r="D31" s="490">
        <f ca="1">ROUND(myRandBetween(1,3,10), 1)</f>
        <v>-0.3</v>
      </c>
      <c r="E31" s="464">
        <f ca="1">myRandBetween(1,3,1)</f>
        <v>3</v>
      </c>
      <c r="F31" s="485">
        <f ca="1">ROUND(myRandBetween(7,12,100), 2)</f>
        <v>0.12</v>
      </c>
      <c r="H31" s="490">
        <f ca="1">ROUND(myRandBetween(1,3,10), 1)</f>
        <v>-0.2</v>
      </c>
      <c r="I31" s="464">
        <f ca="1">myRandBetween(1,3,1)</f>
        <v>-2</v>
      </c>
      <c r="J31" s="485">
        <f ca="1">ROUND(myRandBetween(7,12,100), 2)</f>
        <v>0.08</v>
      </c>
      <c r="L31" s="490">
        <f ca="1">ROUND(myRandBetween(1,3,10), 1)</f>
        <v>-0.2</v>
      </c>
      <c r="M31" s="464">
        <f ca="1">myRandBetween(1,3,1)</f>
        <v>3</v>
      </c>
      <c r="N31" s="485">
        <f ca="1">ROUND(myRandBetween(7,12,100), 2)</f>
        <v>0.12</v>
      </c>
    </row>
    <row r="32" spans="2:14" s="106" customFormat="1" ht="18" customHeight="1">
      <c r="D32" s="490">
        <f t="shared" ref="D32:D40" ca="1" si="19">ROUND(myRandBetween(1,3,10), 1)</f>
        <v>-0.3</v>
      </c>
      <c r="E32" s="464">
        <f t="shared" ref="E32:E40" ca="1" si="20">myRandBetween(1,3,1)</f>
        <v>3</v>
      </c>
      <c r="F32" s="485">
        <f t="shared" ref="F32:F40" ca="1" si="21">ROUND(myRandBetween(7,12,100), 2)</f>
        <v>-0.11</v>
      </c>
      <c r="H32" s="490">
        <f t="shared" ref="H32:H40" ca="1" si="22">ROUND(myRandBetween(1,3,10), 1)</f>
        <v>0.2</v>
      </c>
      <c r="I32" s="464">
        <f t="shared" ref="I32:I40" ca="1" si="23">myRandBetween(1,3,1)</f>
        <v>-2</v>
      </c>
      <c r="J32" s="485">
        <f t="shared" ref="J32:J40" ca="1" si="24">ROUND(myRandBetween(7,12,100), 2)</f>
        <v>-0.11</v>
      </c>
      <c r="L32" s="490">
        <f t="shared" ref="L32:L40" ca="1" si="25">ROUND(myRandBetween(1,3,10), 1)</f>
        <v>0.3</v>
      </c>
      <c r="M32" s="464">
        <f t="shared" ref="M32:M40" ca="1" si="26">myRandBetween(1,3,1)</f>
        <v>2</v>
      </c>
      <c r="N32" s="485">
        <f t="shared" ref="N32:N40" ca="1" si="27">ROUND(myRandBetween(7,12,100), 2)</f>
        <v>-0.09</v>
      </c>
    </row>
    <row r="33" spans="4:14" s="106" customFormat="1" ht="18" customHeight="1">
      <c r="D33" s="490">
        <f t="shared" ca="1" si="19"/>
        <v>-0.1</v>
      </c>
      <c r="E33" s="464">
        <f t="shared" ca="1" si="20"/>
        <v>1</v>
      </c>
      <c r="F33" s="485">
        <f t="shared" ca="1" si="21"/>
        <v>-0.12</v>
      </c>
      <c r="H33" s="490">
        <f t="shared" ca="1" si="22"/>
        <v>-0.3</v>
      </c>
      <c r="I33" s="464">
        <f t="shared" ca="1" si="23"/>
        <v>-2</v>
      </c>
      <c r="J33" s="485">
        <f t="shared" ca="1" si="24"/>
        <v>0.09</v>
      </c>
      <c r="L33" s="490">
        <f t="shared" ca="1" si="25"/>
        <v>0.3</v>
      </c>
      <c r="M33" s="464">
        <f t="shared" ca="1" si="26"/>
        <v>1</v>
      </c>
      <c r="N33" s="485">
        <f t="shared" ca="1" si="27"/>
        <v>0.11</v>
      </c>
    </row>
    <row r="34" spans="4:14" s="106" customFormat="1" ht="18" customHeight="1">
      <c r="D34" s="490">
        <f t="shared" ca="1" si="19"/>
        <v>-0.1</v>
      </c>
      <c r="E34" s="464">
        <f t="shared" ca="1" si="20"/>
        <v>3</v>
      </c>
      <c r="F34" s="485">
        <f t="shared" ca="1" si="21"/>
        <v>0.1</v>
      </c>
      <c r="H34" s="490">
        <f t="shared" ca="1" si="22"/>
        <v>0.2</v>
      </c>
      <c r="I34" s="464">
        <f t="shared" ca="1" si="23"/>
        <v>2</v>
      </c>
      <c r="J34" s="485">
        <f t="shared" ca="1" si="24"/>
        <v>-0.11</v>
      </c>
      <c r="L34" s="490">
        <f t="shared" ca="1" si="25"/>
        <v>-0.3</v>
      </c>
      <c r="M34" s="464">
        <f t="shared" ca="1" si="26"/>
        <v>3</v>
      </c>
      <c r="N34" s="485">
        <f t="shared" ca="1" si="27"/>
        <v>-0.09</v>
      </c>
    </row>
    <row r="35" spans="4:14" s="106" customFormat="1" ht="18" customHeight="1">
      <c r="D35" s="490">
        <f t="shared" ca="1" si="19"/>
        <v>0.2</v>
      </c>
      <c r="E35" s="464">
        <f t="shared" ca="1" si="20"/>
        <v>-3</v>
      </c>
      <c r="F35" s="485">
        <f t="shared" ca="1" si="21"/>
        <v>-0.12</v>
      </c>
      <c r="H35" s="490">
        <f t="shared" ca="1" si="22"/>
        <v>0.2</v>
      </c>
      <c r="I35" s="464">
        <f t="shared" ca="1" si="23"/>
        <v>1</v>
      </c>
      <c r="J35" s="485">
        <f t="shared" ca="1" si="24"/>
        <v>-0.09</v>
      </c>
      <c r="L35" s="490">
        <f t="shared" ca="1" si="25"/>
        <v>0.2</v>
      </c>
      <c r="M35" s="464">
        <f t="shared" ca="1" si="26"/>
        <v>1</v>
      </c>
      <c r="N35" s="485">
        <f t="shared" ca="1" si="27"/>
        <v>7.0000000000000007E-2</v>
      </c>
    </row>
    <row r="36" spans="4:14" s="106" customFormat="1" ht="18" customHeight="1">
      <c r="D36" s="490">
        <f t="shared" ca="1" si="19"/>
        <v>-0.3</v>
      </c>
      <c r="E36" s="464">
        <f t="shared" ca="1" si="20"/>
        <v>3</v>
      </c>
      <c r="F36" s="485">
        <f t="shared" ca="1" si="21"/>
        <v>7.0000000000000007E-2</v>
      </c>
      <c r="H36" s="490">
        <f t="shared" ca="1" si="22"/>
        <v>0.3</v>
      </c>
      <c r="I36" s="464">
        <f t="shared" ca="1" si="23"/>
        <v>3</v>
      </c>
      <c r="J36" s="485">
        <f t="shared" ca="1" si="24"/>
        <v>-0.11</v>
      </c>
      <c r="L36" s="490">
        <f t="shared" ca="1" si="25"/>
        <v>-0.3</v>
      </c>
      <c r="M36" s="464">
        <f t="shared" ca="1" si="26"/>
        <v>-2</v>
      </c>
      <c r="N36" s="485">
        <f t="shared" ca="1" si="27"/>
        <v>7.0000000000000007E-2</v>
      </c>
    </row>
    <row r="37" spans="4:14" s="106" customFormat="1" ht="18" customHeight="1">
      <c r="D37" s="490">
        <f t="shared" ca="1" si="19"/>
        <v>0.2</v>
      </c>
      <c r="E37" s="464">
        <f t="shared" ca="1" si="20"/>
        <v>2</v>
      </c>
      <c r="F37" s="485">
        <f t="shared" ca="1" si="21"/>
        <v>0.1</v>
      </c>
      <c r="H37" s="490">
        <f t="shared" ca="1" si="22"/>
        <v>0.1</v>
      </c>
      <c r="I37" s="464">
        <f t="shared" ca="1" si="23"/>
        <v>-2</v>
      </c>
      <c r="J37" s="485">
        <f t="shared" ca="1" si="24"/>
        <v>0.08</v>
      </c>
      <c r="L37" s="490">
        <f t="shared" ca="1" si="25"/>
        <v>0.1</v>
      </c>
      <c r="M37" s="464">
        <f t="shared" ca="1" si="26"/>
        <v>-3</v>
      </c>
      <c r="N37" s="485">
        <f t="shared" ca="1" si="27"/>
        <v>0.08</v>
      </c>
    </row>
    <row r="38" spans="4:14" ht="18" customHeight="1">
      <c r="D38" s="490">
        <f t="shared" ca="1" si="19"/>
        <v>-0.3</v>
      </c>
      <c r="E38" s="464">
        <f t="shared" ca="1" si="20"/>
        <v>2</v>
      </c>
      <c r="F38" s="485">
        <f t="shared" ca="1" si="21"/>
        <v>7.0000000000000007E-2</v>
      </c>
      <c r="H38" s="490">
        <f t="shared" ca="1" si="22"/>
        <v>-0.3</v>
      </c>
      <c r="I38" s="464">
        <f t="shared" ca="1" si="23"/>
        <v>-3</v>
      </c>
      <c r="J38" s="485">
        <f t="shared" ca="1" si="24"/>
        <v>-0.11</v>
      </c>
      <c r="L38" s="490">
        <f t="shared" ca="1" si="25"/>
        <v>0.3</v>
      </c>
      <c r="M38" s="464">
        <f t="shared" ca="1" si="26"/>
        <v>3</v>
      </c>
      <c r="N38" s="485">
        <f t="shared" ca="1" si="27"/>
        <v>-0.09</v>
      </c>
    </row>
    <row r="39" spans="4:14" ht="18" customHeight="1">
      <c r="D39" s="490">
        <f t="shared" ca="1" si="19"/>
        <v>-0.3</v>
      </c>
      <c r="E39" s="464">
        <f t="shared" ca="1" si="20"/>
        <v>1</v>
      </c>
      <c r="F39" s="485">
        <f t="shared" ca="1" si="21"/>
        <v>0.12</v>
      </c>
      <c r="H39" s="490">
        <f t="shared" ca="1" si="22"/>
        <v>-0.2</v>
      </c>
      <c r="I39" s="464">
        <f t="shared" ca="1" si="23"/>
        <v>1</v>
      </c>
      <c r="J39" s="485">
        <f t="shared" ca="1" si="24"/>
        <v>0.11</v>
      </c>
      <c r="L39" s="490">
        <f t="shared" ca="1" si="25"/>
        <v>-0.3</v>
      </c>
      <c r="M39" s="464">
        <f t="shared" ca="1" si="26"/>
        <v>-3</v>
      </c>
      <c r="N39" s="485">
        <f t="shared" ca="1" si="27"/>
        <v>7.0000000000000007E-2</v>
      </c>
    </row>
    <row r="40" spans="4:14" ht="18" customHeight="1" thickBot="1">
      <c r="D40" s="491">
        <f t="shared" ca="1" si="19"/>
        <v>0.1</v>
      </c>
      <c r="E40" s="469">
        <f t="shared" ca="1" si="20"/>
        <v>-3</v>
      </c>
      <c r="F40" s="492">
        <f t="shared" ca="1" si="21"/>
        <v>-0.08</v>
      </c>
      <c r="H40" s="491">
        <f t="shared" ca="1" si="22"/>
        <v>-0.2</v>
      </c>
      <c r="I40" s="469">
        <f t="shared" ca="1" si="23"/>
        <v>-3</v>
      </c>
      <c r="J40" s="492">
        <f t="shared" ca="1" si="24"/>
        <v>-0.12</v>
      </c>
      <c r="L40" s="491">
        <f t="shared" ca="1" si="25"/>
        <v>0.1</v>
      </c>
      <c r="M40" s="469">
        <f t="shared" ca="1" si="26"/>
        <v>1</v>
      </c>
      <c r="N40" s="492">
        <f t="shared" ca="1" si="27"/>
        <v>7.0000000000000007E-2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249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43586.375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0.37225392390486922</v>
      </c>
    </row>
    <row r="8" spans="2:9" s="106" customFormat="1" ht="26.1" customHeight="1">
      <c r="B8" s="243" t="s">
        <v>101</v>
      </c>
      <c r="C8" s="244">
        <v>213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7.3</v>
      </c>
      <c r="D9" s="242"/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43586.378472222219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216</v>
      </c>
      <c r="F14" s="479">
        <f t="shared" ref="F14:F23" si="2">$C$9+F31</f>
        <v>7.43</v>
      </c>
      <c r="G14" s="486">
        <f t="shared" ref="G14:G23" si="3">baseTemp+H31-0.2</f>
        <v>14.700000000000001</v>
      </c>
      <c r="H14" s="478">
        <f>$C$8+I31+3</f>
        <v>220</v>
      </c>
      <c r="I14" s="479">
        <f>$C$9+J31-0.02</f>
        <v>7.4</v>
      </c>
    </row>
    <row r="15" spans="2:9" s="12" customFormat="1" ht="26.1" customHeight="1">
      <c r="B15" s="466">
        <f t="shared" ref="B15:B23" si="4">$C$6+C15/1440</f>
        <v>43586.395833333336</v>
      </c>
      <c r="C15" s="465">
        <v>30</v>
      </c>
      <c r="D15" s="335">
        <f t="shared" si="0"/>
        <v>14.7</v>
      </c>
      <c r="E15" s="467">
        <f t="shared" si="1"/>
        <v>214</v>
      </c>
      <c r="F15" s="468">
        <f t="shared" si="2"/>
        <v>7.41</v>
      </c>
      <c r="G15" s="486">
        <f t="shared" si="3"/>
        <v>14.200000000000001</v>
      </c>
      <c r="H15" s="478">
        <f t="shared" ref="H15:H23" si="5">$C$8+I32+3</f>
        <v>218</v>
      </c>
      <c r="I15" s="479">
        <f t="shared" ref="I15:I23" si="6">$C$9+J32-0.02</f>
        <v>7.4</v>
      </c>
    </row>
    <row r="16" spans="2:9" s="12" customFormat="1" ht="26.1" customHeight="1">
      <c r="B16" s="466">
        <f t="shared" si="4"/>
        <v>43586.416666666664</v>
      </c>
      <c r="C16" s="465">
        <v>60</v>
      </c>
      <c r="D16" s="335">
        <f t="shared" si="0"/>
        <v>14.8</v>
      </c>
      <c r="E16" s="467">
        <f t="shared" si="1"/>
        <v>215</v>
      </c>
      <c r="F16" s="468">
        <f t="shared" si="2"/>
        <v>7.43</v>
      </c>
      <c r="G16" s="486">
        <f t="shared" si="3"/>
        <v>14.700000000000001</v>
      </c>
      <c r="H16" s="478">
        <f t="shared" si="5"/>
        <v>219</v>
      </c>
      <c r="I16" s="479">
        <f t="shared" si="6"/>
        <v>7.41</v>
      </c>
    </row>
    <row r="17" spans="2:10" s="12" customFormat="1" ht="26.1" customHeight="1">
      <c r="B17" s="466">
        <f t="shared" si="4"/>
        <v>43586.458333333336</v>
      </c>
      <c r="C17" s="465">
        <v>120</v>
      </c>
      <c r="D17" s="335">
        <f t="shared" si="0"/>
        <v>14.8</v>
      </c>
      <c r="E17" s="467">
        <f t="shared" si="1"/>
        <v>214</v>
      </c>
      <c r="F17" s="468">
        <f t="shared" si="2"/>
        <v>7.45</v>
      </c>
      <c r="G17" s="486">
        <f t="shared" si="3"/>
        <v>14.600000000000001</v>
      </c>
      <c r="H17" s="478">
        <f t="shared" si="5"/>
        <v>219</v>
      </c>
      <c r="I17" s="479">
        <f t="shared" si="6"/>
        <v>7.41</v>
      </c>
    </row>
    <row r="18" spans="2:10" s="12" customFormat="1" ht="26.1" customHeight="1">
      <c r="B18" s="466">
        <f t="shared" si="4"/>
        <v>43586.541666666664</v>
      </c>
      <c r="C18" s="465">
        <v>240</v>
      </c>
      <c r="D18" s="335">
        <f t="shared" si="0"/>
        <v>14.7</v>
      </c>
      <c r="E18" s="467">
        <f t="shared" si="1"/>
        <v>216</v>
      </c>
      <c r="F18" s="468">
        <f t="shared" si="2"/>
        <v>7.43</v>
      </c>
      <c r="G18" s="486">
        <f t="shared" si="3"/>
        <v>14.5</v>
      </c>
      <c r="H18" s="478">
        <f t="shared" si="5"/>
        <v>220</v>
      </c>
      <c r="I18" s="479">
        <f t="shared" si="6"/>
        <v>7.41</v>
      </c>
    </row>
    <row r="19" spans="2:10" s="12" customFormat="1" ht="26.1" customHeight="1">
      <c r="B19" s="466">
        <f t="shared" si="4"/>
        <v>43586.708333333336</v>
      </c>
      <c r="C19" s="465">
        <v>480</v>
      </c>
      <c r="D19" s="335">
        <f t="shared" si="0"/>
        <v>14.8</v>
      </c>
      <c r="E19" s="467">
        <f t="shared" si="1"/>
        <v>213</v>
      </c>
      <c r="F19" s="468">
        <f t="shared" si="2"/>
        <v>7.3999999999999995</v>
      </c>
      <c r="G19" s="486">
        <f t="shared" si="3"/>
        <v>14.600000000000001</v>
      </c>
      <c r="H19" s="478">
        <f t="shared" si="5"/>
        <v>218</v>
      </c>
      <c r="I19" s="479">
        <f t="shared" si="6"/>
        <v>7.38</v>
      </c>
    </row>
    <row r="20" spans="2:10" s="106" customFormat="1" ht="26.1" customHeight="1">
      <c r="B20" s="466">
        <f t="shared" si="4"/>
        <v>43587.375</v>
      </c>
      <c r="C20" s="465">
        <v>1440</v>
      </c>
      <c r="D20" s="335">
        <f t="shared" si="0"/>
        <v>14.6</v>
      </c>
      <c r="E20" s="467">
        <f t="shared" si="1"/>
        <v>214</v>
      </c>
      <c r="F20" s="468">
        <f t="shared" si="2"/>
        <v>7.41</v>
      </c>
      <c r="G20" s="486">
        <f t="shared" si="3"/>
        <v>14.4</v>
      </c>
      <c r="H20" s="478">
        <f t="shared" si="5"/>
        <v>217</v>
      </c>
      <c r="I20" s="479">
        <f t="shared" si="6"/>
        <v>7.4</v>
      </c>
    </row>
    <row r="21" spans="2:10" s="106" customFormat="1" ht="26.1" customHeight="1">
      <c r="B21" s="466">
        <f t="shared" si="4"/>
        <v>43587.541666666664</v>
      </c>
      <c r="C21" s="465">
        <v>1680</v>
      </c>
      <c r="D21" s="335">
        <f t="shared" si="0"/>
        <v>14.7</v>
      </c>
      <c r="E21" s="467">
        <f t="shared" si="1"/>
        <v>213</v>
      </c>
      <c r="F21" s="468">
        <f t="shared" si="2"/>
        <v>7.41</v>
      </c>
      <c r="G21" s="486">
        <f t="shared" si="3"/>
        <v>14.5</v>
      </c>
      <c r="H21" s="478">
        <f t="shared" si="5"/>
        <v>217</v>
      </c>
      <c r="I21" s="479">
        <f t="shared" si="6"/>
        <v>7.3900000000000006</v>
      </c>
    </row>
    <row r="22" spans="2:10" s="106" customFormat="1" ht="26.1" customHeight="1">
      <c r="B22" s="466">
        <f t="shared" si="4"/>
        <v>43587.708333333336</v>
      </c>
      <c r="C22" s="465">
        <v>1920</v>
      </c>
      <c r="D22" s="335">
        <f t="shared" si="0"/>
        <v>14.8</v>
      </c>
      <c r="E22" s="467">
        <f t="shared" si="1"/>
        <v>215</v>
      </c>
      <c r="F22" s="468">
        <f t="shared" si="2"/>
        <v>7.41</v>
      </c>
      <c r="G22" s="486">
        <f t="shared" si="3"/>
        <v>14.600000000000001</v>
      </c>
      <c r="H22" s="478">
        <f t="shared" si="5"/>
        <v>217</v>
      </c>
      <c r="I22" s="479">
        <f t="shared" si="6"/>
        <v>7.3900000000000006</v>
      </c>
    </row>
    <row r="23" spans="2:10" s="106" customFormat="1" ht="26.1" customHeight="1" thickBot="1">
      <c r="B23" s="471">
        <f t="shared" si="4"/>
        <v>43588.375</v>
      </c>
      <c r="C23" s="483">
        <v>2880</v>
      </c>
      <c r="D23" s="340">
        <f t="shared" si="0"/>
        <v>14.7</v>
      </c>
      <c r="E23" s="472">
        <f t="shared" si="1"/>
        <v>214</v>
      </c>
      <c r="F23" s="473">
        <f t="shared" si="2"/>
        <v>7.41</v>
      </c>
      <c r="G23" s="486">
        <f t="shared" si="3"/>
        <v>14.5</v>
      </c>
      <c r="H23" s="478">
        <f t="shared" si="5"/>
        <v>217</v>
      </c>
      <c r="I23" s="473">
        <f t="shared" si="6"/>
        <v>7.3900000000000006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216</v>
      </c>
      <c r="F24" s="475">
        <f t="shared" si="7"/>
        <v>7.45</v>
      </c>
      <c r="G24" s="345">
        <f>MAX(G14:G23)</f>
        <v>14.700000000000001</v>
      </c>
      <c r="H24" s="474">
        <f t="shared" ref="H24:I24" si="8">MAX(H14:H23)</f>
        <v>220</v>
      </c>
      <c r="I24" s="475">
        <f t="shared" si="8"/>
        <v>7.41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213</v>
      </c>
      <c r="F25" s="485">
        <f t="shared" si="9"/>
        <v>7.3999999999999995</v>
      </c>
      <c r="G25" s="335">
        <f>MIN(G14:G23)</f>
        <v>14.200000000000001</v>
      </c>
      <c r="H25" s="464">
        <f t="shared" ref="H25:I25" si="10">MIN(H14:H23)</f>
        <v>217</v>
      </c>
      <c r="I25" s="465">
        <f t="shared" si="10"/>
        <v>7.38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0.12</v>
      </c>
    </row>
    <row r="33" spans="4:10" s="106" customFormat="1" ht="18" customHeight="1">
      <c r="D33" s="490">
        <v>0.8</v>
      </c>
      <c r="E33" s="464">
        <v>2</v>
      </c>
      <c r="F33" s="485">
        <v>0.13</v>
      </c>
      <c r="H33" s="490">
        <v>0.9</v>
      </c>
      <c r="I33" s="464">
        <v>3</v>
      </c>
      <c r="J33" s="485">
        <v>0.13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0.12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 t="s">
        <v>277</v>
      </c>
      <c r="F2" s="12"/>
    </row>
    <row r="3" spans="2:9" s="106" customFormat="1" ht="18" customHeight="1">
      <c r="E3" s="12" t="s">
        <v>206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43591.375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14.4</v>
      </c>
      <c r="D7" s="242"/>
      <c r="E7" s="12"/>
      <c r="F7" s="12"/>
      <c r="I7" s="106">
        <f ca="1">RAND()</f>
        <v>0.4470276793754272</v>
      </c>
    </row>
    <row r="8" spans="2:9" s="106" customFormat="1" ht="26.1" customHeight="1">
      <c r="B8" s="243" t="s">
        <v>101</v>
      </c>
      <c r="C8" s="244">
        <v>235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6.5</v>
      </c>
      <c r="D9" s="263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43591.378472222219</v>
      </c>
      <c r="C14" s="482">
        <v>5</v>
      </c>
      <c r="D14" s="484">
        <f t="shared" ref="D14:D23" si="0">baseTemp+D31</f>
        <v>15.3</v>
      </c>
      <c r="E14" s="478">
        <f t="shared" ref="E14:E23" si="1">$C$8+E31</f>
        <v>238</v>
      </c>
      <c r="F14" s="479">
        <f t="shared" ref="F14:F23" si="2">$C$9+F31</f>
        <v>6.63</v>
      </c>
      <c r="G14" s="486">
        <f t="shared" ref="G14:G23" si="3">baseTemp+H31-0.2</f>
        <v>15.100000000000001</v>
      </c>
      <c r="H14" s="478">
        <f>$C$8+I31+3</f>
        <v>242</v>
      </c>
      <c r="I14" s="479">
        <f t="shared" ref="I14:I23" si="4">$D$9+J31-0.02</f>
        <v>7.9</v>
      </c>
    </row>
    <row r="15" spans="2:9" s="12" customFormat="1" ht="26.1" customHeight="1">
      <c r="B15" s="466">
        <f t="shared" ref="B15:B23" si="5">$C$6+C15/1440</f>
        <v>43591.395833333336</v>
      </c>
      <c r="C15" s="465">
        <v>30</v>
      </c>
      <c r="D15" s="335">
        <f t="shared" si="0"/>
        <v>15.1</v>
      </c>
      <c r="E15" s="467">
        <f t="shared" si="1"/>
        <v>236</v>
      </c>
      <c r="F15" s="468">
        <f t="shared" si="2"/>
        <v>6.61</v>
      </c>
      <c r="G15" s="486">
        <f t="shared" si="3"/>
        <v>14.600000000000001</v>
      </c>
      <c r="H15" s="478">
        <f t="shared" ref="H15:H23" si="6">$C$8+I32+3</f>
        <v>240</v>
      </c>
      <c r="I15" s="479">
        <f t="shared" si="4"/>
        <v>7.91</v>
      </c>
    </row>
    <row r="16" spans="2:9" s="12" customFormat="1" ht="26.1" customHeight="1">
      <c r="B16" s="466">
        <f t="shared" si="5"/>
        <v>43591.416666666664</v>
      </c>
      <c r="C16" s="465">
        <v>60</v>
      </c>
      <c r="D16" s="335">
        <f t="shared" si="0"/>
        <v>15.200000000000001</v>
      </c>
      <c r="E16" s="467">
        <f t="shared" si="1"/>
        <v>237</v>
      </c>
      <c r="F16" s="468">
        <f t="shared" si="2"/>
        <v>6.6</v>
      </c>
      <c r="G16" s="486">
        <f t="shared" si="3"/>
        <v>15.100000000000001</v>
      </c>
      <c r="H16" s="478">
        <f t="shared" si="6"/>
        <v>241</v>
      </c>
      <c r="I16" s="479">
        <f t="shared" si="4"/>
        <v>7.88</v>
      </c>
    </row>
    <row r="17" spans="2:10" s="12" customFormat="1" ht="26.1" customHeight="1">
      <c r="B17" s="466">
        <f t="shared" si="5"/>
        <v>43591.458333333336</v>
      </c>
      <c r="C17" s="465">
        <v>120</v>
      </c>
      <c r="D17" s="335">
        <f t="shared" si="0"/>
        <v>15.200000000000001</v>
      </c>
      <c r="E17" s="467">
        <f t="shared" si="1"/>
        <v>236</v>
      </c>
      <c r="F17" s="468">
        <f t="shared" si="2"/>
        <v>6.65</v>
      </c>
      <c r="G17" s="486">
        <f t="shared" si="3"/>
        <v>15.000000000000002</v>
      </c>
      <c r="H17" s="478">
        <f t="shared" si="6"/>
        <v>241</v>
      </c>
      <c r="I17" s="479">
        <f t="shared" si="4"/>
        <v>7.91</v>
      </c>
    </row>
    <row r="18" spans="2:10" s="12" customFormat="1" ht="26.1" customHeight="1">
      <c r="B18" s="466">
        <f t="shared" si="5"/>
        <v>43591.541666666664</v>
      </c>
      <c r="C18" s="465">
        <v>240</v>
      </c>
      <c r="D18" s="335">
        <f t="shared" si="0"/>
        <v>15.1</v>
      </c>
      <c r="E18" s="467">
        <f t="shared" si="1"/>
        <v>238</v>
      </c>
      <c r="F18" s="468">
        <f t="shared" si="2"/>
        <v>6.63</v>
      </c>
      <c r="G18" s="486">
        <f t="shared" si="3"/>
        <v>14.9</v>
      </c>
      <c r="H18" s="478">
        <f t="shared" si="6"/>
        <v>242</v>
      </c>
      <c r="I18" s="479">
        <f t="shared" si="4"/>
        <v>7.91</v>
      </c>
    </row>
    <row r="19" spans="2:10" s="12" customFormat="1" ht="26.1" customHeight="1">
      <c r="B19" s="466">
        <f t="shared" si="5"/>
        <v>43591.708333333336</v>
      </c>
      <c r="C19" s="465">
        <v>480</v>
      </c>
      <c r="D19" s="335">
        <f t="shared" si="0"/>
        <v>15.200000000000001</v>
      </c>
      <c r="E19" s="467">
        <f t="shared" si="1"/>
        <v>235</v>
      </c>
      <c r="F19" s="468">
        <f t="shared" si="2"/>
        <v>6.6</v>
      </c>
      <c r="G19" s="486">
        <f t="shared" si="3"/>
        <v>15.000000000000002</v>
      </c>
      <c r="H19" s="478">
        <f t="shared" si="6"/>
        <v>240</v>
      </c>
      <c r="I19" s="479">
        <f t="shared" si="4"/>
        <v>7.9</v>
      </c>
    </row>
    <row r="20" spans="2:10" s="106" customFormat="1" ht="26.1" customHeight="1">
      <c r="B20" s="466">
        <f t="shared" si="5"/>
        <v>43592.375</v>
      </c>
      <c r="C20" s="465">
        <v>1440</v>
      </c>
      <c r="D20" s="335">
        <f t="shared" si="0"/>
        <v>15</v>
      </c>
      <c r="E20" s="467">
        <f t="shared" si="1"/>
        <v>236</v>
      </c>
      <c r="F20" s="468">
        <f t="shared" si="2"/>
        <v>6.61</v>
      </c>
      <c r="G20" s="486">
        <f t="shared" si="3"/>
        <v>14.8</v>
      </c>
      <c r="H20" s="478">
        <f t="shared" si="6"/>
        <v>239</v>
      </c>
      <c r="I20" s="479">
        <f t="shared" si="4"/>
        <v>7.8900000000000006</v>
      </c>
    </row>
    <row r="21" spans="2:10" s="106" customFormat="1" ht="26.1" customHeight="1">
      <c r="B21" s="466">
        <f t="shared" si="5"/>
        <v>43592.541666666664</v>
      </c>
      <c r="C21" s="465">
        <v>1680</v>
      </c>
      <c r="D21" s="335">
        <f t="shared" si="0"/>
        <v>15.1</v>
      </c>
      <c r="E21" s="467">
        <f t="shared" si="1"/>
        <v>235</v>
      </c>
      <c r="F21" s="468">
        <f t="shared" si="2"/>
        <v>6.61</v>
      </c>
      <c r="G21" s="486">
        <f t="shared" si="3"/>
        <v>14.9</v>
      </c>
      <c r="H21" s="478">
        <f t="shared" si="6"/>
        <v>239</v>
      </c>
      <c r="I21" s="479">
        <f t="shared" si="4"/>
        <v>7.8900000000000006</v>
      </c>
    </row>
    <row r="22" spans="2:10" s="106" customFormat="1" ht="26.1" customHeight="1">
      <c r="B22" s="466">
        <f t="shared" si="5"/>
        <v>43592.708333333336</v>
      </c>
      <c r="C22" s="465">
        <v>1920</v>
      </c>
      <c r="D22" s="335">
        <f t="shared" si="0"/>
        <v>15.200000000000001</v>
      </c>
      <c r="E22" s="467">
        <f t="shared" si="1"/>
        <v>237</v>
      </c>
      <c r="F22" s="468">
        <f t="shared" si="2"/>
        <v>6.61</v>
      </c>
      <c r="G22" s="486">
        <f t="shared" si="3"/>
        <v>15.000000000000002</v>
      </c>
      <c r="H22" s="478">
        <f t="shared" si="6"/>
        <v>239</v>
      </c>
      <c r="I22" s="479">
        <f t="shared" si="4"/>
        <v>7.8900000000000006</v>
      </c>
    </row>
    <row r="23" spans="2:10" s="106" customFormat="1" ht="26.1" customHeight="1" thickBot="1">
      <c r="B23" s="471">
        <f t="shared" si="5"/>
        <v>43593.375</v>
      </c>
      <c r="C23" s="483">
        <v>2880</v>
      </c>
      <c r="D23" s="340">
        <f t="shared" si="0"/>
        <v>15.1</v>
      </c>
      <c r="E23" s="472">
        <f t="shared" si="1"/>
        <v>236</v>
      </c>
      <c r="F23" s="473">
        <f t="shared" si="2"/>
        <v>6.61</v>
      </c>
      <c r="G23" s="486">
        <f t="shared" si="3"/>
        <v>14.9</v>
      </c>
      <c r="H23" s="478">
        <f t="shared" si="6"/>
        <v>239</v>
      </c>
      <c r="I23" s="473">
        <f t="shared" si="4"/>
        <v>7.8900000000000006</v>
      </c>
    </row>
    <row r="24" spans="2:10" s="106" customFormat="1" ht="26.1" customHeight="1">
      <c r="B24" s="548" t="s">
        <v>48</v>
      </c>
      <c r="C24" s="549"/>
      <c r="D24" s="345">
        <f>MAX(D14:D23)</f>
        <v>15.3</v>
      </c>
      <c r="E24" s="474">
        <f t="shared" ref="E24:F24" si="7">MAX(E14:E23)</f>
        <v>238</v>
      </c>
      <c r="F24" s="475">
        <f t="shared" si="7"/>
        <v>6.65</v>
      </c>
      <c r="G24" s="345">
        <f>MAX(G14:G23)</f>
        <v>15.100000000000001</v>
      </c>
      <c r="H24" s="474">
        <f t="shared" ref="H24:I24" si="8">MAX(H14:H23)</f>
        <v>242</v>
      </c>
      <c r="I24" s="475">
        <f t="shared" si="8"/>
        <v>7.91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15</v>
      </c>
      <c r="E25" s="464">
        <f t="shared" ref="E25:F25" si="9">MIN(E14:E23)</f>
        <v>235</v>
      </c>
      <c r="F25" s="485">
        <f t="shared" si="9"/>
        <v>6.6</v>
      </c>
      <c r="G25" s="335">
        <f>MIN(G14:G23)</f>
        <v>14.600000000000001</v>
      </c>
      <c r="H25" s="464">
        <f t="shared" ref="H25:I25" si="10">MIN(H14:H23)</f>
        <v>239</v>
      </c>
      <c r="I25" s="465">
        <f t="shared" si="10"/>
        <v>7.88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0.13</v>
      </c>
    </row>
    <row r="33" spans="4:10" s="106" customFormat="1" ht="18" customHeight="1">
      <c r="D33" s="490">
        <v>0.8</v>
      </c>
      <c r="E33" s="464">
        <v>2</v>
      </c>
      <c r="F33" s="485">
        <v>0.1</v>
      </c>
      <c r="H33" s="490">
        <v>0.9</v>
      </c>
      <c r="I33" s="464">
        <v>3</v>
      </c>
      <c r="J33" s="485">
        <v>0.1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0.12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250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43594.375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0.51326058634519256</v>
      </c>
    </row>
    <row r="8" spans="2:9" s="106" customFormat="1" ht="26.1" customHeight="1">
      <c r="B8" s="243" t="s">
        <v>101</v>
      </c>
      <c r="C8" s="244">
        <v>231</v>
      </c>
      <c r="D8" s="264">
        <v>225</v>
      </c>
      <c r="E8" s="12"/>
      <c r="F8" s="12"/>
    </row>
    <row r="9" spans="2:9" s="106" customFormat="1" ht="26.1" customHeight="1">
      <c r="B9" s="243" t="s">
        <v>102</v>
      </c>
      <c r="C9" s="244">
        <v>6.6</v>
      </c>
      <c r="D9" s="264">
        <v>7.2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43594.378472222219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234</v>
      </c>
      <c r="F14" s="479">
        <f t="shared" ref="F14:F23" si="2">$C$9+F31</f>
        <v>6.7299999999999995</v>
      </c>
      <c r="G14" s="486">
        <f t="shared" ref="G14:G23" si="3">baseTemp+H31-0.2</f>
        <v>14.700000000000001</v>
      </c>
      <c r="H14" s="478">
        <f t="shared" ref="H14:H23" si="4">$D$8+I31+3</f>
        <v>232</v>
      </c>
      <c r="I14" s="479">
        <f t="shared" ref="I14:I23" si="5">$D$9+J31-0.02</f>
        <v>7.3000000000000007</v>
      </c>
    </row>
    <row r="15" spans="2:9" s="12" customFormat="1" ht="26.1" customHeight="1">
      <c r="B15" s="466">
        <f t="shared" ref="B15:B23" si="6">$C$6+C15/1440</f>
        <v>43594.395833333336</v>
      </c>
      <c r="C15" s="465">
        <v>30</v>
      </c>
      <c r="D15" s="335">
        <f t="shared" si="0"/>
        <v>14.7</v>
      </c>
      <c r="E15" s="467">
        <f t="shared" si="1"/>
        <v>232</v>
      </c>
      <c r="F15" s="468">
        <f t="shared" si="2"/>
        <v>6.9099999999999993</v>
      </c>
      <c r="G15" s="486">
        <f t="shared" si="3"/>
        <v>14.200000000000001</v>
      </c>
      <c r="H15" s="478">
        <f t="shared" si="4"/>
        <v>230</v>
      </c>
      <c r="I15" s="479">
        <f t="shared" si="5"/>
        <v>7.5000000000000009</v>
      </c>
    </row>
    <row r="16" spans="2:9" s="12" customFormat="1" ht="26.1" customHeight="1">
      <c r="B16" s="466">
        <f t="shared" si="6"/>
        <v>43594.416666666664</v>
      </c>
      <c r="C16" s="465">
        <v>60</v>
      </c>
      <c r="D16" s="335">
        <f t="shared" si="0"/>
        <v>14.8</v>
      </c>
      <c r="E16" s="467">
        <f t="shared" si="1"/>
        <v>233</v>
      </c>
      <c r="F16" s="468">
        <f t="shared" si="2"/>
        <v>6.83</v>
      </c>
      <c r="G16" s="486">
        <f t="shared" si="3"/>
        <v>14.700000000000001</v>
      </c>
      <c r="H16" s="478">
        <f t="shared" si="4"/>
        <v>231</v>
      </c>
      <c r="I16" s="479">
        <f t="shared" si="5"/>
        <v>7.3900000000000006</v>
      </c>
    </row>
    <row r="17" spans="2:10" s="12" customFormat="1" ht="26.1" customHeight="1">
      <c r="B17" s="466">
        <f t="shared" si="6"/>
        <v>43594.458333333336</v>
      </c>
      <c r="C17" s="465">
        <v>120</v>
      </c>
      <c r="D17" s="335">
        <f t="shared" si="0"/>
        <v>14.8</v>
      </c>
      <c r="E17" s="467">
        <f t="shared" si="1"/>
        <v>232</v>
      </c>
      <c r="F17" s="468">
        <f t="shared" si="2"/>
        <v>6.75</v>
      </c>
      <c r="G17" s="486">
        <f t="shared" si="3"/>
        <v>14.600000000000001</v>
      </c>
      <c r="H17" s="478">
        <f t="shared" si="4"/>
        <v>231</v>
      </c>
      <c r="I17" s="479">
        <f t="shared" si="5"/>
        <v>7.3100000000000005</v>
      </c>
    </row>
    <row r="18" spans="2:10" s="12" customFormat="1" ht="26.1" customHeight="1">
      <c r="B18" s="466">
        <f t="shared" si="6"/>
        <v>43594.541666666664</v>
      </c>
      <c r="C18" s="465">
        <v>240</v>
      </c>
      <c r="D18" s="335">
        <f t="shared" si="0"/>
        <v>14.7</v>
      </c>
      <c r="E18" s="467">
        <f t="shared" si="1"/>
        <v>234</v>
      </c>
      <c r="F18" s="468">
        <f t="shared" si="2"/>
        <v>6.7299999999999995</v>
      </c>
      <c r="G18" s="486">
        <f t="shared" si="3"/>
        <v>14.5</v>
      </c>
      <c r="H18" s="478">
        <f t="shared" si="4"/>
        <v>232</v>
      </c>
      <c r="I18" s="479">
        <f t="shared" si="5"/>
        <v>7.3100000000000005</v>
      </c>
    </row>
    <row r="19" spans="2:10" s="12" customFormat="1" ht="26.1" customHeight="1">
      <c r="B19" s="466">
        <f t="shared" si="6"/>
        <v>43594.708333333336</v>
      </c>
      <c r="C19" s="465">
        <v>480</v>
      </c>
      <c r="D19" s="335">
        <f t="shared" si="0"/>
        <v>14.8</v>
      </c>
      <c r="E19" s="467">
        <f t="shared" si="1"/>
        <v>231</v>
      </c>
      <c r="F19" s="468">
        <f t="shared" si="2"/>
        <v>6.6999999999999993</v>
      </c>
      <c r="G19" s="486">
        <f t="shared" si="3"/>
        <v>14.600000000000001</v>
      </c>
      <c r="H19" s="478">
        <f t="shared" si="4"/>
        <v>230</v>
      </c>
      <c r="I19" s="479">
        <f t="shared" si="5"/>
        <v>7.28</v>
      </c>
    </row>
    <row r="20" spans="2:10" s="106" customFormat="1" ht="26.1" customHeight="1">
      <c r="B20" s="466">
        <f t="shared" si="6"/>
        <v>43595.375</v>
      </c>
      <c r="C20" s="465">
        <v>1440</v>
      </c>
      <c r="D20" s="335">
        <f t="shared" si="0"/>
        <v>14.6</v>
      </c>
      <c r="E20" s="467">
        <f t="shared" si="1"/>
        <v>232</v>
      </c>
      <c r="F20" s="468">
        <f t="shared" si="2"/>
        <v>6.71</v>
      </c>
      <c r="G20" s="486">
        <f t="shared" si="3"/>
        <v>14.4</v>
      </c>
      <c r="H20" s="478">
        <f t="shared" si="4"/>
        <v>229</v>
      </c>
      <c r="I20" s="479">
        <f t="shared" si="5"/>
        <v>7.2900000000000009</v>
      </c>
    </row>
    <row r="21" spans="2:10" s="106" customFormat="1" ht="26.1" customHeight="1">
      <c r="B21" s="466">
        <f t="shared" si="6"/>
        <v>43595.541666666664</v>
      </c>
      <c r="C21" s="465">
        <v>1680</v>
      </c>
      <c r="D21" s="335">
        <f t="shared" si="0"/>
        <v>14.7</v>
      </c>
      <c r="E21" s="467">
        <f t="shared" si="1"/>
        <v>231</v>
      </c>
      <c r="F21" s="468">
        <f t="shared" si="2"/>
        <v>6.71</v>
      </c>
      <c r="G21" s="486">
        <f t="shared" si="3"/>
        <v>14.5</v>
      </c>
      <c r="H21" s="478">
        <f t="shared" si="4"/>
        <v>229</v>
      </c>
      <c r="I21" s="479">
        <f t="shared" si="5"/>
        <v>7.2900000000000009</v>
      </c>
    </row>
    <row r="22" spans="2:10" s="106" customFormat="1" ht="26.1" customHeight="1">
      <c r="B22" s="466">
        <f t="shared" si="6"/>
        <v>43595.708333333336</v>
      </c>
      <c r="C22" s="465">
        <v>1920</v>
      </c>
      <c r="D22" s="335">
        <f t="shared" si="0"/>
        <v>14.8</v>
      </c>
      <c r="E22" s="467">
        <f t="shared" si="1"/>
        <v>233</v>
      </c>
      <c r="F22" s="468">
        <f t="shared" si="2"/>
        <v>6.71</v>
      </c>
      <c r="G22" s="486">
        <f t="shared" si="3"/>
        <v>14.600000000000001</v>
      </c>
      <c r="H22" s="478">
        <f t="shared" si="4"/>
        <v>229</v>
      </c>
      <c r="I22" s="479">
        <f t="shared" si="5"/>
        <v>7.2900000000000009</v>
      </c>
    </row>
    <row r="23" spans="2:10" s="106" customFormat="1" ht="26.1" customHeight="1" thickBot="1">
      <c r="B23" s="471">
        <f t="shared" si="6"/>
        <v>43596.375</v>
      </c>
      <c r="C23" s="483">
        <v>2880</v>
      </c>
      <c r="D23" s="340">
        <f t="shared" si="0"/>
        <v>14.7</v>
      </c>
      <c r="E23" s="472">
        <f t="shared" si="1"/>
        <v>232</v>
      </c>
      <c r="F23" s="473">
        <f t="shared" si="2"/>
        <v>6.71</v>
      </c>
      <c r="G23" s="486">
        <f t="shared" si="3"/>
        <v>14.5</v>
      </c>
      <c r="H23" s="478">
        <f t="shared" si="4"/>
        <v>229</v>
      </c>
      <c r="I23" s="473">
        <f t="shared" si="5"/>
        <v>7.2900000000000009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234</v>
      </c>
      <c r="F24" s="475">
        <f t="shared" si="7"/>
        <v>6.9099999999999993</v>
      </c>
      <c r="G24" s="345">
        <f>MAX(G14:G23)</f>
        <v>14.700000000000001</v>
      </c>
      <c r="H24" s="474">
        <f t="shared" ref="H24:I24" si="8">MAX(H14:H23)</f>
        <v>232</v>
      </c>
      <c r="I24" s="475">
        <f t="shared" si="8"/>
        <v>7.5000000000000009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231</v>
      </c>
      <c r="F25" s="485">
        <f t="shared" si="9"/>
        <v>6.6999999999999993</v>
      </c>
      <c r="G25" s="335">
        <f>MIN(G14:G23)</f>
        <v>14.200000000000001</v>
      </c>
      <c r="H25" s="464">
        <f t="shared" ref="H25:I25" si="10">MIN(H14:H23)</f>
        <v>229</v>
      </c>
      <c r="I25" s="465">
        <f t="shared" si="10"/>
        <v>7.28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0.20999999999999996</v>
      </c>
      <c r="G26" s="352">
        <f>G24-G25</f>
        <v>0.5</v>
      </c>
      <c r="H26" s="469">
        <f t="shared" ref="H26:I26" si="12">H24-H25</f>
        <v>3</v>
      </c>
      <c r="I26" s="470">
        <f t="shared" si="12"/>
        <v>0.22000000000000064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0.31</v>
      </c>
      <c r="H32" s="490">
        <v>0.4</v>
      </c>
      <c r="I32" s="464">
        <v>2</v>
      </c>
      <c r="J32" s="485">
        <v>0.32</v>
      </c>
    </row>
    <row r="33" spans="4:10" s="106" customFormat="1" ht="18" customHeight="1">
      <c r="D33" s="490">
        <v>0.8</v>
      </c>
      <c r="E33" s="464">
        <v>2</v>
      </c>
      <c r="F33" s="485">
        <v>0.23</v>
      </c>
      <c r="H33" s="490">
        <v>0.9</v>
      </c>
      <c r="I33" s="464">
        <v>3</v>
      </c>
      <c r="J33" s="485">
        <v>0.21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251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43598.375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14.5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256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7.3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43598.378472222219</v>
      </c>
      <c r="C14" s="482">
        <v>5</v>
      </c>
      <c r="D14" s="480">
        <f t="shared" ref="D14:D23" si="0">baseTemp+H14</f>
        <v>15</v>
      </c>
      <c r="E14" s="504">
        <f>$C$8+I14</f>
        <v>260</v>
      </c>
      <c r="F14" s="479">
        <f>$C$9+J14</f>
        <v>7.42</v>
      </c>
      <c r="H14" s="335">
        <v>0.5</v>
      </c>
      <c r="I14" s="464">
        <v>4</v>
      </c>
      <c r="J14" s="465">
        <v>0.12</v>
      </c>
    </row>
    <row r="15" spans="2:10" s="12" customFormat="1" ht="26.1" customHeight="1">
      <c r="B15" s="499">
        <f t="shared" ref="B15:B23" si="1">$C$6+C15/1440</f>
        <v>43598.395833333336</v>
      </c>
      <c r="C15" s="465">
        <v>30</v>
      </c>
      <c r="D15" s="481">
        <f t="shared" si="0"/>
        <v>15.2</v>
      </c>
      <c r="E15" s="500">
        <f t="shared" ref="E15:E23" si="2">$C$8+I15</f>
        <v>259</v>
      </c>
      <c r="F15" s="468">
        <f t="shared" ref="F15:F23" si="3">$C$9+J15</f>
        <v>7.4399999999999995</v>
      </c>
      <c r="H15" s="335">
        <v>0.7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43598.416666666664</v>
      </c>
      <c r="C16" s="465">
        <v>60</v>
      </c>
      <c r="D16" s="481">
        <f t="shared" si="0"/>
        <v>14.9</v>
      </c>
      <c r="E16" s="500">
        <f t="shared" si="2"/>
        <v>259</v>
      </c>
      <c r="F16" s="468">
        <f t="shared" si="3"/>
        <v>7.42</v>
      </c>
      <c r="H16" s="335">
        <v>0.4</v>
      </c>
      <c r="I16" s="464">
        <v>3</v>
      </c>
      <c r="J16" s="465">
        <v>0.12</v>
      </c>
    </row>
    <row r="17" spans="2:10" s="12" customFormat="1" ht="26.1" customHeight="1">
      <c r="B17" s="499">
        <f t="shared" si="1"/>
        <v>43598.458333333336</v>
      </c>
      <c r="C17" s="465">
        <v>120</v>
      </c>
      <c r="D17" s="481">
        <f t="shared" si="0"/>
        <v>14.8</v>
      </c>
      <c r="E17" s="500">
        <f t="shared" si="2"/>
        <v>258</v>
      </c>
      <c r="F17" s="468">
        <f t="shared" si="3"/>
        <v>7.4399999999999995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43598.541666666664</v>
      </c>
      <c r="C18" s="465">
        <v>240</v>
      </c>
      <c r="D18" s="481">
        <f t="shared" si="0"/>
        <v>15.2</v>
      </c>
      <c r="E18" s="500">
        <f t="shared" si="2"/>
        <v>259</v>
      </c>
      <c r="F18" s="468">
        <f t="shared" si="3"/>
        <v>7.43</v>
      </c>
      <c r="H18" s="335">
        <v>0.7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43598.708333333336</v>
      </c>
      <c r="C19" s="465">
        <v>480</v>
      </c>
      <c r="D19" s="502">
        <f t="shared" si="0"/>
        <v>15</v>
      </c>
      <c r="E19" s="500">
        <f t="shared" si="2"/>
        <v>258</v>
      </c>
      <c r="F19" s="468">
        <f t="shared" si="3"/>
        <v>7.31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43599.375</v>
      </c>
      <c r="C20" s="465">
        <v>1440</v>
      </c>
      <c r="D20" s="481">
        <f t="shared" si="0"/>
        <v>15.1</v>
      </c>
      <c r="E20" s="500">
        <f t="shared" si="2"/>
        <v>257</v>
      </c>
      <c r="F20" s="468">
        <f t="shared" si="3"/>
        <v>7.3199999999999994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43599.541666666664</v>
      </c>
      <c r="C21" s="465">
        <v>1680</v>
      </c>
      <c r="D21" s="481">
        <f t="shared" si="0"/>
        <v>14.9</v>
      </c>
      <c r="E21" s="500">
        <f t="shared" si="2"/>
        <v>256</v>
      </c>
      <c r="F21" s="468">
        <f t="shared" si="3"/>
        <v>7.34</v>
      </c>
      <c r="H21" s="335">
        <v>0.4</v>
      </c>
      <c r="I21" s="464">
        <v>0</v>
      </c>
      <c r="J21" s="465">
        <v>0.04</v>
      </c>
    </row>
    <row r="22" spans="2:10" s="106" customFormat="1" ht="26.1" customHeight="1">
      <c r="B22" s="499">
        <f t="shared" si="1"/>
        <v>43599.708333333336</v>
      </c>
      <c r="C22" s="465">
        <v>1920</v>
      </c>
      <c r="D22" s="481">
        <f t="shared" si="0"/>
        <v>15</v>
      </c>
      <c r="E22" s="500">
        <f t="shared" si="2"/>
        <v>258</v>
      </c>
      <c r="F22" s="468">
        <f t="shared" si="3"/>
        <v>7.31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43600.375</v>
      </c>
      <c r="C23" s="465">
        <v>2880</v>
      </c>
      <c r="D23" s="481">
        <f t="shared" si="0"/>
        <v>14.7</v>
      </c>
      <c r="E23" s="500">
        <f t="shared" si="2"/>
        <v>257</v>
      </c>
      <c r="F23" s="468">
        <f t="shared" si="3"/>
        <v>7.3199999999999994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260</v>
      </c>
      <c r="F24" s="495">
        <f t="shared" si="4"/>
        <v>7.4399999999999995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</v>
      </c>
      <c r="E25" s="494">
        <f t="shared" ref="E25:F25" si="5">MIN(E14:E23)</f>
        <v>256</v>
      </c>
      <c r="F25" s="495">
        <f t="shared" si="5"/>
        <v>7.31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0.5</v>
      </c>
      <c r="E26" s="489">
        <f t="shared" ref="E26:F26" si="6">E24-E25</f>
        <v>4</v>
      </c>
      <c r="F26" s="488">
        <f t="shared" si="6"/>
        <v>0.12999999999999989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278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43601.375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14.6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323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43601.378472222219</v>
      </c>
      <c r="C14" s="482">
        <v>5</v>
      </c>
      <c r="D14" s="480">
        <f t="shared" ref="D14:D23" si="0">baseTemp+H14</f>
        <v>15.1</v>
      </c>
      <c r="E14" s="504">
        <f>$C$8+I14</f>
        <v>325</v>
      </c>
      <c r="F14" s="479">
        <f>$C$9+J14</f>
        <v>7.13</v>
      </c>
      <c r="H14" s="335">
        <v>0.5</v>
      </c>
      <c r="I14" s="464">
        <v>2</v>
      </c>
      <c r="J14" s="465">
        <v>0.13</v>
      </c>
    </row>
    <row r="15" spans="2:10" s="12" customFormat="1" ht="26.1" customHeight="1">
      <c r="B15" s="499">
        <f t="shared" ref="B15:B23" si="1">$C$6+C15/1440</f>
        <v>43601.395833333336</v>
      </c>
      <c r="C15" s="465">
        <v>30</v>
      </c>
      <c r="D15" s="481">
        <f t="shared" si="0"/>
        <v>15.2</v>
      </c>
      <c r="E15" s="500">
        <f t="shared" ref="E15:E23" si="2">$C$8+I15</f>
        <v>326</v>
      </c>
      <c r="F15" s="468">
        <f t="shared" ref="F15:F23" si="3">$C$9+J15</f>
        <v>7.14</v>
      </c>
      <c r="H15" s="335">
        <v>0.6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43601.416666666664</v>
      </c>
      <c r="C16" s="465">
        <v>60</v>
      </c>
      <c r="D16" s="481">
        <f t="shared" si="0"/>
        <v>15.1</v>
      </c>
      <c r="E16" s="500">
        <f t="shared" si="2"/>
        <v>326</v>
      </c>
      <c r="F16" s="468">
        <f t="shared" si="3"/>
        <v>7</v>
      </c>
      <c r="H16" s="335">
        <v>0.5</v>
      </c>
      <c r="I16" s="464">
        <v>3</v>
      </c>
      <c r="J16" s="465">
        <v>0</v>
      </c>
    </row>
    <row r="17" spans="2:10" s="12" customFormat="1" ht="26.1" customHeight="1">
      <c r="B17" s="499">
        <f t="shared" si="1"/>
        <v>43601.458333333336</v>
      </c>
      <c r="C17" s="465">
        <v>120</v>
      </c>
      <c r="D17" s="481">
        <f t="shared" si="0"/>
        <v>14.9</v>
      </c>
      <c r="E17" s="500">
        <f t="shared" si="2"/>
        <v>325</v>
      </c>
      <c r="F17" s="468">
        <f t="shared" si="3"/>
        <v>7.14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43601.541666666664</v>
      </c>
      <c r="C18" s="465">
        <v>240</v>
      </c>
      <c r="D18" s="481">
        <f t="shared" si="0"/>
        <v>15.2</v>
      </c>
      <c r="E18" s="500">
        <f t="shared" si="2"/>
        <v>326</v>
      </c>
      <c r="F18" s="468">
        <f t="shared" si="3"/>
        <v>7.13</v>
      </c>
      <c r="H18" s="335">
        <v>0.6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43601.708333333336</v>
      </c>
      <c r="C19" s="465">
        <v>480</v>
      </c>
      <c r="D19" s="502">
        <f t="shared" si="0"/>
        <v>15.1</v>
      </c>
      <c r="E19" s="500">
        <f t="shared" si="2"/>
        <v>325</v>
      </c>
      <c r="F19" s="468">
        <f t="shared" si="3"/>
        <v>7.01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43602.375</v>
      </c>
      <c r="C20" s="465">
        <v>1440</v>
      </c>
      <c r="D20" s="481">
        <f t="shared" si="0"/>
        <v>15.2</v>
      </c>
      <c r="E20" s="500">
        <f t="shared" si="2"/>
        <v>324</v>
      </c>
      <c r="F20" s="468">
        <f t="shared" si="3"/>
        <v>7.02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43602.541666666664</v>
      </c>
      <c r="C21" s="465">
        <v>1680</v>
      </c>
      <c r="D21" s="481">
        <f t="shared" si="0"/>
        <v>15</v>
      </c>
      <c r="E21" s="500">
        <f t="shared" si="2"/>
        <v>325</v>
      </c>
      <c r="F21" s="468">
        <f t="shared" si="3"/>
        <v>7.04</v>
      </c>
      <c r="H21" s="335">
        <v>0.4</v>
      </c>
      <c r="I21" s="464">
        <v>2</v>
      </c>
      <c r="J21" s="465">
        <v>0.04</v>
      </c>
    </row>
    <row r="22" spans="2:10" s="106" customFormat="1" ht="26.1" customHeight="1">
      <c r="B22" s="499">
        <f t="shared" si="1"/>
        <v>43602.708333333336</v>
      </c>
      <c r="C22" s="465">
        <v>1920</v>
      </c>
      <c r="D22" s="481">
        <f t="shared" si="0"/>
        <v>15.1</v>
      </c>
      <c r="E22" s="500">
        <f t="shared" si="2"/>
        <v>325</v>
      </c>
      <c r="F22" s="468">
        <f t="shared" si="3"/>
        <v>7.01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43603.375</v>
      </c>
      <c r="C23" s="465">
        <v>2880</v>
      </c>
      <c r="D23" s="481">
        <f t="shared" si="0"/>
        <v>14.799999999999999</v>
      </c>
      <c r="E23" s="500">
        <f t="shared" si="2"/>
        <v>324</v>
      </c>
      <c r="F23" s="468">
        <f t="shared" si="3"/>
        <v>7.02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326</v>
      </c>
      <c r="F24" s="495">
        <f t="shared" si="4"/>
        <v>7.14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14.799999999999999</v>
      </c>
      <c r="E25" s="494">
        <f t="shared" ref="E25:F25" si="5">MIN(E14:E23)</f>
        <v>324</v>
      </c>
      <c r="F25" s="495">
        <f t="shared" si="5"/>
        <v>7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0.40000000000000036</v>
      </c>
      <c r="E26" s="489">
        <f t="shared" ref="E26:F26" si="6">E24-E25</f>
        <v>2</v>
      </c>
      <c r="F26" s="488">
        <f t="shared" si="6"/>
        <v>0.13999999999999968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2020-02-03T06:22:09Z</dcterms:modified>
</cp:coreProperties>
</file>