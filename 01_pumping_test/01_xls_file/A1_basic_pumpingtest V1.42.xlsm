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omments3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7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8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9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 codeName="{2109D909-C6D8-E34B-4C66-09127ED2DC46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09_남훈이형\05_ihanseol - 2020\00_Data\06_Excel Reference\"/>
    </mc:Choice>
  </mc:AlternateContent>
  <xr:revisionPtr revIDLastSave="0" documentId="13_ncr:1_{005BF292-3785-4E08-8109-CB3C0DC1ED9A}" xr6:coauthVersionLast="45" xr6:coauthVersionMax="45" xr10:uidLastSave="{00000000-0000-0000-0000-000000000000}"/>
  <bookViews>
    <workbookView xWindow="-120" yWindow="-120" windowWidth="29040" windowHeight="15840" tabRatio="569" firstSheet="2" activeTab="7" xr2:uid="{00000000-000D-0000-FFFF-FFFF00000000}"/>
  </bookViews>
  <sheets>
    <sheet name="VXXX" sheetId="17" state="veryHidden" r:id="rId1"/>
    <sheet name="Sheet1" sheetId="24" state="hidden" r:id="rId2"/>
    <sheet name="입력표" sheetId="1" r:id="rId3"/>
    <sheet name="REF" sheetId="30" state="hidden" r:id="rId4"/>
    <sheet name="스킨팩터" sheetId="27" r:id="rId5"/>
    <sheet name="가채수량" sheetId="19" state="hidden" r:id="rId6"/>
    <sheet name="단계양수시험" sheetId="2" r:id="rId7"/>
    <sheet name="장기양수시험" sheetId="3" r:id="rId8"/>
    <sheet name="펌프마력" sheetId="18" state="hidden" r:id="rId9"/>
    <sheet name="Step.Select" sheetId="20" r:id="rId10"/>
    <sheet name="Janggi.Select" sheetId="21" r:id="rId11"/>
    <sheet name="Recover.Select" sheetId="22" r:id="rId12"/>
    <sheet name="시추주상" sheetId="23" state="hidden" r:id="rId13"/>
  </sheets>
  <functionGroups builtInGroupCount="19"/>
  <definedNames>
    <definedName name="gongbun">REF!$D$4:$D$8</definedName>
    <definedName name="gongbun2">REF!$E$4:$E$8</definedName>
    <definedName name="_xlnm.Print_Area" localSheetId="6">단계양수시험!$A$1:$I$51</definedName>
    <definedName name="_xlnm.Print_Area" localSheetId="2">입력표!$A$1:$M$62</definedName>
    <definedName name="_xlnm.Print_Area" localSheetId="7">장기양수시험!$A$1:$I$101</definedName>
    <definedName name="_xlnm.Print_Titles" localSheetId="6">단계양수시험!$3:$10</definedName>
    <definedName name="_xlnm.Print_Titles" localSheetId="7">장기양수시험!$1:$9</definedName>
    <definedName name="pump_hp">REF!$C$4:$C$11</definedName>
    <definedName name="well_radius">REF!$F$4:$F$6</definedName>
    <definedName name="단계양수">단계양수시험!$A$3:$I$51</definedName>
    <definedName name="장기양수">장기양수시험!$A$1:$I$101</definedName>
    <definedName name="적정채수량산정">입력표!$A$1:$M$54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20" i="1" l="1"/>
  <c r="S16" i="1" l="1"/>
  <c r="S17" i="1"/>
  <c r="C101" i="3" l="1"/>
  <c r="C99" i="3"/>
  <c r="C97" i="3"/>
  <c r="C93" i="3"/>
  <c r="C78" i="3"/>
  <c r="C77" i="3"/>
  <c r="C71" i="3"/>
  <c r="C66" i="3"/>
  <c r="C61" i="3"/>
  <c r="C56" i="3"/>
  <c r="C51" i="3"/>
  <c r="C45" i="3"/>
  <c r="C39" i="3"/>
  <c r="C33" i="3"/>
  <c r="C25" i="3"/>
  <c r="A15" i="22" l="1"/>
  <c r="A15" i="21"/>
  <c r="A15" i="20"/>
  <c r="A27" i="22" l="1"/>
  <c r="A26" i="21"/>
  <c r="T5" i="2" l="1"/>
  <c r="AK6" i="3"/>
  <c r="AK7" i="3" s="1"/>
  <c r="B3" i="27" l="1"/>
  <c r="B1" i="27" l="1"/>
  <c r="C3" i="27"/>
  <c r="N45" i="1" l="1"/>
  <c r="M46" i="1" l="1"/>
  <c r="F14" i="27" l="1"/>
  <c r="I22" i="27" l="1"/>
  <c r="C30" i="27" s="1"/>
  <c r="G22" i="27"/>
  <c r="G27" i="27" s="1"/>
  <c r="F22" i="27"/>
  <c r="F27" i="27" s="1"/>
  <c r="H17" i="27"/>
  <c r="H22" i="27" s="1"/>
  <c r="H27" i="27" s="1"/>
  <c r="D17" i="27"/>
  <c r="D22" i="27" s="1"/>
  <c r="D27" i="27" s="1"/>
  <c r="I11" i="27"/>
  <c r="I9" i="27"/>
  <c r="I7" i="27"/>
  <c r="I5" i="27"/>
  <c r="G5" i="27"/>
  <c r="E5" i="27"/>
  <c r="E7" i="27" s="1"/>
  <c r="C17" i="27" l="1"/>
  <c r="B17" i="27"/>
  <c r="I27" i="27"/>
  <c r="C24" i="27" s="1"/>
  <c r="C29" i="27"/>
  <c r="B22" i="27" l="1"/>
  <c r="B27" i="27" s="1"/>
  <c r="C22" i="27"/>
  <c r="C27" i="27" s="1"/>
  <c r="D30" i="27"/>
  <c r="D29" i="27"/>
  <c r="E17" i="27"/>
  <c r="C14" i="27" s="1"/>
  <c r="E22" i="27" l="1"/>
  <c r="C19" i="27" s="1"/>
  <c r="E27" i="27" l="1"/>
  <c r="C31" i="27"/>
  <c r="A44" i="1"/>
  <c r="D39" i="1"/>
  <c r="K28" i="3" l="1"/>
  <c r="K29" i="3"/>
  <c r="K30" i="3"/>
  <c r="K31" i="3"/>
  <c r="B5" i="18"/>
  <c r="B3" i="18"/>
  <c r="I49" i="1"/>
  <c r="V2" i="3"/>
  <c r="V38" i="3" s="1"/>
  <c r="B32" i="1"/>
  <c r="B33" i="1" s="1"/>
  <c r="C26" i="1"/>
  <c r="B10" i="3" s="1"/>
  <c r="C5" i="27" s="1"/>
  <c r="U4" i="2"/>
  <c r="W2" i="3" s="1"/>
  <c r="W3" i="3" s="1"/>
  <c r="W4" i="3" s="1"/>
  <c r="W5" i="3" s="1"/>
  <c r="W6" i="3" s="1"/>
  <c r="W7" i="3" s="1"/>
  <c r="W8" i="3" s="1"/>
  <c r="W9" i="3" s="1"/>
  <c r="W10" i="3" s="1"/>
  <c r="W11" i="3" s="1"/>
  <c r="W12" i="3" s="1"/>
  <c r="W13" i="3" s="1"/>
  <c r="W14" i="3" s="1"/>
  <c r="W15" i="3" s="1"/>
  <c r="W16" i="3" s="1"/>
  <c r="W17" i="3" s="1"/>
  <c r="W18" i="3" s="1"/>
  <c r="W19" i="3" s="1"/>
  <c r="W20" i="3" s="1"/>
  <c r="W21" i="3" s="1"/>
  <c r="W22" i="3" s="1"/>
  <c r="W23" i="3" s="1"/>
  <c r="W24" i="3" s="1"/>
  <c r="W25" i="3" s="1"/>
  <c r="W26" i="3" s="1"/>
  <c r="W27" i="3" s="1"/>
  <c r="W28" i="3" s="1"/>
  <c r="W29" i="3" s="1"/>
  <c r="W30" i="3" s="1"/>
  <c r="W31" i="3" s="1"/>
  <c r="W32" i="3" s="1"/>
  <c r="W33" i="3" s="1"/>
  <c r="W34" i="3" s="1"/>
  <c r="W35" i="3" s="1"/>
  <c r="W36" i="3" s="1"/>
  <c r="W37" i="3" s="1"/>
  <c r="W38" i="3" s="1"/>
  <c r="W39" i="3" s="1"/>
  <c r="W40" i="3" s="1"/>
  <c r="W41" i="3" s="1"/>
  <c r="W42" i="3" s="1"/>
  <c r="W43" i="3" s="1"/>
  <c r="W44" i="3" s="1"/>
  <c r="W45" i="3" s="1"/>
  <c r="W46" i="3" s="1"/>
  <c r="W47" i="3" s="1"/>
  <c r="W48" i="3" s="1"/>
  <c r="W49" i="3" s="1"/>
  <c r="W50" i="3" s="1"/>
  <c r="W51" i="3" s="1"/>
  <c r="W52" i="3" s="1"/>
  <c r="W53" i="3" s="1"/>
  <c r="W54" i="3" s="1"/>
  <c r="W55" i="3" s="1"/>
  <c r="W56" i="3" s="1"/>
  <c r="W57" i="3" s="1"/>
  <c r="W58" i="3" s="1"/>
  <c r="W59" i="3" s="1"/>
  <c r="W60" i="3" s="1"/>
  <c r="W61" i="3" s="1"/>
  <c r="W62" i="3" s="1"/>
  <c r="W63" i="3" s="1"/>
  <c r="W64" i="3" s="1"/>
  <c r="W65" i="3" s="1"/>
  <c r="W66" i="3" s="1"/>
  <c r="W67" i="3" s="1"/>
  <c r="W68" i="3" s="1"/>
  <c r="W69" i="3" s="1"/>
  <c r="W70" i="3" s="1"/>
  <c r="W71" i="3" s="1"/>
  <c r="W72" i="3" s="1"/>
  <c r="W73" i="3" s="1"/>
  <c r="W74" i="3" s="1"/>
  <c r="W75" i="3" s="1"/>
  <c r="W76" i="3" s="1"/>
  <c r="W77" i="3" s="1"/>
  <c r="W78" i="3" s="1"/>
  <c r="W79" i="3" s="1"/>
  <c r="W80" i="3" s="1"/>
  <c r="W81" i="3" s="1"/>
  <c r="W82" i="3" s="1"/>
  <c r="W83" i="3" s="1"/>
  <c r="M47" i="1"/>
  <c r="D17" i="1" s="1"/>
  <c r="X2" i="3"/>
  <c r="X12" i="3" s="1"/>
  <c r="D33" i="3"/>
  <c r="D34" i="3" s="1"/>
  <c r="N17" i="2"/>
  <c r="N18" i="2" s="1"/>
  <c r="N19" i="2" s="1"/>
  <c r="N20" i="2" s="1"/>
  <c r="N21" i="2" s="1"/>
  <c r="N22" i="2" s="1"/>
  <c r="N23" i="2" s="1"/>
  <c r="N24" i="2" s="1"/>
  <c r="N25" i="2" s="1"/>
  <c r="N26" i="2" s="1"/>
  <c r="N27" i="2" s="1"/>
  <c r="N28" i="2" s="1"/>
  <c r="N29" i="2" s="1"/>
  <c r="N30" i="2" s="1"/>
  <c r="N31" i="2" s="1"/>
  <c r="N32" i="2" s="1"/>
  <c r="M50" i="1"/>
  <c r="J8" i="3" s="1"/>
  <c r="C20" i="1"/>
  <c r="C59" i="1"/>
  <c r="C61" i="1"/>
  <c r="C62" i="1" s="1"/>
  <c r="I58" i="1" s="1"/>
  <c r="F59" i="1"/>
  <c r="F62" i="1" s="1"/>
  <c r="I59" i="1" s="1"/>
  <c r="A19" i="20"/>
  <c r="A18" i="20"/>
  <c r="A18" i="22" s="1"/>
  <c r="E10" i="18"/>
  <c r="E9" i="18"/>
  <c r="C24" i="1"/>
  <c r="B2" i="18"/>
  <c r="X34" i="3"/>
  <c r="C112" i="3"/>
  <c r="E112" i="3" s="1"/>
  <c r="A120" i="3"/>
  <c r="C125" i="3" s="1"/>
  <c r="E136" i="3"/>
  <c r="D10" i="2"/>
  <c r="D8" i="3" s="1"/>
  <c r="E96" i="3"/>
  <c r="E95" i="3"/>
  <c r="E94" i="3"/>
  <c r="E129" i="3"/>
  <c r="E130" i="3"/>
  <c r="E132" i="3"/>
  <c r="E133" i="3"/>
  <c r="E135" i="3"/>
  <c r="E123" i="3"/>
  <c r="E124" i="3"/>
  <c r="E111" i="3"/>
  <c r="E92" i="3"/>
  <c r="E91" i="3"/>
  <c r="E89" i="3"/>
  <c r="E88" i="3"/>
  <c r="A32" i="21"/>
  <c r="E11" i="3"/>
  <c r="Y3" i="3" s="1"/>
  <c r="A33" i="21"/>
  <c r="E12" i="3"/>
  <c r="Y4" i="3" s="1"/>
  <c r="A34" i="21"/>
  <c r="E13" i="3"/>
  <c r="Y5" i="3" s="1"/>
  <c r="A35" i="21"/>
  <c r="E14" i="3"/>
  <c r="Y6" i="3" s="1"/>
  <c r="A36" i="21"/>
  <c r="E15" i="3"/>
  <c r="Y7" i="3" s="1"/>
  <c r="A37" i="21"/>
  <c r="E16" i="3"/>
  <c r="Y8" i="3" s="1"/>
  <c r="A38" i="21"/>
  <c r="E17" i="3"/>
  <c r="Y9" i="3" s="1"/>
  <c r="A39" i="21"/>
  <c r="E18" i="3"/>
  <c r="Y10" i="3" s="1"/>
  <c r="A40" i="21"/>
  <c r="E19" i="3"/>
  <c r="Y11" i="3" s="1"/>
  <c r="A41" i="21"/>
  <c r="E20" i="3"/>
  <c r="Y12" i="3" s="1"/>
  <c r="A42" i="21"/>
  <c r="E21" i="3"/>
  <c r="Y13" i="3" s="1"/>
  <c r="A43" i="21"/>
  <c r="E22" i="3"/>
  <c r="Y14" i="3" s="1"/>
  <c r="A44" i="21"/>
  <c r="E23" i="3"/>
  <c r="Y15" i="3" s="1"/>
  <c r="A45" i="21"/>
  <c r="E24" i="3"/>
  <c r="Y16" i="3" s="1"/>
  <c r="A46" i="21"/>
  <c r="E25" i="3"/>
  <c r="Y17" i="3" s="1"/>
  <c r="A47" i="21"/>
  <c r="E26" i="3"/>
  <c r="Y18" i="3" s="1"/>
  <c r="A48" i="21"/>
  <c r="E27" i="3"/>
  <c r="Y19" i="3" s="1"/>
  <c r="A49" i="21"/>
  <c r="E28" i="3"/>
  <c r="Y20" i="3" s="1"/>
  <c r="A50" i="21"/>
  <c r="E29" i="3"/>
  <c r="Y21" i="3" s="1"/>
  <c r="A51" i="21"/>
  <c r="E30" i="3"/>
  <c r="Y22" i="3" s="1"/>
  <c r="A52" i="21"/>
  <c r="E31" i="3"/>
  <c r="Y23" i="3" s="1"/>
  <c r="A53" i="21"/>
  <c r="E32" i="3"/>
  <c r="Y24" i="3" s="1"/>
  <c r="A31" i="21"/>
  <c r="E10" i="3"/>
  <c r="Y2" i="3" s="1"/>
  <c r="B24" i="22"/>
  <c r="B24" i="21"/>
  <c r="A31" i="22"/>
  <c r="A30" i="21"/>
  <c r="C21" i="1"/>
  <c r="E21" i="1"/>
  <c r="T6" i="2"/>
  <c r="T7" i="2" s="1"/>
  <c r="T8" i="2" s="1"/>
  <c r="T9" i="2" s="1"/>
  <c r="T10" i="2" s="1"/>
  <c r="T11" i="2" s="1"/>
  <c r="T12" i="2" s="1"/>
  <c r="T13" i="2" s="1"/>
  <c r="T14" i="2" s="1"/>
  <c r="T15" i="2" s="1"/>
  <c r="T16" i="2" s="1"/>
  <c r="T17" i="2" s="1"/>
  <c r="T18" i="2" s="1"/>
  <c r="T19" i="2" s="1"/>
  <c r="T20" i="2" s="1"/>
  <c r="T21" i="2" s="1"/>
  <c r="T22" i="2" s="1"/>
  <c r="T23" i="2" s="1"/>
  <c r="T24" i="2" s="1"/>
  <c r="T25" i="2" s="1"/>
  <c r="T26" i="2" s="1"/>
  <c r="T27" i="2" s="1"/>
  <c r="T28" i="2" s="1"/>
  <c r="T29" i="2" s="1"/>
  <c r="T30" i="2" s="1"/>
  <c r="T31" i="2" s="1"/>
  <c r="T32" i="2" s="1"/>
  <c r="T33" i="2" s="1"/>
  <c r="T34" i="2" s="1"/>
  <c r="T35" i="2" s="1"/>
  <c r="T36" i="2" s="1"/>
  <c r="T37" i="2" s="1"/>
  <c r="T38" i="2" s="1"/>
  <c r="T39" i="2" s="1"/>
  <c r="T40" i="2" s="1"/>
  <c r="T41" i="2" s="1"/>
  <c r="T42" i="2" s="1"/>
  <c r="T43" i="2" s="1"/>
  <c r="V5" i="2"/>
  <c r="V6" i="2" s="1"/>
  <c r="V7" i="2" s="1"/>
  <c r="V8" i="2" s="1"/>
  <c r="V9" i="2" s="1"/>
  <c r="V10" i="2" s="1"/>
  <c r="V11" i="2" s="1"/>
  <c r="V12" i="2" s="1"/>
  <c r="V13" i="2" s="1"/>
  <c r="V14" i="2" s="1"/>
  <c r="V15" i="2" s="1"/>
  <c r="V16" i="2" s="1"/>
  <c r="V17" i="2" s="1"/>
  <c r="V18" i="2" s="1"/>
  <c r="V19" i="2" s="1"/>
  <c r="V20" i="2" s="1"/>
  <c r="V21" i="2" s="1"/>
  <c r="V22" i="2" s="1"/>
  <c r="V23" i="2" s="1"/>
  <c r="V24" i="2" s="1"/>
  <c r="V25" i="2" s="1"/>
  <c r="V26" i="2" s="1"/>
  <c r="V27" i="2" s="1"/>
  <c r="V28" i="2" s="1"/>
  <c r="V29" i="2" s="1"/>
  <c r="V30" i="2" s="1"/>
  <c r="V31" i="2" s="1"/>
  <c r="V32" i="2" s="1"/>
  <c r="V33" i="2" s="1"/>
  <c r="V34" i="2" s="1"/>
  <c r="V35" i="2" s="1"/>
  <c r="V36" i="2" s="1"/>
  <c r="V37" i="2" s="1"/>
  <c r="V38" i="2" s="1"/>
  <c r="V39" i="2" s="1"/>
  <c r="V40" i="2" s="1"/>
  <c r="V41" i="2" s="1"/>
  <c r="V42" i="2" s="1"/>
  <c r="V43" i="2" s="1"/>
  <c r="C22" i="1"/>
  <c r="E22" i="1"/>
  <c r="A34" i="20"/>
  <c r="AE5" i="2"/>
  <c r="AE6" i="2"/>
  <c r="AE7" i="2"/>
  <c r="AE8" i="2"/>
  <c r="AE9" i="2"/>
  <c r="AE10" i="2"/>
  <c r="AE11" i="2"/>
  <c r="AE12" i="2"/>
  <c r="AE13" i="2"/>
  <c r="AE14" i="2"/>
  <c r="AE15" i="2"/>
  <c r="E24" i="1"/>
  <c r="AE4" i="2"/>
  <c r="A134" i="20"/>
  <c r="A116" i="20"/>
  <c r="A117" i="20"/>
  <c r="A118" i="20"/>
  <c r="A119" i="20"/>
  <c r="A120" i="20"/>
  <c r="A121" i="20"/>
  <c r="A122" i="20"/>
  <c r="A123" i="20"/>
  <c r="A124" i="20"/>
  <c r="A125" i="20"/>
  <c r="A126" i="20"/>
  <c r="A127" i="20"/>
  <c r="A128" i="20"/>
  <c r="A129" i="20"/>
  <c r="A130" i="20"/>
  <c r="A131" i="20"/>
  <c r="A132" i="20"/>
  <c r="A133" i="20"/>
  <c r="A108" i="20"/>
  <c r="A109" i="20"/>
  <c r="A110" i="20"/>
  <c r="A111" i="20"/>
  <c r="A112" i="20"/>
  <c r="A113" i="20"/>
  <c r="A114" i="20"/>
  <c r="A115" i="20"/>
  <c r="A90" i="20"/>
  <c r="A91" i="20"/>
  <c r="A92" i="20"/>
  <c r="A93" i="20"/>
  <c r="A94" i="20"/>
  <c r="A95" i="20"/>
  <c r="A96" i="20"/>
  <c r="A97" i="20"/>
  <c r="A98" i="20"/>
  <c r="A99" i="20"/>
  <c r="A100" i="20"/>
  <c r="A101" i="20"/>
  <c r="A102" i="20"/>
  <c r="A103" i="20"/>
  <c r="A104" i="20"/>
  <c r="A105" i="20"/>
  <c r="A106" i="20"/>
  <c r="A107" i="20"/>
  <c r="A64" i="20"/>
  <c r="A65" i="20"/>
  <c r="A66" i="20"/>
  <c r="A67" i="20"/>
  <c r="A68" i="20"/>
  <c r="A69" i="20"/>
  <c r="A70" i="20"/>
  <c r="A71" i="20"/>
  <c r="A72" i="20"/>
  <c r="A73" i="20"/>
  <c r="A74" i="20"/>
  <c r="A75" i="20"/>
  <c r="A76" i="20"/>
  <c r="A77" i="20"/>
  <c r="A78" i="20"/>
  <c r="A79" i="20"/>
  <c r="A80" i="20"/>
  <c r="A81" i="20"/>
  <c r="A82" i="20"/>
  <c r="A83" i="20"/>
  <c r="A84" i="20"/>
  <c r="A85" i="20"/>
  <c r="A86" i="20"/>
  <c r="A87" i="20"/>
  <c r="A88" i="20"/>
  <c r="A89" i="20"/>
  <c r="A36" i="20"/>
  <c r="A37" i="20"/>
  <c r="A38" i="20"/>
  <c r="A39" i="20"/>
  <c r="A40" i="20"/>
  <c r="A41" i="20"/>
  <c r="A42" i="20"/>
  <c r="A43" i="20"/>
  <c r="A44" i="20"/>
  <c r="A45" i="20"/>
  <c r="A46" i="20"/>
  <c r="A47" i="20"/>
  <c r="A48" i="20"/>
  <c r="A49" i="20"/>
  <c r="A50" i="20"/>
  <c r="A51" i="20"/>
  <c r="A52" i="20"/>
  <c r="A53" i="20"/>
  <c r="A54" i="20"/>
  <c r="A55" i="20"/>
  <c r="A56" i="20"/>
  <c r="A57" i="20"/>
  <c r="A58" i="20"/>
  <c r="A59" i="20"/>
  <c r="A60" i="20"/>
  <c r="A61" i="20"/>
  <c r="A62" i="20"/>
  <c r="A63" i="20"/>
  <c r="A35" i="20"/>
  <c r="E2" i="1"/>
  <c r="A47" i="1"/>
  <c r="B50" i="1" s="1"/>
  <c r="C50" i="1" s="1"/>
  <c r="A12" i="23"/>
  <c r="A13" i="23" s="1"/>
  <c r="A32" i="1"/>
  <c r="A33" i="1" s="1"/>
  <c r="A34" i="1" s="1"/>
  <c r="A35" i="1" s="1"/>
  <c r="B5" i="19"/>
  <c r="X33" i="2"/>
  <c r="W33" i="2" s="1"/>
  <c r="X38" i="2"/>
  <c r="AB38" i="2" s="1"/>
  <c r="X23" i="2"/>
  <c r="AB23" i="2" s="1"/>
  <c r="A28" i="20"/>
  <c r="A27" i="20"/>
  <c r="A26" i="20"/>
  <c r="A25" i="20"/>
  <c r="X10" i="2"/>
  <c r="AB10" i="2" s="1"/>
  <c r="X9" i="2"/>
  <c r="W9" i="2" s="1"/>
  <c r="X8" i="2"/>
  <c r="AB8" i="2" s="1"/>
  <c r="X7" i="2"/>
  <c r="W7" i="2" s="1"/>
  <c r="X11" i="2"/>
  <c r="X28" i="2"/>
  <c r="W28" i="2" s="1"/>
  <c r="X43" i="2"/>
  <c r="W43" i="2" s="1"/>
  <c r="X12" i="2"/>
  <c r="W12" i="2" s="1"/>
  <c r="X13" i="2"/>
  <c r="W13" i="2" s="1"/>
  <c r="X14" i="2"/>
  <c r="X15" i="2"/>
  <c r="AB15" i="2" s="1"/>
  <c r="X16" i="2"/>
  <c r="W16" i="2" s="1"/>
  <c r="AE16" i="2"/>
  <c r="X17" i="2"/>
  <c r="W17" i="2" s="1"/>
  <c r="X18" i="2"/>
  <c r="W18" i="2" s="1"/>
  <c r="X19" i="2"/>
  <c r="X20" i="2"/>
  <c r="X21" i="2"/>
  <c r="AB21" i="2" s="1"/>
  <c r="X22" i="2"/>
  <c r="AB22" i="2" s="1"/>
  <c r="X4" i="2"/>
  <c r="W4" i="2" s="1"/>
  <c r="X5" i="2"/>
  <c r="AB5" i="2" s="1"/>
  <c r="X6" i="2"/>
  <c r="W6" i="2" s="1"/>
  <c r="S45" i="2"/>
  <c r="S46" i="2" s="1"/>
  <c r="S47" i="2" s="1"/>
  <c r="S48" i="2" s="1"/>
  <c r="S49" i="2" s="1"/>
  <c r="S50" i="2" s="1"/>
  <c r="S51" i="2" s="1"/>
  <c r="S52" i="2"/>
  <c r="S53" i="2" s="1"/>
  <c r="S54" i="2" s="1"/>
  <c r="S55" i="2" s="1"/>
  <c r="S56" i="2" s="1"/>
  <c r="S57" i="2" s="1"/>
  <c r="S58" i="2" s="1"/>
  <c r="S59" i="2" s="1"/>
  <c r="S60" i="2" s="1"/>
  <c r="S61" i="2" s="1"/>
  <c r="S62" i="2" s="1"/>
  <c r="S63" i="2" s="1"/>
  <c r="S64" i="2" s="1"/>
  <c r="S65" i="2" s="1"/>
  <c r="S66" i="2" s="1"/>
  <c r="R67" i="2" s="1"/>
  <c r="S68" i="2" s="1"/>
  <c r="S69" i="2" s="1"/>
  <c r="S70" i="2" s="1"/>
  <c r="S71" i="2" s="1"/>
  <c r="S72" i="2" s="1"/>
  <c r="S73" i="2" s="1"/>
  <c r="S74" i="2" s="1"/>
  <c r="S75" i="2" s="1"/>
  <c r="T45" i="2"/>
  <c r="T46" i="2" s="1"/>
  <c r="T47" i="2" s="1"/>
  <c r="T48" i="2" s="1"/>
  <c r="T49" i="2" s="1"/>
  <c r="T50" i="2" s="1"/>
  <c r="T51" i="2" s="1"/>
  <c r="T52" i="2"/>
  <c r="T53" i="2" s="1"/>
  <c r="T54" i="2" s="1"/>
  <c r="T55" i="2" s="1"/>
  <c r="T56" i="2" s="1"/>
  <c r="T57" i="2" s="1"/>
  <c r="T58" i="2" s="1"/>
  <c r="T59" i="2" s="1"/>
  <c r="T60" i="2" s="1"/>
  <c r="T61" i="2" s="1"/>
  <c r="T62" i="2" s="1"/>
  <c r="T63" i="2" s="1"/>
  <c r="T64" i="2" s="1"/>
  <c r="T65" i="2" s="1"/>
  <c r="T66" i="2" s="1"/>
  <c r="S67" i="2" s="1"/>
  <c r="T68" i="2" s="1"/>
  <c r="T69" i="2" s="1"/>
  <c r="T70" i="2" s="1"/>
  <c r="T71" i="2" s="1"/>
  <c r="T72" i="2" s="1"/>
  <c r="T73" i="2" s="1"/>
  <c r="T74" i="2" s="1"/>
  <c r="T75" i="2" s="1"/>
  <c r="U45" i="2"/>
  <c r="U46" i="2" s="1"/>
  <c r="U47" i="2" s="1"/>
  <c r="U48" i="2" s="1"/>
  <c r="U49" i="2" s="1"/>
  <c r="U50" i="2" s="1"/>
  <c r="U51" i="2" s="1"/>
  <c r="U52" i="2"/>
  <c r="U53" i="2" s="1"/>
  <c r="U54" i="2" s="1"/>
  <c r="U55" i="2" s="1"/>
  <c r="U56" i="2" s="1"/>
  <c r="U57" i="2" s="1"/>
  <c r="U58" i="2" s="1"/>
  <c r="U59" i="2" s="1"/>
  <c r="U60" i="2" s="1"/>
  <c r="U61" i="2" s="1"/>
  <c r="U62" i="2" s="1"/>
  <c r="U63" i="2" s="1"/>
  <c r="U64" i="2" s="1"/>
  <c r="U65" i="2" s="1"/>
  <c r="U66" i="2" s="1"/>
  <c r="T67" i="2" s="1"/>
  <c r="U68" i="2" s="1"/>
  <c r="U69" i="2" s="1"/>
  <c r="U70" i="2" s="1"/>
  <c r="U71" i="2" s="1"/>
  <c r="U72" i="2" s="1"/>
  <c r="U73" i="2" s="1"/>
  <c r="U74" i="2" s="1"/>
  <c r="U75" i="2" s="1"/>
  <c r="V45" i="2"/>
  <c r="V46" i="2" s="1"/>
  <c r="V47" i="2" s="1"/>
  <c r="V48" i="2" s="1"/>
  <c r="V49" i="2" s="1"/>
  <c r="V50" i="2" s="1"/>
  <c r="V51" i="2" s="1"/>
  <c r="V52" i="2"/>
  <c r="V53" i="2" s="1"/>
  <c r="V54" i="2" s="1"/>
  <c r="V55" i="2" s="1"/>
  <c r="V56" i="2" s="1"/>
  <c r="V57" i="2" s="1"/>
  <c r="V58" i="2" s="1"/>
  <c r="V59" i="2" s="1"/>
  <c r="V60" i="2" s="1"/>
  <c r="V61" i="2" s="1"/>
  <c r="V62" i="2" s="1"/>
  <c r="V63" i="2" s="1"/>
  <c r="V64" i="2" s="1"/>
  <c r="V65" i="2" s="1"/>
  <c r="V66" i="2" s="1"/>
  <c r="U67" i="2" s="1"/>
  <c r="V68" i="2" s="1"/>
  <c r="V69" i="2" s="1"/>
  <c r="V70" i="2" s="1"/>
  <c r="V71" i="2" s="1"/>
  <c r="V72" i="2" s="1"/>
  <c r="V73" i="2" s="1"/>
  <c r="V74" i="2" s="1"/>
  <c r="V75" i="2" s="1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C7" i="2"/>
  <c r="C5" i="3" s="1"/>
  <c r="K18" i="2"/>
  <c r="K17" i="2"/>
  <c r="C5" i="2"/>
  <c r="C3" i="3" s="1"/>
  <c r="G9" i="2"/>
  <c r="G7" i="3" s="1"/>
  <c r="H5" i="2"/>
  <c r="H3" i="3" s="1"/>
  <c r="C8" i="2"/>
  <c r="C6" i="3" s="1"/>
  <c r="D9" i="2"/>
  <c r="D7" i="3" s="1"/>
  <c r="N17" i="3" s="1"/>
  <c r="N18" i="3" s="1"/>
  <c r="N19" i="3" s="1"/>
  <c r="C6" i="2"/>
  <c r="C4" i="3" s="1"/>
  <c r="C4" i="2"/>
  <c r="C2" i="3" s="1"/>
  <c r="AF22" i="2"/>
  <c r="AF21" i="2" s="1"/>
  <c r="AF20" i="2" s="1"/>
  <c r="AF19" i="2" s="1"/>
  <c r="AF18" i="2" s="1"/>
  <c r="AF17" i="2" s="1"/>
  <c r="AF16" i="2" s="1"/>
  <c r="AF15" i="2" s="1"/>
  <c r="AF14" i="2" s="1"/>
  <c r="AF13" i="2" s="1"/>
  <c r="AF12" i="2" s="1"/>
  <c r="AF11" i="2" s="1"/>
  <c r="AF10" i="2" s="1"/>
  <c r="AF9" i="2" s="1"/>
  <c r="AF8" i="2" s="1"/>
  <c r="AF7" i="2" s="1"/>
  <c r="AF6" i="2" s="1"/>
  <c r="AF5" i="2" s="1"/>
  <c r="AF4" i="2" s="1"/>
  <c r="X24" i="2"/>
  <c r="X25" i="2"/>
  <c r="X26" i="2"/>
  <c r="AB26" i="2" s="1"/>
  <c r="X27" i="2"/>
  <c r="AB27" i="2" s="1"/>
  <c r="X29" i="2"/>
  <c r="AB29" i="2" s="1"/>
  <c r="X30" i="2"/>
  <c r="X31" i="2"/>
  <c r="W31" i="2" s="1"/>
  <c r="X32" i="2"/>
  <c r="W32" i="2" s="1"/>
  <c r="X34" i="2"/>
  <c r="X35" i="2"/>
  <c r="W35" i="2" s="1"/>
  <c r="X36" i="2"/>
  <c r="AB36" i="2" s="1"/>
  <c r="X37" i="2"/>
  <c r="AB37" i="2" s="1"/>
  <c r="X39" i="2"/>
  <c r="AB39" i="2" s="1"/>
  <c r="X40" i="2"/>
  <c r="X41" i="2"/>
  <c r="AB41" i="2" s="1"/>
  <c r="X42" i="2"/>
  <c r="W42" i="2" s="1"/>
  <c r="U33" i="1"/>
  <c r="U34" i="1" s="1"/>
  <c r="T33" i="1"/>
  <c r="T34" i="1" s="1"/>
  <c r="S33" i="1"/>
  <c r="S34" i="1" s="1"/>
  <c r="R33" i="1"/>
  <c r="R34" i="1" s="1"/>
  <c r="Q33" i="1"/>
  <c r="Q34" i="1" s="1"/>
  <c r="P33" i="1"/>
  <c r="P34" i="1" s="1"/>
  <c r="O33" i="1"/>
  <c r="O34" i="1" s="1"/>
  <c r="B51" i="1"/>
  <c r="C39" i="1"/>
  <c r="C40" i="1" s="1"/>
  <c r="H8" i="3" s="1"/>
  <c r="K18" i="3"/>
  <c r="K19" i="3"/>
  <c r="K20" i="3"/>
  <c r="K21" i="3"/>
  <c r="K22" i="3"/>
  <c r="K23" i="3"/>
  <c r="K24" i="3"/>
  <c r="K17" i="3"/>
  <c r="K25" i="3"/>
  <c r="K26" i="3"/>
  <c r="K27" i="3"/>
  <c r="M4" i="3"/>
  <c r="M5" i="3"/>
  <c r="M6" i="3"/>
  <c r="M7" i="3"/>
  <c r="M8" i="3"/>
  <c r="M9" i="3"/>
  <c r="M10" i="3"/>
  <c r="M11" i="3"/>
  <c r="M12" i="3"/>
  <c r="M13" i="3"/>
  <c r="M3" i="3"/>
  <c r="G6" i="3"/>
  <c r="G5" i="3"/>
  <c r="C7" i="3"/>
  <c r="A8" i="3"/>
  <c r="A7" i="3"/>
  <c r="A6" i="3"/>
  <c r="A5" i="3"/>
  <c r="A4" i="3"/>
  <c r="A3" i="3"/>
  <c r="A2" i="3"/>
  <c r="X60" i="3"/>
  <c r="E78" i="3"/>
  <c r="Y70" i="3" s="1"/>
  <c r="E79" i="3"/>
  <c r="Y71" i="3" s="1"/>
  <c r="E80" i="3"/>
  <c r="Y72" i="3" s="1"/>
  <c r="E81" i="3"/>
  <c r="Y73" i="3" s="1"/>
  <c r="E82" i="3"/>
  <c r="Y74" i="3" s="1"/>
  <c r="E83" i="3"/>
  <c r="Y75" i="3" s="1"/>
  <c r="E84" i="3"/>
  <c r="Y76" i="3" s="1"/>
  <c r="E85" i="3"/>
  <c r="Y77" i="3" s="1"/>
  <c r="E86" i="3"/>
  <c r="Y78" i="3" s="1"/>
  <c r="E87" i="3"/>
  <c r="Y79" i="3" s="1"/>
  <c r="E90" i="3"/>
  <c r="Y80" i="3" s="1"/>
  <c r="E93" i="3"/>
  <c r="Y81" i="3" s="1"/>
  <c r="E97" i="3"/>
  <c r="Y82" i="3" s="1"/>
  <c r="E98" i="3"/>
  <c r="Y83" i="3" s="1"/>
  <c r="E99" i="3"/>
  <c r="E100" i="3"/>
  <c r="E101" i="3"/>
  <c r="Z3" i="3"/>
  <c r="AD3" i="3" s="1"/>
  <c r="Z4" i="3"/>
  <c r="AD4" i="3" s="1"/>
  <c r="Z5" i="3"/>
  <c r="AD5" i="3" s="1"/>
  <c r="Z6" i="3"/>
  <c r="AD6" i="3" s="1"/>
  <c r="Z7" i="3"/>
  <c r="AD7" i="3" s="1"/>
  <c r="Z8" i="3"/>
  <c r="AD8" i="3" s="1"/>
  <c r="Z9" i="3"/>
  <c r="AD9" i="3" s="1"/>
  <c r="Z10" i="3"/>
  <c r="AD10" i="3" s="1"/>
  <c r="Z11" i="3"/>
  <c r="AD11" i="3" s="1"/>
  <c r="Z12" i="3"/>
  <c r="AD12" i="3" s="1"/>
  <c r="Z13" i="3"/>
  <c r="AD13" i="3" s="1"/>
  <c r="Z14" i="3"/>
  <c r="AD14" i="3" s="1"/>
  <c r="Z15" i="3"/>
  <c r="AD15" i="3" s="1"/>
  <c r="Z16" i="3"/>
  <c r="AD16" i="3" s="1"/>
  <c r="Z17" i="3"/>
  <c r="AD17" i="3" s="1"/>
  <c r="Z18" i="3"/>
  <c r="AD18" i="3" s="1"/>
  <c r="Z19" i="3"/>
  <c r="AD19" i="3" s="1"/>
  <c r="Z20" i="3"/>
  <c r="AD20" i="3" s="1"/>
  <c r="Z21" i="3"/>
  <c r="AD21" i="3" s="1"/>
  <c r="Z22" i="3"/>
  <c r="AD22" i="3" s="1"/>
  <c r="Z23" i="3"/>
  <c r="AD23" i="3" s="1"/>
  <c r="Z24" i="3"/>
  <c r="AD24" i="3" s="1"/>
  <c r="Z2" i="3"/>
  <c r="AD2" i="3" s="1"/>
  <c r="Z84" i="3"/>
  <c r="Z85" i="3"/>
  <c r="Z86" i="3"/>
  <c r="U98" i="3"/>
  <c r="U99" i="3" s="1"/>
  <c r="U100" i="3" s="1"/>
  <c r="U101" i="3" s="1"/>
  <c r="U102" i="3" s="1"/>
  <c r="U103" i="3" s="1"/>
  <c r="X72" i="3"/>
  <c r="X80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J5" i="18"/>
  <c r="B6" i="18" s="1"/>
  <c r="Q5" i="18"/>
  <c r="P5" i="18"/>
  <c r="O5" i="18"/>
  <c r="N5" i="18"/>
  <c r="M5" i="18"/>
  <c r="L5" i="18"/>
  <c r="K5" i="18"/>
  <c r="I5" i="18"/>
  <c r="E12" i="18" s="1"/>
  <c r="H5" i="18"/>
  <c r="G5" i="18"/>
  <c r="F5" i="18"/>
  <c r="E5" i="18"/>
  <c r="X82" i="3"/>
  <c r="X78" i="3"/>
  <c r="X74" i="3"/>
  <c r="X70" i="3"/>
  <c r="X65" i="3"/>
  <c r="X58" i="3"/>
  <c r="X61" i="3"/>
  <c r="X52" i="3"/>
  <c r="X48" i="3"/>
  <c r="X44" i="3"/>
  <c r="X43" i="3"/>
  <c r="X32" i="3"/>
  <c r="X27" i="3"/>
  <c r="X25" i="3"/>
  <c r="X7" i="3"/>
  <c r="X83" i="3"/>
  <c r="X79" i="3"/>
  <c r="X75" i="3"/>
  <c r="X71" i="3"/>
  <c r="X66" i="3"/>
  <c r="X59" i="3"/>
  <c r="X55" i="3"/>
  <c r="X53" i="3"/>
  <c r="X49" i="3"/>
  <c r="X45" i="3"/>
  <c r="X39" i="3"/>
  <c r="X28" i="3"/>
  <c r="X24" i="3"/>
  <c r="X23" i="3"/>
  <c r="X20" i="3"/>
  <c r="X19" i="3"/>
  <c r="X17" i="3"/>
  <c r="X16" i="3"/>
  <c r="X6" i="3"/>
  <c r="X5" i="3"/>
  <c r="X4" i="3"/>
  <c r="X81" i="3"/>
  <c r="X77" i="3"/>
  <c r="X73" i="3"/>
  <c r="X68" i="3"/>
  <c r="X64" i="3"/>
  <c r="X69" i="3"/>
  <c r="X62" i="3"/>
  <c r="X57" i="3"/>
  <c r="X63" i="3"/>
  <c r="X51" i="3"/>
  <c r="X47" i="3"/>
  <c r="X54" i="3"/>
  <c r="X42" i="3"/>
  <c r="X31" i="3"/>
  <c r="X26" i="3"/>
  <c r="X11" i="3"/>
  <c r="X38" i="3"/>
  <c r="X40" i="3"/>
  <c r="X33" i="3"/>
  <c r="X29" i="3"/>
  <c r="X22" i="3"/>
  <c r="X21" i="3"/>
  <c r="X10" i="3"/>
  <c r="X9" i="3"/>
  <c r="X8" i="3"/>
  <c r="X36" i="3"/>
  <c r="X35" i="3"/>
  <c r="W10" i="2"/>
  <c r="AB24" i="2"/>
  <c r="W24" i="2"/>
  <c r="W29" i="2"/>
  <c r="W39" i="2"/>
  <c r="A7" i="20"/>
  <c r="A7" i="22" s="1"/>
  <c r="AB19" i="2"/>
  <c r="W19" i="2"/>
  <c r="A131" i="3"/>
  <c r="A138" i="3" s="1"/>
  <c r="C141" i="3" s="1"/>
  <c r="E140" i="3"/>
  <c r="X18" i="3"/>
  <c r="X30" i="3"/>
  <c r="X50" i="3"/>
  <c r="X56" i="3"/>
  <c r="X67" i="3"/>
  <c r="X37" i="3"/>
  <c r="X41" i="3"/>
  <c r="X46" i="3"/>
  <c r="X76" i="3"/>
  <c r="W21" i="2" l="1"/>
  <c r="AB28" i="2"/>
  <c r="AB42" i="2"/>
  <c r="W15" i="2"/>
  <c r="W41" i="2"/>
  <c r="W27" i="2"/>
  <c r="AB18" i="2"/>
  <c r="AB6" i="2"/>
  <c r="AB17" i="2"/>
  <c r="W22" i="2"/>
  <c r="AB9" i="2"/>
  <c r="W5" i="2"/>
  <c r="AB13" i="2"/>
  <c r="AB33" i="2"/>
  <c r="AB35" i="2"/>
  <c r="X14" i="3"/>
  <c r="N20" i="3"/>
  <c r="N21" i="3" s="1"/>
  <c r="N22" i="3" s="1"/>
  <c r="N23" i="3" s="1"/>
  <c r="N24" i="3" s="1"/>
  <c r="N25" i="3" s="1"/>
  <c r="N26" i="3" s="1"/>
  <c r="N27" i="3" s="1"/>
  <c r="N28" i="3" s="1"/>
  <c r="N29" i="3" s="1"/>
  <c r="N30" i="3" s="1"/>
  <c r="N31" i="3" s="1"/>
  <c r="W36" i="2"/>
  <c r="AB12" i="2"/>
  <c r="W26" i="2"/>
  <c r="AB43" i="2"/>
  <c r="AB31" i="2"/>
  <c r="AB16" i="2"/>
  <c r="AB4" i="2"/>
  <c r="AB7" i="2"/>
  <c r="X13" i="3"/>
  <c r="F26" i="1"/>
  <c r="I57" i="1"/>
  <c r="E8" i="18"/>
  <c r="E15" i="18" s="1"/>
  <c r="V45" i="3"/>
  <c r="M52" i="1"/>
  <c r="B17" i="1" s="1"/>
  <c r="A7" i="21"/>
  <c r="X3" i="3"/>
  <c r="A18" i="21"/>
  <c r="V69" i="3"/>
  <c r="V63" i="3"/>
  <c r="V15" i="3"/>
  <c r="V60" i="3"/>
  <c r="V78" i="3"/>
  <c r="V48" i="3"/>
  <c r="V49" i="3"/>
  <c r="V29" i="3"/>
  <c r="V74" i="3"/>
  <c r="V19" i="3"/>
  <c r="V46" i="3"/>
  <c r="V67" i="3"/>
  <c r="V43" i="3"/>
  <c r="V82" i="3"/>
  <c r="V51" i="3"/>
  <c r="V71" i="3"/>
  <c r="V80" i="3"/>
  <c r="V22" i="3"/>
  <c r="V21" i="3"/>
  <c r="V18" i="3"/>
  <c r="V34" i="3"/>
  <c r="V58" i="3"/>
  <c r="V83" i="3"/>
  <c r="V23" i="3"/>
  <c r="V10" i="3"/>
  <c r="V35" i="3"/>
  <c r="V16" i="3"/>
  <c r="V13" i="3"/>
  <c r="V76" i="3"/>
  <c r="V24" i="3"/>
  <c r="V4" i="3"/>
  <c r="V52" i="3"/>
  <c r="V81" i="3"/>
  <c r="V28" i="3"/>
  <c r="V55" i="3"/>
  <c r="V56" i="3"/>
  <c r="V41" i="3"/>
  <c r="V37" i="3"/>
  <c r="V65" i="3"/>
  <c r="V72" i="3"/>
  <c r="V62" i="3"/>
  <c r="V54" i="3"/>
  <c r="V53" i="3"/>
  <c r="V47" i="3"/>
  <c r="V61" i="3"/>
  <c r="V3" i="3"/>
  <c r="V59" i="3"/>
  <c r="V6" i="3"/>
  <c r="V39" i="3"/>
  <c r="V75" i="3"/>
  <c r="V8" i="3"/>
  <c r="V9" i="3"/>
  <c r="V64" i="3"/>
  <c r="V57" i="3"/>
  <c r="V30" i="3"/>
  <c r="V12" i="3"/>
  <c r="V77" i="3"/>
  <c r="V32" i="3"/>
  <c r="V14" i="3"/>
  <c r="V7" i="3"/>
  <c r="V20" i="3"/>
  <c r="V42" i="3"/>
  <c r="V73" i="3"/>
  <c r="V68" i="3"/>
  <c r="V50" i="3"/>
  <c r="V79" i="3"/>
  <c r="V31" i="3"/>
  <c r="V66" i="3"/>
  <c r="V36" i="3"/>
  <c r="V44" i="3"/>
  <c r="V17" i="3"/>
  <c r="V25" i="3"/>
  <c r="V40" i="3"/>
  <c r="V26" i="3"/>
  <c r="V33" i="3"/>
  <c r="V70" i="3"/>
  <c r="V5" i="3"/>
  <c r="V11" i="3"/>
  <c r="V27" i="3"/>
  <c r="D35" i="3"/>
  <c r="A56" i="21" s="1"/>
  <c r="E34" i="3"/>
  <c r="Y26" i="3" s="1"/>
  <c r="Z26" i="3"/>
  <c r="AD26" i="3" s="1"/>
  <c r="A55" i="21"/>
  <c r="B8" i="18"/>
  <c r="C113" i="3"/>
  <c r="W8" i="2"/>
  <c r="W23" i="2"/>
  <c r="B9" i="18"/>
  <c r="W37" i="2"/>
  <c r="E33" i="3"/>
  <c r="Y25" i="3" s="1"/>
  <c r="B11" i="18"/>
  <c r="I61" i="1"/>
  <c r="U5" i="2"/>
  <c r="U6" i="2" s="1"/>
  <c r="U7" i="2" s="1"/>
  <c r="U8" i="2" s="1"/>
  <c r="U9" i="2" s="1"/>
  <c r="U10" i="2" s="1"/>
  <c r="U11" i="2" s="1"/>
  <c r="U12" i="2" s="1"/>
  <c r="U13" i="2" s="1"/>
  <c r="U14" i="2" s="1"/>
  <c r="U15" i="2" s="1"/>
  <c r="U16" i="2" s="1"/>
  <c r="U17" i="2" s="1"/>
  <c r="U18" i="2" s="1"/>
  <c r="U19" i="2" s="1"/>
  <c r="U20" i="2" s="1"/>
  <c r="U21" i="2" s="1"/>
  <c r="U22" i="2" s="1"/>
  <c r="U23" i="2" s="1"/>
  <c r="U24" i="2" s="1"/>
  <c r="U25" i="2" s="1"/>
  <c r="U26" i="2" s="1"/>
  <c r="U27" i="2" s="1"/>
  <c r="U28" i="2" s="1"/>
  <c r="U29" i="2" s="1"/>
  <c r="U30" i="2" s="1"/>
  <c r="U31" i="2" s="1"/>
  <c r="U32" i="2" s="1"/>
  <c r="U33" i="2" s="1"/>
  <c r="U34" i="2" s="1"/>
  <c r="U35" i="2" s="1"/>
  <c r="U36" i="2" s="1"/>
  <c r="U37" i="2" s="1"/>
  <c r="U38" i="2" s="1"/>
  <c r="U39" i="2" s="1"/>
  <c r="U40" i="2" s="1"/>
  <c r="U41" i="2" s="1"/>
  <c r="U42" i="2" s="1"/>
  <c r="U43" i="2" s="1"/>
  <c r="A54" i="21"/>
  <c r="X15" i="3"/>
  <c r="Z25" i="3"/>
  <c r="AD25" i="3" s="1"/>
  <c r="AB40" i="2"/>
  <c r="W40" i="2"/>
  <c r="W30" i="2"/>
  <c r="AB30" i="2"/>
  <c r="W11" i="2"/>
  <c r="AB11" i="2"/>
  <c r="G7" i="2"/>
  <c r="G8" i="2" s="1"/>
  <c r="E125" i="3"/>
  <c r="C126" i="3"/>
  <c r="E141" i="3"/>
  <c r="C142" i="3"/>
  <c r="W14" i="2"/>
  <c r="AB14" i="2"/>
  <c r="A19" i="22"/>
  <c r="A19" i="21"/>
  <c r="A31" i="20"/>
  <c r="D23" i="1"/>
  <c r="D20" i="1"/>
  <c r="D24" i="1"/>
  <c r="D21" i="1"/>
  <c r="D22" i="1"/>
  <c r="W20" i="2"/>
  <c r="AB20" i="2"/>
  <c r="T2" i="3"/>
  <c r="U2" i="3" s="1"/>
  <c r="L17" i="3"/>
  <c r="AB34" i="2"/>
  <c r="W34" i="2"/>
  <c r="AB25" i="2"/>
  <c r="W25" i="2"/>
  <c r="B34" i="1"/>
  <c r="A30" i="20"/>
  <c r="AB32" i="2"/>
  <c r="W38" i="2"/>
  <c r="Z27" i="3" l="1"/>
  <c r="AD27" i="3" s="1"/>
  <c r="E35" i="3"/>
  <c r="Y27" i="3" s="1"/>
  <c r="D36" i="3"/>
  <c r="Z28" i="3" s="1"/>
  <c r="AD28" i="3" s="1"/>
  <c r="E14" i="18"/>
  <c r="B20" i="1"/>
  <c r="B23" i="1"/>
  <c r="B6" i="1" s="1"/>
  <c r="B22" i="1"/>
  <c r="B12" i="1" s="1"/>
  <c r="B21" i="1"/>
  <c r="B11" i="1" s="1"/>
  <c r="B24" i="1"/>
  <c r="E113" i="3"/>
  <c r="C114" i="3"/>
  <c r="A57" i="21"/>
  <c r="D5" i="1"/>
  <c r="D34" i="1"/>
  <c r="F34" i="1" s="1"/>
  <c r="B37" i="2"/>
  <c r="R29" i="2" s="1"/>
  <c r="B32" i="2"/>
  <c r="R24" i="2" s="1"/>
  <c r="D33" i="1"/>
  <c r="F33" i="1" s="1"/>
  <c r="D4" i="1"/>
  <c r="M17" i="3"/>
  <c r="O17" i="3" s="1"/>
  <c r="L18" i="3"/>
  <c r="B47" i="2"/>
  <c r="R39" i="2" s="1"/>
  <c r="D7" i="1"/>
  <c r="D36" i="1"/>
  <c r="B12" i="2"/>
  <c r="D3" i="1"/>
  <c r="D32" i="1"/>
  <c r="F32" i="1" s="1"/>
  <c r="E30" i="1" s="1"/>
  <c r="D19" i="1"/>
  <c r="D2" i="1" s="1"/>
  <c r="D35" i="1"/>
  <c r="D6" i="1"/>
  <c r="B42" i="2"/>
  <c r="R34" i="2" s="1"/>
  <c r="C127" i="3"/>
  <c r="E126" i="3"/>
  <c r="E142" i="3"/>
  <c r="C143" i="3"/>
  <c r="U3" i="3"/>
  <c r="AB2" i="3"/>
  <c r="AE2" i="3" s="1"/>
  <c r="G10" i="3" s="1"/>
  <c r="A46" i="1"/>
  <c r="B35" i="1"/>
  <c r="E36" i="3" l="1"/>
  <c r="Y28" i="3" s="1"/>
  <c r="D37" i="3"/>
  <c r="F22" i="1"/>
  <c r="B52" i="1"/>
  <c r="C52" i="1" s="1"/>
  <c r="B54" i="1" s="1"/>
  <c r="B49" i="1" s="1"/>
  <c r="B43" i="1"/>
  <c r="Z28" i="2"/>
  <c r="B4" i="1"/>
  <c r="A4" i="1" s="1"/>
  <c r="A21" i="1"/>
  <c r="A23" i="1"/>
  <c r="B13" i="1"/>
  <c r="F23" i="1"/>
  <c r="B3" i="1"/>
  <c r="F3" i="1" s="1"/>
  <c r="G3" i="1" s="1"/>
  <c r="A13" i="1"/>
  <c r="Z23" i="2"/>
  <c r="B10" i="1"/>
  <c r="Z38" i="2"/>
  <c r="A24" i="1"/>
  <c r="Z43" i="2"/>
  <c r="F20" i="1"/>
  <c r="G20" i="1" s="1"/>
  <c r="A10" i="1"/>
  <c r="F25" i="1"/>
  <c r="A12" i="1"/>
  <c r="B5" i="1"/>
  <c r="A5" i="1" s="1"/>
  <c r="A22" i="1"/>
  <c r="Z33" i="2"/>
  <c r="B14" i="1"/>
  <c r="A14" i="1"/>
  <c r="B7" i="1"/>
  <c r="A7" i="1" s="1"/>
  <c r="A11" i="1"/>
  <c r="F21" i="1"/>
  <c r="C115" i="3"/>
  <c r="E114" i="3"/>
  <c r="F35" i="1"/>
  <c r="AA2" i="3"/>
  <c r="AF2" i="3"/>
  <c r="L17" i="2"/>
  <c r="R4" i="2"/>
  <c r="B2" i="19"/>
  <c r="S25" i="2"/>
  <c r="Y25" i="2" s="1"/>
  <c r="S28" i="2"/>
  <c r="Y28" i="2" s="1"/>
  <c r="S27" i="2"/>
  <c r="Y27" i="2" s="1"/>
  <c r="S26" i="2"/>
  <c r="Y26" i="2" s="1"/>
  <c r="S24" i="2"/>
  <c r="Y24" i="2" s="1"/>
  <c r="B24" i="20"/>
  <c r="E3" i="1"/>
  <c r="U4" i="3"/>
  <c r="AB3" i="3"/>
  <c r="S43" i="2"/>
  <c r="Y43" i="2" s="1"/>
  <c r="S41" i="2"/>
  <c r="Y41" i="2" s="1"/>
  <c r="S39" i="2"/>
  <c r="Y39" i="2" s="1"/>
  <c r="S42" i="2"/>
  <c r="Y42" i="2" s="1"/>
  <c r="S40" i="2"/>
  <c r="Y40" i="2" s="1"/>
  <c r="E5" i="1"/>
  <c r="B26" i="20"/>
  <c r="Z29" i="3"/>
  <c r="AD29" i="3" s="1"/>
  <c r="E37" i="3"/>
  <c r="Y29" i="3" s="1"/>
  <c r="D38" i="3"/>
  <c r="A58" i="21"/>
  <c r="S31" i="2"/>
  <c r="Y31" i="2" s="1"/>
  <c r="S29" i="2"/>
  <c r="Y29" i="2" s="1"/>
  <c r="S30" i="2"/>
  <c r="Y30" i="2" s="1"/>
  <c r="S32" i="2"/>
  <c r="Y32" i="2" s="1"/>
  <c r="S33" i="2"/>
  <c r="Y33" i="2" s="1"/>
  <c r="C144" i="3"/>
  <c r="E143" i="3"/>
  <c r="B28" i="20"/>
  <c r="E7" i="1"/>
  <c r="M18" i="3"/>
  <c r="O18" i="3" s="1"/>
  <c r="L19" i="3"/>
  <c r="E127" i="3"/>
  <c r="C128" i="3"/>
  <c r="D31" i="1"/>
  <c r="E6" i="1"/>
  <c r="B27" i="20"/>
  <c r="F6" i="1"/>
  <c r="G6" i="1" s="1"/>
  <c r="A6" i="1"/>
  <c r="S36" i="2"/>
  <c r="Y36" i="2" s="1"/>
  <c r="S38" i="2"/>
  <c r="Y38" i="2" s="1"/>
  <c r="S34" i="2"/>
  <c r="Y34" i="2" s="1"/>
  <c r="S37" i="2"/>
  <c r="Y37" i="2" s="1"/>
  <c r="S35" i="2"/>
  <c r="Y35" i="2" s="1"/>
  <c r="E4" i="1"/>
  <c r="B25" i="20"/>
  <c r="F37" i="1" l="1"/>
  <c r="F30" i="1"/>
  <c r="A3" i="1"/>
  <c r="G22" i="1"/>
  <c r="G23" i="1"/>
  <c r="F4" i="1"/>
  <c r="G4" i="1" s="1"/>
  <c r="B5" i="27"/>
  <c r="C7" i="27" s="1"/>
  <c r="G7" i="27" s="1"/>
  <c r="C9" i="27" s="1"/>
  <c r="A27" i="21" s="1"/>
  <c r="G21" i="1"/>
  <c r="F5" i="1"/>
  <c r="G5" i="1" s="1"/>
  <c r="F7" i="1"/>
  <c r="G7" i="1" s="1"/>
  <c r="C116" i="3"/>
  <c r="E115" i="3"/>
  <c r="Z27" i="2"/>
  <c r="Z24" i="2" s="1"/>
  <c r="Z30" i="3"/>
  <c r="AD30" i="3" s="1"/>
  <c r="D39" i="3"/>
  <c r="A59" i="21"/>
  <c r="E38" i="3"/>
  <c r="Y30" i="3" s="1"/>
  <c r="M19" i="3"/>
  <c r="O19" i="3" s="1"/>
  <c r="L20" i="3"/>
  <c r="S20" i="2"/>
  <c r="Y20" i="2" s="1"/>
  <c r="S7" i="2"/>
  <c r="Y7" i="2" s="1"/>
  <c r="S23" i="2"/>
  <c r="Y23" i="2" s="1"/>
  <c r="S5" i="2"/>
  <c r="Y5" i="2" s="1"/>
  <c r="S16" i="2"/>
  <c r="Y16" i="2" s="1"/>
  <c r="S11" i="2"/>
  <c r="Y11" i="2" s="1"/>
  <c r="S18" i="2"/>
  <c r="Y18" i="2" s="1"/>
  <c r="S13" i="2"/>
  <c r="Y13" i="2" s="1"/>
  <c r="S4" i="2"/>
  <c r="Y4" i="2" s="1"/>
  <c r="S14" i="2"/>
  <c r="Y14" i="2" s="1"/>
  <c r="S17" i="2"/>
  <c r="Y17" i="2" s="1"/>
  <c r="S19" i="2"/>
  <c r="Y19" i="2" s="1"/>
  <c r="S10" i="2"/>
  <c r="Y10" i="2" s="1"/>
  <c r="S21" i="2"/>
  <c r="Y21" i="2" s="1"/>
  <c r="S6" i="2"/>
  <c r="Y6" i="2" s="1"/>
  <c r="S12" i="2"/>
  <c r="Y12" i="2" s="1"/>
  <c r="S22" i="2"/>
  <c r="Y22" i="2" s="1"/>
  <c r="S8" i="2"/>
  <c r="Y8" i="2" s="1"/>
  <c r="S15" i="2"/>
  <c r="Y15" i="2" s="1"/>
  <c r="S9" i="2"/>
  <c r="Y9" i="2" s="1"/>
  <c r="C145" i="3"/>
  <c r="E144" i="3"/>
  <c r="Z32" i="2"/>
  <c r="Z29" i="2" s="1"/>
  <c r="L18" i="2"/>
  <c r="M17" i="2"/>
  <c r="O17" i="2" s="1"/>
  <c r="Z37" i="2"/>
  <c r="Z34" i="2" s="1"/>
  <c r="E128" i="3"/>
  <c r="C131" i="3"/>
  <c r="AA3" i="3"/>
  <c r="AE3" i="3"/>
  <c r="AF3" i="3"/>
  <c r="P17" i="3"/>
  <c r="L3" i="3" s="1"/>
  <c r="B31" i="21"/>
  <c r="F10" i="3"/>
  <c r="Z42" i="2"/>
  <c r="Z39" i="2" s="1"/>
  <c r="U5" i="3"/>
  <c r="AB4" i="3"/>
  <c r="E1" i="1"/>
  <c r="G1" i="1" s="1"/>
  <c r="G11" i="3" l="1"/>
  <c r="J11" i="3" s="1"/>
  <c r="K8" i="3" s="1"/>
  <c r="A28" i="22"/>
  <c r="E116" i="3"/>
  <c r="C117" i="3"/>
  <c r="E131" i="3"/>
  <c r="C134" i="3"/>
  <c r="C146" i="3"/>
  <c r="E146" i="3" s="1"/>
  <c r="E145" i="3"/>
  <c r="Z22" i="2"/>
  <c r="Z4" i="2" s="1"/>
  <c r="AA34" i="2"/>
  <c r="AC34" i="2" s="1"/>
  <c r="AA38" i="2"/>
  <c r="AC38" i="2" s="1"/>
  <c r="AA37" i="2"/>
  <c r="AC37" i="2" s="1"/>
  <c r="AA35" i="2"/>
  <c r="AC35" i="2" s="1"/>
  <c r="AA36" i="2"/>
  <c r="AC36" i="2" s="1"/>
  <c r="A60" i="21"/>
  <c r="E39" i="3"/>
  <c r="Y31" i="3" s="1"/>
  <c r="D40" i="3"/>
  <c r="Z31" i="3"/>
  <c r="AD31" i="3" s="1"/>
  <c r="AF4" i="3"/>
  <c r="AA4" i="3"/>
  <c r="AE4" i="3"/>
  <c r="G12" i="3" s="1"/>
  <c r="AA30" i="2"/>
  <c r="AC30" i="2" s="1"/>
  <c r="AA32" i="2"/>
  <c r="AC32" i="2" s="1"/>
  <c r="AA33" i="2"/>
  <c r="AC33" i="2" s="1"/>
  <c r="AA31" i="2"/>
  <c r="AC31" i="2" s="1"/>
  <c r="AA29" i="2"/>
  <c r="AC29" i="2" s="1"/>
  <c r="M18" i="2"/>
  <c r="O18" i="2" s="1"/>
  <c r="L19" i="2"/>
  <c r="U6" i="3"/>
  <c r="AB5" i="3"/>
  <c r="AA39" i="2"/>
  <c r="AC39" i="2" s="1"/>
  <c r="AA42" i="2"/>
  <c r="AC42" i="2" s="1"/>
  <c r="AA41" i="2"/>
  <c r="AC41" i="2" s="1"/>
  <c r="AA40" i="2"/>
  <c r="AC40" i="2" s="1"/>
  <c r="AA43" i="2"/>
  <c r="AC43" i="2" s="1"/>
  <c r="L21" i="3"/>
  <c r="M20" i="3"/>
  <c r="O20" i="3" s="1"/>
  <c r="AA26" i="2"/>
  <c r="AC26" i="2" s="1"/>
  <c r="AA27" i="2"/>
  <c r="AC27" i="2" s="1"/>
  <c r="AA25" i="2"/>
  <c r="AC25" i="2" s="1"/>
  <c r="AA24" i="2"/>
  <c r="AC24" i="2" s="1"/>
  <c r="AA28" i="2"/>
  <c r="AC28" i="2" s="1"/>
  <c r="P18" i="3" l="1"/>
  <c r="L4" i="3" s="1"/>
  <c r="F11" i="3"/>
  <c r="B32" i="21"/>
  <c r="C118" i="3"/>
  <c r="E117" i="3"/>
  <c r="AG43" i="2"/>
  <c r="AE43" i="2" s="1"/>
  <c r="AD43" i="2" s="1"/>
  <c r="G51" i="2" s="1"/>
  <c r="L22" i="3"/>
  <c r="M21" i="3"/>
  <c r="O21" i="3" s="1"/>
  <c r="AF5" i="3"/>
  <c r="AE5" i="3"/>
  <c r="G13" i="3" s="1"/>
  <c r="AA5" i="3"/>
  <c r="E134" i="3"/>
  <c r="C137" i="3"/>
  <c r="AA9" i="2"/>
  <c r="AC9" i="2" s="1"/>
  <c r="AD9" i="2" s="1"/>
  <c r="G17" i="2" s="1"/>
  <c r="AA20" i="2"/>
  <c r="AC20" i="2" s="1"/>
  <c r="AD20" i="2" s="1"/>
  <c r="G28" i="2" s="1"/>
  <c r="AA5" i="2"/>
  <c r="AC5" i="2" s="1"/>
  <c r="AD5" i="2" s="1"/>
  <c r="G13" i="2" s="1"/>
  <c r="AA22" i="2"/>
  <c r="AC22" i="2" s="1"/>
  <c r="AD22" i="2" s="1"/>
  <c r="G30" i="2" s="1"/>
  <c r="AA10" i="2"/>
  <c r="AC10" i="2" s="1"/>
  <c r="AD10" i="2" s="1"/>
  <c r="G18" i="2" s="1"/>
  <c r="AA7" i="2"/>
  <c r="AC7" i="2" s="1"/>
  <c r="AD7" i="2" s="1"/>
  <c r="G15" i="2" s="1"/>
  <c r="AA4" i="2"/>
  <c r="AC4" i="2" s="1"/>
  <c r="AD4" i="2" s="1"/>
  <c r="G12" i="2" s="1"/>
  <c r="AA21" i="2"/>
  <c r="AC21" i="2" s="1"/>
  <c r="AD21" i="2" s="1"/>
  <c r="G29" i="2" s="1"/>
  <c r="AA13" i="2"/>
  <c r="AC13" i="2" s="1"/>
  <c r="AD13" i="2" s="1"/>
  <c r="G21" i="2" s="1"/>
  <c r="AA23" i="2"/>
  <c r="AC23" i="2" s="1"/>
  <c r="AG28" i="2" s="1"/>
  <c r="AA15" i="2"/>
  <c r="AC15" i="2" s="1"/>
  <c r="AD15" i="2" s="1"/>
  <c r="G23" i="2" s="1"/>
  <c r="AA16" i="2"/>
  <c r="AC16" i="2" s="1"/>
  <c r="AD16" i="2" s="1"/>
  <c r="G24" i="2" s="1"/>
  <c r="AA8" i="2"/>
  <c r="AC8" i="2" s="1"/>
  <c r="AD8" i="2" s="1"/>
  <c r="G16" i="2" s="1"/>
  <c r="AA19" i="2"/>
  <c r="AC19" i="2" s="1"/>
  <c r="AD19" i="2" s="1"/>
  <c r="G27" i="2" s="1"/>
  <c r="AA6" i="2"/>
  <c r="AC6" i="2" s="1"/>
  <c r="AD6" i="2" s="1"/>
  <c r="G14" i="2" s="1"/>
  <c r="AA18" i="2"/>
  <c r="AC18" i="2" s="1"/>
  <c r="AD18" i="2" s="1"/>
  <c r="G26" i="2" s="1"/>
  <c r="AA14" i="2"/>
  <c r="AC14" i="2" s="1"/>
  <c r="AD14" i="2" s="1"/>
  <c r="G22" i="2" s="1"/>
  <c r="AA12" i="2"/>
  <c r="AC12" i="2" s="1"/>
  <c r="AD12" i="2" s="1"/>
  <c r="G20" i="2" s="1"/>
  <c r="AA17" i="2"/>
  <c r="AC17" i="2" s="1"/>
  <c r="AD17" i="2" s="1"/>
  <c r="G25" i="2" s="1"/>
  <c r="AA11" i="2"/>
  <c r="AC11" i="2" s="1"/>
  <c r="AD11" i="2" s="1"/>
  <c r="G19" i="2" s="1"/>
  <c r="U7" i="3"/>
  <c r="AB6" i="3"/>
  <c r="AG33" i="2"/>
  <c r="J12" i="3"/>
  <c r="B33" i="21"/>
  <c r="P19" i="3"/>
  <c r="L5" i="3" s="1"/>
  <c r="F12" i="3"/>
  <c r="Z32" i="3"/>
  <c r="AD32" i="3" s="1"/>
  <c r="E40" i="3"/>
  <c r="Y32" i="3" s="1"/>
  <c r="A61" i="21"/>
  <c r="D41" i="3"/>
  <c r="M19" i="2"/>
  <c r="O19" i="2" s="1"/>
  <c r="L20" i="2"/>
  <c r="AG38" i="2"/>
  <c r="E118" i="3" l="1"/>
  <c r="C119" i="3"/>
  <c r="AE39" i="2"/>
  <c r="AD39" i="2" s="1"/>
  <c r="G47" i="2" s="1"/>
  <c r="AE42" i="2"/>
  <c r="AD42" i="2" s="1"/>
  <c r="G50" i="2" s="1"/>
  <c r="F50" i="2" s="1"/>
  <c r="AE40" i="2"/>
  <c r="AD40" i="2" s="1"/>
  <c r="G48" i="2" s="1"/>
  <c r="F48" i="2" s="1"/>
  <c r="AE41" i="2"/>
  <c r="AD41" i="2" s="1"/>
  <c r="G49" i="2" s="1"/>
  <c r="F70" i="24" s="1"/>
  <c r="B90" i="24" s="1"/>
  <c r="F72" i="24"/>
  <c r="B100" i="24" s="1"/>
  <c r="F51" i="2"/>
  <c r="F12" i="2"/>
  <c r="P17" i="2"/>
  <c r="F1" i="24"/>
  <c r="B1" i="24" s="1"/>
  <c r="B35" i="20" s="1"/>
  <c r="AE24" i="2"/>
  <c r="AD24" i="2" s="1"/>
  <c r="G32" i="2" s="1"/>
  <c r="AE25" i="2"/>
  <c r="AD25" i="2" s="1"/>
  <c r="G33" i="2" s="1"/>
  <c r="AE27" i="2"/>
  <c r="AD27" i="2" s="1"/>
  <c r="G35" i="2" s="1"/>
  <c r="AE26" i="2"/>
  <c r="AD26" i="2" s="1"/>
  <c r="G34" i="2" s="1"/>
  <c r="AE28" i="2"/>
  <c r="AD28" i="2" s="1"/>
  <c r="G36" i="2" s="1"/>
  <c r="AE6" i="3"/>
  <c r="G14" i="3" s="1"/>
  <c r="AF6" i="3"/>
  <c r="AA6" i="3"/>
  <c r="J27" i="2"/>
  <c r="F27" i="2"/>
  <c r="F16" i="24"/>
  <c r="B16" i="24" s="1"/>
  <c r="B50" i="20" s="1"/>
  <c r="F15" i="2"/>
  <c r="J15" i="2"/>
  <c r="F4" i="24"/>
  <c r="B4" i="24" s="1"/>
  <c r="B38" i="20" s="1"/>
  <c r="J14" i="2"/>
  <c r="P19" i="2"/>
  <c r="F3" i="24"/>
  <c r="B3" i="24" s="1"/>
  <c r="B37" i="20" s="1"/>
  <c r="F14" i="2"/>
  <c r="F8" i="24"/>
  <c r="B8" i="24" s="1"/>
  <c r="B42" i="20" s="1"/>
  <c r="J19" i="2"/>
  <c r="F19" i="2"/>
  <c r="F13" i="24"/>
  <c r="B13" i="24" s="1"/>
  <c r="B47" i="20" s="1"/>
  <c r="F24" i="2"/>
  <c r="J24" i="2"/>
  <c r="F19" i="24"/>
  <c r="B19" i="24" s="1"/>
  <c r="B53" i="20" s="1"/>
  <c r="F30" i="2"/>
  <c r="J30" i="2"/>
  <c r="J16" i="2"/>
  <c r="F16" i="2"/>
  <c r="F5" i="24"/>
  <c r="B5" i="24" s="1"/>
  <c r="B39" i="20" s="1"/>
  <c r="F12" i="24"/>
  <c r="B12" i="24" s="1"/>
  <c r="B46" i="20" s="1"/>
  <c r="J23" i="2"/>
  <c r="F23" i="2"/>
  <c r="P18" i="2"/>
  <c r="J13" i="2"/>
  <c r="J11" i="2" s="1"/>
  <c r="F2" i="24"/>
  <c r="B2" i="24" s="1"/>
  <c r="B36" i="20" s="1"/>
  <c r="F13" i="2"/>
  <c r="U8" i="3"/>
  <c r="AB7" i="3"/>
  <c r="AE36" i="2"/>
  <c r="AD36" i="2" s="1"/>
  <c r="G44" i="2" s="1"/>
  <c r="AE34" i="2"/>
  <c r="AD34" i="2" s="1"/>
  <c r="G42" i="2" s="1"/>
  <c r="AE35" i="2"/>
  <c r="AD35" i="2" s="1"/>
  <c r="G43" i="2" s="1"/>
  <c r="AE38" i="2"/>
  <c r="AD38" i="2" s="1"/>
  <c r="G46" i="2" s="1"/>
  <c r="AE37" i="2"/>
  <c r="AD37" i="2" s="1"/>
  <c r="G45" i="2" s="1"/>
  <c r="F20" i="2"/>
  <c r="F9" i="24"/>
  <c r="B9" i="24" s="1"/>
  <c r="B43" i="20" s="1"/>
  <c r="J20" i="2"/>
  <c r="AG23" i="2"/>
  <c r="AE23" i="2" s="1"/>
  <c r="AD23" i="2" s="1"/>
  <c r="G31" i="2" s="1"/>
  <c r="J28" i="2"/>
  <c r="F28" i="2"/>
  <c r="F17" i="24"/>
  <c r="B17" i="24" s="1"/>
  <c r="B51" i="20" s="1"/>
  <c r="L23" i="3"/>
  <c r="M22" i="3"/>
  <c r="O22" i="3" s="1"/>
  <c r="J18" i="2"/>
  <c r="F18" i="2"/>
  <c r="F7" i="24"/>
  <c r="B7" i="24" s="1"/>
  <c r="B41" i="20" s="1"/>
  <c r="J22" i="2"/>
  <c r="F11" i="24"/>
  <c r="B11" i="24" s="1"/>
  <c r="B45" i="20" s="1"/>
  <c r="F22" i="2"/>
  <c r="F10" i="24"/>
  <c r="B10" i="24" s="1"/>
  <c r="B44" i="20" s="1"/>
  <c r="J21" i="2"/>
  <c r="F21" i="2"/>
  <c r="F6" i="24"/>
  <c r="B6" i="24" s="1"/>
  <c r="B40" i="20" s="1"/>
  <c r="J17" i="2"/>
  <c r="F17" i="2"/>
  <c r="B34" i="21"/>
  <c r="F13" i="3"/>
  <c r="J13" i="3"/>
  <c r="P20" i="3"/>
  <c r="L6" i="3" s="1"/>
  <c r="E41" i="3"/>
  <c r="Y33" i="3" s="1"/>
  <c r="Z33" i="3"/>
  <c r="AD33" i="3" s="1"/>
  <c r="A62" i="21"/>
  <c r="D42" i="3"/>
  <c r="F14" i="24"/>
  <c r="B14" i="24" s="1"/>
  <c r="B48" i="20" s="1"/>
  <c r="F25" i="2"/>
  <c r="J25" i="2"/>
  <c r="L21" i="2"/>
  <c r="M20" i="2"/>
  <c r="O20" i="2" s="1"/>
  <c r="P20" i="2" s="1"/>
  <c r="AE31" i="2"/>
  <c r="AD31" i="2" s="1"/>
  <c r="G39" i="2" s="1"/>
  <c r="AE33" i="2"/>
  <c r="AD33" i="2" s="1"/>
  <c r="G41" i="2" s="1"/>
  <c r="AE29" i="2"/>
  <c r="AD29" i="2" s="1"/>
  <c r="G37" i="2" s="1"/>
  <c r="AE30" i="2"/>
  <c r="AD30" i="2" s="1"/>
  <c r="G38" i="2" s="1"/>
  <c r="AE32" i="2"/>
  <c r="AD32" i="2" s="1"/>
  <c r="G40" i="2" s="1"/>
  <c r="J26" i="2"/>
  <c r="F15" i="24"/>
  <c r="B15" i="24" s="1"/>
  <c r="B49" i="20" s="1"/>
  <c r="F26" i="2"/>
  <c r="F29" i="2"/>
  <c r="F18" i="24"/>
  <c r="B18" i="24" s="1"/>
  <c r="B52" i="20" s="1"/>
  <c r="J29" i="2"/>
  <c r="E137" i="3"/>
  <c r="C138" i="3"/>
  <c r="C120" i="3" l="1"/>
  <c r="E119" i="3"/>
  <c r="F49" i="2"/>
  <c r="J48" i="2"/>
  <c r="F71" i="24"/>
  <c r="B96" i="24" s="1"/>
  <c r="B97" i="24" s="1"/>
  <c r="J51" i="2"/>
  <c r="J50" i="2"/>
  <c r="J49" i="2"/>
  <c r="F68" i="24"/>
  <c r="B86" i="24" s="1"/>
  <c r="B87" i="24" s="1"/>
  <c r="B121" i="20" s="1"/>
  <c r="F47" i="2"/>
  <c r="F69" i="24"/>
  <c r="B88" i="24" s="1"/>
  <c r="B122" i="20" s="1"/>
  <c r="E138" i="3"/>
  <c r="C139" i="3"/>
  <c r="E139" i="3" s="1"/>
  <c r="AF7" i="3"/>
  <c r="AA7" i="3"/>
  <c r="AE7" i="3"/>
  <c r="G15" i="3" s="1"/>
  <c r="L22" i="2"/>
  <c r="M21" i="2"/>
  <c r="O21" i="2" s="1"/>
  <c r="P21" i="2" s="1"/>
  <c r="F29" i="24"/>
  <c r="B56" i="24" s="1"/>
  <c r="F40" i="2"/>
  <c r="J40" i="2"/>
  <c r="J32" i="2"/>
  <c r="F32" i="2"/>
  <c r="F21" i="24"/>
  <c r="B26" i="24" s="1"/>
  <c r="F27" i="24"/>
  <c r="B48" i="24" s="1"/>
  <c r="J38" i="2"/>
  <c r="F38" i="2"/>
  <c r="F35" i="2"/>
  <c r="J35" i="2"/>
  <c r="F24" i="24"/>
  <c r="B36" i="24" s="1"/>
  <c r="J14" i="3"/>
  <c r="F14" i="3"/>
  <c r="B35" i="21"/>
  <c r="P21" i="3"/>
  <c r="L7" i="3" s="1"/>
  <c r="F33" i="2"/>
  <c r="J33" i="2"/>
  <c r="F22" i="24"/>
  <c r="B28" i="24" s="1"/>
  <c r="J45" i="2"/>
  <c r="F45" i="2"/>
  <c r="F66" i="24"/>
  <c r="B76" i="24" s="1"/>
  <c r="F37" i="2"/>
  <c r="F26" i="24"/>
  <c r="B46" i="24" s="1"/>
  <c r="J37" i="2"/>
  <c r="F41" i="2"/>
  <c r="O1" i="3"/>
  <c r="J41" i="2"/>
  <c r="F30" i="24"/>
  <c r="B60" i="24" s="1"/>
  <c r="Z34" i="3"/>
  <c r="AD34" i="3" s="1"/>
  <c r="D43" i="3"/>
  <c r="E42" i="3"/>
  <c r="Y34" i="3" s="1"/>
  <c r="A63" i="21"/>
  <c r="J34" i="2"/>
  <c r="F23" i="24"/>
  <c r="B30" i="24" s="1"/>
  <c r="F34" i="2"/>
  <c r="F46" i="2"/>
  <c r="J46" i="2"/>
  <c r="B4" i="19"/>
  <c r="F67" i="24"/>
  <c r="B80" i="24" s="1"/>
  <c r="J47" i="2"/>
  <c r="F44" i="2"/>
  <c r="F65" i="24"/>
  <c r="B70" i="24" s="1"/>
  <c r="J44" i="2"/>
  <c r="AB8" i="3"/>
  <c r="U9" i="3"/>
  <c r="B91" i="24"/>
  <c r="B124" i="20"/>
  <c r="J39" i="2"/>
  <c r="F39" i="2"/>
  <c r="F28" i="24"/>
  <c r="B50" i="24" s="1"/>
  <c r="M23" i="3"/>
  <c r="O23" i="3" s="1"/>
  <c r="L24" i="3"/>
  <c r="F31" i="2"/>
  <c r="F20" i="24"/>
  <c r="B20" i="24" s="1"/>
  <c r="B3" i="19"/>
  <c r="J31" i="2"/>
  <c r="F43" i="2"/>
  <c r="J43" i="2"/>
  <c r="F64" i="24"/>
  <c r="B68" i="24" s="1"/>
  <c r="B134" i="20"/>
  <c r="F25" i="24"/>
  <c r="B40" i="24" s="1"/>
  <c r="F36" i="2"/>
  <c r="J36" i="2"/>
  <c r="F42" i="2"/>
  <c r="J42" i="2"/>
  <c r="F63" i="24"/>
  <c r="B66" i="24" s="1"/>
  <c r="C121" i="3" l="1"/>
  <c r="E120" i="3"/>
  <c r="B89" i="24"/>
  <c r="B123" i="20" s="1"/>
  <c r="C86" i="24"/>
  <c r="D86" i="24" s="1"/>
  <c r="B120" i="20"/>
  <c r="C88" i="24"/>
  <c r="D88" i="24" s="1"/>
  <c r="C90" i="24"/>
  <c r="D90" i="24" s="1"/>
  <c r="C96" i="24"/>
  <c r="D96" i="24" s="1"/>
  <c r="B130" i="20"/>
  <c r="B7" i="19"/>
  <c r="B8" i="19" s="1"/>
  <c r="C66" i="24"/>
  <c r="D66" i="24" s="1"/>
  <c r="B102" i="20"/>
  <c r="B69" i="24"/>
  <c r="B103" i="20" s="1"/>
  <c r="AE8" i="3"/>
  <c r="G16" i="3" s="1"/>
  <c r="AA8" i="3"/>
  <c r="AF8" i="3"/>
  <c r="C76" i="24"/>
  <c r="D76" i="24" s="1"/>
  <c r="B81" i="24"/>
  <c r="B114" i="20"/>
  <c r="B47" i="24"/>
  <c r="B81" i="20" s="1"/>
  <c r="C40" i="24"/>
  <c r="D40" i="24" s="1"/>
  <c r="B80" i="20"/>
  <c r="C46" i="24"/>
  <c r="D46" i="24" s="1"/>
  <c r="B49" i="24"/>
  <c r="B83" i="20" s="1"/>
  <c r="B82" i="20"/>
  <c r="B74" i="20"/>
  <c r="B41" i="24"/>
  <c r="C36" i="24"/>
  <c r="D36" i="24" s="1"/>
  <c r="B71" i="24"/>
  <c r="B104" i="20"/>
  <c r="C68" i="24"/>
  <c r="D68" i="24" s="1"/>
  <c r="B77" i="24"/>
  <c r="B110" i="20"/>
  <c r="C70" i="24"/>
  <c r="D70" i="24" s="1"/>
  <c r="B60" i="20"/>
  <c r="C20" i="24"/>
  <c r="D20" i="24" s="1"/>
  <c r="B27" i="24"/>
  <c r="B61" i="20" s="1"/>
  <c r="B36" i="21"/>
  <c r="J15" i="3"/>
  <c r="F15" i="3"/>
  <c r="P22" i="3"/>
  <c r="L8" i="3" s="1"/>
  <c r="B98" i="24"/>
  <c r="B131" i="20"/>
  <c r="B94" i="20"/>
  <c r="C56" i="24"/>
  <c r="D56" i="24" s="1"/>
  <c r="B61" i="24"/>
  <c r="U10" i="3"/>
  <c r="AB9" i="3"/>
  <c r="B51" i="24"/>
  <c r="B84" i="20"/>
  <c r="C48" i="24"/>
  <c r="D48" i="24" s="1"/>
  <c r="M22" i="2"/>
  <c r="O22" i="2" s="1"/>
  <c r="P22" i="2" s="1"/>
  <c r="L23" i="2"/>
  <c r="C80" i="24"/>
  <c r="D80" i="24" s="1"/>
  <c r="C30" i="24"/>
  <c r="D30" i="24" s="1"/>
  <c r="B70" i="20"/>
  <c r="B37" i="24"/>
  <c r="C50" i="24"/>
  <c r="D50" i="24" s="1"/>
  <c r="B57" i="24"/>
  <c r="B90" i="20"/>
  <c r="C28" i="24"/>
  <c r="D28" i="24" s="1"/>
  <c r="B31" i="24"/>
  <c r="B64" i="20"/>
  <c r="B29" i="24"/>
  <c r="B63" i="20" s="1"/>
  <c r="B62" i="20"/>
  <c r="C26" i="24"/>
  <c r="D26" i="24" s="1"/>
  <c r="M24" i="3"/>
  <c r="O24" i="3" s="1"/>
  <c r="L25" i="3"/>
  <c r="Z35" i="3"/>
  <c r="AD35" i="3" s="1"/>
  <c r="D44" i="3"/>
  <c r="E43" i="3"/>
  <c r="Y35" i="3" s="1"/>
  <c r="A64" i="21"/>
  <c r="B100" i="20"/>
  <c r="C60" i="24"/>
  <c r="D60" i="24" s="1"/>
  <c r="B67" i="24"/>
  <c r="B101" i="20" s="1"/>
  <c r="B21" i="24"/>
  <c r="B54" i="20"/>
  <c r="B125" i="20"/>
  <c r="B92" i="24"/>
  <c r="C122" i="3" l="1"/>
  <c r="E122" i="3" s="1"/>
  <c r="E121" i="3"/>
  <c r="C27" i="1"/>
  <c r="D27" i="1" s="1"/>
  <c r="AA9" i="3"/>
  <c r="AE9" i="3"/>
  <c r="G17" i="3" s="1"/>
  <c r="AF9" i="3"/>
  <c r="B22" i="24"/>
  <c r="B55" i="20"/>
  <c r="B32" i="24"/>
  <c r="B65" i="20"/>
  <c r="J16" i="3"/>
  <c r="F16" i="3"/>
  <c r="B37" i="21"/>
  <c r="P23" i="3"/>
  <c r="L9" i="3" s="1"/>
  <c r="B132" i="20"/>
  <c r="B99" i="24"/>
  <c r="B133" i="20" s="1"/>
  <c r="B91" i="20"/>
  <c r="B58" i="24"/>
  <c r="B105" i="20"/>
  <c r="B72" i="24"/>
  <c r="B126" i="20"/>
  <c r="B93" i="24"/>
  <c r="B111" i="20"/>
  <c r="B78" i="24"/>
  <c r="M25" i="3"/>
  <c r="O25" i="3" s="1"/>
  <c r="L26" i="3"/>
  <c r="M23" i="2"/>
  <c r="O23" i="2" s="1"/>
  <c r="P23" i="2" s="1"/>
  <c r="L24" i="2"/>
  <c r="B82" i="24"/>
  <c r="B115" i="20"/>
  <c r="Z36" i="3"/>
  <c r="AD36" i="3" s="1"/>
  <c r="A65" i="21"/>
  <c r="E44" i="3"/>
  <c r="Y36" i="3" s="1"/>
  <c r="D45" i="3"/>
  <c r="U11" i="3"/>
  <c r="AB10" i="3"/>
  <c r="B62" i="24"/>
  <c r="B95" i="20"/>
  <c r="B38" i="24"/>
  <c r="B71" i="20"/>
  <c r="B52" i="24"/>
  <c r="B85" i="20"/>
  <c r="B75" i="20"/>
  <c r="B42" i="24"/>
  <c r="D46" i="3" l="1"/>
  <c r="E45" i="3"/>
  <c r="Y37" i="3" s="1"/>
  <c r="Z37" i="3"/>
  <c r="AD37" i="3" s="1"/>
  <c r="A66" i="21"/>
  <c r="L27" i="3"/>
  <c r="M26" i="3"/>
  <c r="O26" i="3" s="1"/>
  <c r="B59" i="24"/>
  <c r="B93" i="20" s="1"/>
  <c r="B92" i="20"/>
  <c r="U12" i="3"/>
  <c r="AB11" i="3"/>
  <c r="B112" i="20"/>
  <c r="B79" i="24"/>
  <c r="B113" i="20" s="1"/>
  <c r="B86" i="20"/>
  <c r="B53" i="24"/>
  <c r="B56" i="20"/>
  <c r="B23" i="24"/>
  <c r="B66" i="20"/>
  <c r="B33" i="24"/>
  <c r="B39" i="24"/>
  <c r="B73" i="20" s="1"/>
  <c r="B72" i="20"/>
  <c r="B94" i="24"/>
  <c r="B127" i="20"/>
  <c r="B96" i="20"/>
  <c r="B63" i="24"/>
  <c r="B116" i="20"/>
  <c r="B83" i="24"/>
  <c r="B38" i="21"/>
  <c r="F17" i="3"/>
  <c r="P24" i="3"/>
  <c r="L10" i="3" s="1"/>
  <c r="J17" i="3"/>
  <c r="B76" i="20"/>
  <c r="B43" i="24"/>
  <c r="AA10" i="3"/>
  <c r="AE10" i="3"/>
  <c r="G18" i="3" s="1"/>
  <c r="AF10" i="3"/>
  <c r="M24" i="2"/>
  <c r="O24" i="2" s="1"/>
  <c r="P24" i="2" s="1"/>
  <c r="L25" i="2"/>
  <c r="B106" i="20"/>
  <c r="B73" i="24"/>
  <c r="B77" i="20" l="1"/>
  <c r="B44" i="24"/>
  <c r="B74" i="24"/>
  <c r="B107" i="20"/>
  <c r="B24" i="24"/>
  <c r="B57" i="20"/>
  <c r="B128" i="20"/>
  <c r="B95" i="24"/>
  <c r="B129" i="20" s="1"/>
  <c r="L28" i="3"/>
  <c r="M27" i="3"/>
  <c r="O27" i="3" s="1"/>
  <c r="B87" i="20"/>
  <c r="B54" i="24"/>
  <c r="B64" i="24"/>
  <c r="B97" i="20"/>
  <c r="M25" i="2"/>
  <c r="O25" i="2" s="1"/>
  <c r="P25" i="2" s="1"/>
  <c r="L26" i="2"/>
  <c r="B67" i="20"/>
  <c r="B34" i="24"/>
  <c r="AE11" i="3"/>
  <c r="G19" i="3" s="1"/>
  <c r="AA11" i="3"/>
  <c r="AF11" i="3"/>
  <c r="F18" i="3"/>
  <c r="P25" i="3"/>
  <c r="B39" i="21"/>
  <c r="J18" i="3"/>
  <c r="B117" i="20"/>
  <c r="B84" i="24"/>
  <c r="AB12" i="3"/>
  <c r="U13" i="3"/>
  <c r="E46" i="3"/>
  <c r="Y38" i="3" s="1"/>
  <c r="A67" i="21"/>
  <c r="D47" i="3"/>
  <c r="Z38" i="3"/>
  <c r="AD38" i="3" s="1"/>
  <c r="H60" i="1" s="1"/>
  <c r="I60" i="1" s="1"/>
  <c r="K60" i="1" s="1"/>
  <c r="B98" i="20" l="1"/>
  <c r="B65" i="24"/>
  <c r="B99" i="20" s="1"/>
  <c r="B58" i="20"/>
  <c r="B25" i="24"/>
  <c r="B59" i="20" s="1"/>
  <c r="M26" i="2"/>
  <c r="O26" i="2" s="1"/>
  <c r="P26" i="2" s="1"/>
  <c r="L27" i="2"/>
  <c r="U14" i="3"/>
  <c r="AB13" i="3"/>
  <c r="F19" i="3"/>
  <c r="B40" i="21"/>
  <c r="J19" i="3"/>
  <c r="P26" i="3"/>
  <c r="B75" i="24"/>
  <c r="B109" i="20" s="1"/>
  <c r="B108" i="20"/>
  <c r="AF12" i="3"/>
  <c r="AA12" i="3"/>
  <c r="AE12" i="3"/>
  <c r="G20" i="3" s="1"/>
  <c r="B55" i="24"/>
  <c r="B89" i="20" s="1"/>
  <c r="B88" i="20"/>
  <c r="B85" i="24"/>
  <c r="B119" i="20" s="1"/>
  <c r="B118" i="20"/>
  <c r="B68" i="20"/>
  <c r="B35" i="24"/>
  <c r="B69" i="20" s="1"/>
  <c r="B78" i="20"/>
  <c r="B45" i="24"/>
  <c r="B79" i="20" s="1"/>
  <c r="A68" i="21"/>
  <c r="D48" i="3"/>
  <c r="E47" i="3"/>
  <c r="Y39" i="3" s="1"/>
  <c r="Z39" i="3"/>
  <c r="AD39" i="3" s="1"/>
  <c r="K58" i="1"/>
  <c r="K59" i="1"/>
  <c r="M28" i="3"/>
  <c r="O28" i="3" s="1"/>
  <c r="L29" i="3"/>
  <c r="K61" i="1" l="1"/>
  <c r="K62" i="1"/>
  <c r="AB14" i="3"/>
  <c r="U15" i="3"/>
  <c r="AE13" i="3"/>
  <c r="G21" i="3" s="1"/>
  <c r="AA13" i="3"/>
  <c r="AF13" i="3"/>
  <c r="L28" i="2"/>
  <c r="M27" i="2"/>
  <c r="O27" i="2" s="1"/>
  <c r="P27" i="2" s="1"/>
  <c r="E48" i="3"/>
  <c r="Y40" i="3" s="1"/>
  <c r="Z40" i="3"/>
  <c r="AD40" i="3" s="1"/>
  <c r="A69" i="21"/>
  <c r="D49" i="3"/>
  <c r="L30" i="3"/>
  <c r="M29" i="3"/>
  <c r="O29" i="3" s="1"/>
  <c r="B41" i="21"/>
  <c r="J20" i="3"/>
  <c r="P27" i="3"/>
  <c r="F20" i="3"/>
  <c r="M28" i="2" l="1"/>
  <c r="O28" i="2" s="1"/>
  <c r="P28" i="2" s="1"/>
  <c r="L29" i="2"/>
  <c r="D50" i="3"/>
  <c r="A70" i="21"/>
  <c r="Z41" i="3"/>
  <c r="AD41" i="3" s="1"/>
  <c r="E49" i="3"/>
  <c r="Y41" i="3" s="1"/>
  <c r="B42" i="21"/>
  <c r="F21" i="3"/>
  <c r="J21" i="3"/>
  <c r="P28" i="3"/>
  <c r="AB15" i="3"/>
  <c r="U16" i="3"/>
  <c r="AA14" i="3"/>
  <c r="AF14" i="3"/>
  <c r="AE14" i="3"/>
  <c r="G22" i="3" s="1"/>
  <c r="L31" i="3"/>
  <c r="M31" i="3" s="1"/>
  <c r="O31" i="3" s="1"/>
  <c r="M30" i="3"/>
  <c r="O30" i="3" s="1"/>
  <c r="U17" i="3" l="1"/>
  <c r="AB16" i="3"/>
  <c r="Z42" i="3"/>
  <c r="AD42" i="3" s="1"/>
  <c r="D51" i="3"/>
  <c r="A71" i="21"/>
  <c r="E50" i="3"/>
  <c r="Y42" i="3" s="1"/>
  <c r="F22" i="3"/>
  <c r="J22" i="3"/>
  <c r="P29" i="3"/>
  <c r="B43" i="21"/>
  <c r="AA15" i="3"/>
  <c r="AE15" i="3"/>
  <c r="G23" i="3" s="1"/>
  <c r="AF15" i="3"/>
  <c r="M29" i="2"/>
  <c r="O29" i="2" s="1"/>
  <c r="P29" i="2" s="1"/>
  <c r="L30" i="2"/>
  <c r="B44" i="21" l="1"/>
  <c r="J23" i="3"/>
  <c r="F23" i="3"/>
  <c r="P30" i="3"/>
  <c r="D52" i="3"/>
  <c r="A72" i="21"/>
  <c r="E51" i="3"/>
  <c r="Y43" i="3" s="1"/>
  <c r="Z43" i="3"/>
  <c r="AD43" i="3" s="1"/>
  <c r="L31" i="2"/>
  <c r="M30" i="2"/>
  <c r="O30" i="2" s="1"/>
  <c r="P30" i="2" s="1"/>
  <c r="AA16" i="3"/>
  <c r="AE16" i="3"/>
  <c r="G24" i="3" s="1"/>
  <c r="AF16" i="3"/>
  <c r="U18" i="3"/>
  <c r="AB17" i="3"/>
  <c r="AB18" i="3" l="1"/>
  <c r="U19" i="3"/>
  <c r="Z44" i="3"/>
  <c r="AD44" i="3" s="1"/>
  <c r="A73" i="21"/>
  <c r="D53" i="3"/>
  <c r="E52" i="3"/>
  <c r="Y44" i="3" s="1"/>
  <c r="AA17" i="3"/>
  <c r="AE17" i="3"/>
  <c r="G25" i="3" s="1"/>
  <c r="B45" i="21"/>
  <c r="F24" i="3"/>
  <c r="J24" i="3"/>
  <c r="P31" i="3"/>
  <c r="M31" i="2"/>
  <c r="O31" i="2" s="1"/>
  <c r="P31" i="2" s="1"/>
  <c r="L32" i="2"/>
  <c r="M32" i="2" s="1"/>
  <c r="O32" i="2" s="1"/>
  <c r="P32" i="2" s="1"/>
  <c r="F25" i="3" l="1"/>
  <c r="J25" i="3"/>
  <c r="B46" i="21"/>
  <c r="A74" i="21"/>
  <c r="D54" i="3"/>
  <c r="E53" i="3"/>
  <c r="Y45" i="3" s="1"/>
  <c r="Z45" i="3"/>
  <c r="AD45" i="3" s="1"/>
  <c r="AB19" i="3"/>
  <c r="U20" i="3"/>
  <c r="AE18" i="3"/>
  <c r="G26" i="3" s="1"/>
  <c r="AA18" i="3"/>
  <c r="AE19" i="3" l="1"/>
  <c r="G27" i="3" s="1"/>
  <c r="AA19" i="3"/>
  <c r="A75" i="21"/>
  <c r="Z46" i="3"/>
  <c r="AD46" i="3" s="1"/>
  <c r="D55" i="3"/>
  <c r="E54" i="3"/>
  <c r="Y46" i="3" s="1"/>
  <c r="B47" i="21"/>
  <c r="J26" i="3"/>
  <c r="F26" i="3"/>
  <c r="AB20" i="3"/>
  <c r="U21" i="3"/>
  <c r="A76" i="21" l="1"/>
  <c r="E55" i="3"/>
  <c r="Y47" i="3" s="1"/>
  <c r="Z47" i="3"/>
  <c r="AD47" i="3" s="1"/>
  <c r="D56" i="3"/>
  <c r="AB21" i="3"/>
  <c r="U22" i="3"/>
  <c r="AA20" i="3"/>
  <c r="AE20" i="3"/>
  <c r="G28" i="3" s="1"/>
  <c r="F27" i="3"/>
  <c r="B48" i="21"/>
  <c r="J27" i="3"/>
  <c r="D57" i="3" l="1"/>
  <c r="E56" i="3"/>
  <c r="Y48" i="3" s="1"/>
  <c r="Z48" i="3"/>
  <c r="AD48" i="3" s="1"/>
  <c r="A77" i="21"/>
  <c r="B49" i="21"/>
  <c r="J28" i="3"/>
  <c r="F28" i="3"/>
  <c r="U23" i="3"/>
  <c r="AB22" i="3"/>
  <c r="AE21" i="3"/>
  <c r="G29" i="3" s="1"/>
  <c r="AA21" i="3"/>
  <c r="AB23" i="3" l="1"/>
  <c r="U24" i="3"/>
  <c r="J29" i="3"/>
  <c r="B50" i="21"/>
  <c r="F29" i="3"/>
  <c r="AE22" i="3"/>
  <c r="G30" i="3" s="1"/>
  <c r="AA22" i="3"/>
  <c r="E57" i="3"/>
  <c r="Y49" i="3" s="1"/>
  <c r="Z49" i="3"/>
  <c r="AD49" i="3" s="1"/>
  <c r="D58" i="3"/>
  <c r="A78" i="21"/>
  <c r="A79" i="21" l="1"/>
  <c r="Z50" i="3"/>
  <c r="AD50" i="3" s="1"/>
  <c r="D59" i="3"/>
  <c r="E58" i="3"/>
  <c r="Y50" i="3" s="1"/>
  <c r="AB24" i="3"/>
  <c r="U25" i="3"/>
  <c r="J30" i="3"/>
  <c r="B51" i="21"/>
  <c r="F30" i="3"/>
  <c r="AA23" i="3"/>
  <c r="AE23" i="3"/>
  <c r="G31" i="3" s="1"/>
  <c r="AE24" i="3" l="1"/>
  <c r="G32" i="3" s="1"/>
  <c r="AA24" i="3"/>
  <c r="A80" i="21"/>
  <c r="E59" i="3"/>
  <c r="Y51" i="3" s="1"/>
  <c r="Z51" i="3"/>
  <c r="AD51" i="3" s="1"/>
  <c r="D60" i="3"/>
  <c r="AB25" i="3"/>
  <c r="U26" i="3"/>
  <c r="B52" i="21"/>
  <c r="F31" i="3"/>
  <c r="J31" i="3"/>
  <c r="AE25" i="3" l="1"/>
  <c r="G33" i="3" s="1"/>
  <c r="AA25" i="3"/>
  <c r="Z52" i="3"/>
  <c r="AD52" i="3" s="1"/>
  <c r="D61" i="3"/>
  <c r="A81" i="21"/>
  <c r="E60" i="3"/>
  <c r="Y52" i="3" s="1"/>
  <c r="AB26" i="3"/>
  <c r="U27" i="3"/>
  <c r="B53" i="21"/>
  <c r="F32" i="3"/>
  <c r="J32" i="3"/>
  <c r="AA26" i="3" l="1"/>
  <c r="AE26" i="3"/>
  <c r="G34" i="3" s="1"/>
  <c r="AB27" i="3"/>
  <c r="U28" i="3"/>
  <c r="A82" i="21"/>
  <c r="Z53" i="3"/>
  <c r="AD53" i="3" s="1"/>
  <c r="D62" i="3"/>
  <c r="E61" i="3"/>
  <c r="Y53" i="3" s="1"/>
  <c r="J33" i="3"/>
  <c r="B54" i="21"/>
  <c r="F33" i="3"/>
  <c r="Z54" i="3" l="1"/>
  <c r="AD54" i="3" s="1"/>
  <c r="D63" i="3"/>
  <c r="E62" i="3"/>
  <c r="Y54" i="3" s="1"/>
  <c r="A83" i="21"/>
  <c r="AE27" i="3"/>
  <c r="G35" i="3" s="1"/>
  <c r="AA27" i="3"/>
  <c r="U29" i="3"/>
  <c r="AB28" i="3"/>
  <c r="F34" i="3"/>
  <c r="J34" i="3"/>
  <c r="B55" i="21"/>
  <c r="F35" i="3" l="1"/>
  <c r="J35" i="3"/>
  <c r="B56" i="21"/>
  <c r="Q1" i="3"/>
  <c r="L1" i="3" s="1"/>
  <c r="AA28" i="3"/>
  <c r="AE28" i="3"/>
  <c r="G36" i="3" s="1"/>
  <c r="AB29" i="3"/>
  <c r="U30" i="3"/>
  <c r="D64" i="3"/>
  <c r="A84" i="21"/>
  <c r="E63" i="3"/>
  <c r="Y55" i="3" s="1"/>
  <c r="Z55" i="3"/>
  <c r="AD55" i="3" s="1"/>
  <c r="J36" i="3" l="1"/>
  <c r="F36" i="3"/>
  <c r="B57" i="21"/>
  <c r="AB30" i="3"/>
  <c r="U31" i="3"/>
  <c r="AB31" i="3" s="1"/>
  <c r="AE29" i="3"/>
  <c r="G37" i="3" s="1"/>
  <c r="AA29" i="3"/>
  <c r="E64" i="3"/>
  <c r="Y56" i="3" s="1"/>
  <c r="Z56" i="3"/>
  <c r="AD56" i="3" s="1"/>
  <c r="D65" i="3"/>
  <c r="A85" i="21"/>
  <c r="U32" i="3" l="1"/>
  <c r="AB32" i="3" s="1"/>
  <c r="F37" i="3"/>
  <c r="B58" i="21"/>
  <c r="J37" i="3"/>
  <c r="AA30" i="3"/>
  <c r="AE30" i="3"/>
  <c r="G38" i="3" s="1"/>
  <c r="D66" i="3"/>
  <c r="A86" i="21"/>
  <c r="E65" i="3"/>
  <c r="Y57" i="3" s="1"/>
  <c r="Z57" i="3"/>
  <c r="AD57" i="3" s="1"/>
  <c r="F38" i="3" l="1"/>
  <c r="J38" i="3"/>
  <c r="B59" i="21"/>
  <c r="Z58" i="3"/>
  <c r="AD58" i="3" s="1"/>
  <c r="E66" i="3"/>
  <c r="Y58" i="3" s="1"/>
  <c r="A87" i="21"/>
  <c r="D67" i="3"/>
  <c r="U33" i="3"/>
  <c r="AB33" i="3" s="1"/>
  <c r="AE31" i="3"/>
  <c r="G39" i="3" s="1"/>
  <c r="AA31" i="3"/>
  <c r="AE32" i="3" l="1"/>
  <c r="G40" i="3" s="1"/>
  <c r="AA32" i="3"/>
  <c r="E67" i="3"/>
  <c r="Y59" i="3" s="1"/>
  <c r="D68" i="3"/>
  <c r="Z59" i="3"/>
  <c r="AD59" i="3" s="1"/>
  <c r="A88" i="21"/>
  <c r="B60" i="21"/>
  <c r="J39" i="3"/>
  <c r="F39" i="3"/>
  <c r="U34" i="3"/>
  <c r="AB34" i="3" s="1"/>
  <c r="AA33" i="3" l="1"/>
  <c r="AE33" i="3"/>
  <c r="G41" i="3" s="1"/>
  <c r="A89" i="21"/>
  <c r="Z60" i="3"/>
  <c r="AD60" i="3" s="1"/>
  <c r="D69" i="3"/>
  <c r="E68" i="3"/>
  <c r="Y60" i="3" s="1"/>
  <c r="U35" i="3"/>
  <c r="AB35" i="3" s="1"/>
  <c r="J40" i="3"/>
  <c r="B61" i="21"/>
  <c r="F40" i="3"/>
  <c r="A90" i="21" l="1"/>
  <c r="E69" i="3"/>
  <c r="Y61" i="3" s="1"/>
  <c r="D70" i="3"/>
  <c r="Z61" i="3"/>
  <c r="AD61" i="3" s="1"/>
  <c r="AE34" i="3"/>
  <c r="G42" i="3" s="1"/>
  <c r="AA34" i="3"/>
  <c r="U36" i="3"/>
  <c r="AB36" i="3" s="1"/>
  <c r="F41" i="3"/>
  <c r="J41" i="3"/>
  <c r="B62" i="21"/>
  <c r="U37" i="3" l="1"/>
  <c r="AB37" i="3" s="1"/>
  <c r="A91" i="21"/>
  <c r="D71" i="3"/>
  <c r="E70" i="3"/>
  <c r="Y62" i="3" s="1"/>
  <c r="Z62" i="3"/>
  <c r="AD62" i="3" s="1"/>
  <c r="AA35" i="3"/>
  <c r="AE35" i="3"/>
  <c r="G43" i="3" s="1"/>
  <c r="B63" i="21"/>
  <c r="F42" i="3"/>
  <c r="J42" i="3"/>
  <c r="E71" i="3" l="1"/>
  <c r="Y63" i="3" s="1"/>
  <c r="D72" i="3"/>
  <c r="A92" i="21"/>
  <c r="Z63" i="3"/>
  <c r="AD63" i="3" s="1"/>
  <c r="B64" i="21"/>
  <c r="F43" i="3"/>
  <c r="J43" i="3"/>
  <c r="U38" i="3"/>
  <c r="AB38" i="3" s="1"/>
  <c r="AA36" i="3"/>
  <c r="AE36" i="3"/>
  <c r="G44" i="3" s="1"/>
  <c r="E72" i="3" l="1"/>
  <c r="Y64" i="3" s="1"/>
  <c r="D73" i="3"/>
  <c r="Z64" i="3"/>
  <c r="AD64" i="3" s="1"/>
  <c r="A93" i="21"/>
  <c r="AA37" i="3"/>
  <c r="AE37" i="3"/>
  <c r="G45" i="3" s="1"/>
  <c r="J44" i="3"/>
  <c r="B65" i="21"/>
  <c r="F44" i="3"/>
  <c r="U39" i="3"/>
  <c r="AB39" i="3" s="1"/>
  <c r="U40" i="3" l="1"/>
  <c r="AB40" i="3" s="1"/>
  <c r="F45" i="3"/>
  <c r="J45" i="3"/>
  <c r="B66" i="21"/>
  <c r="A94" i="21"/>
  <c r="E73" i="3"/>
  <c r="Y65" i="3" s="1"/>
  <c r="D74" i="3"/>
  <c r="Z65" i="3"/>
  <c r="AD65" i="3" s="1"/>
  <c r="AE38" i="3"/>
  <c r="G46" i="3" s="1"/>
  <c r="AA38" i="3"/>
  <c r="U41" i="3" l="1"/>
  <c r="AB41" i="3" s="1"/>
  <c r="AA39" i="3"/>
  <c r="AE39" i="3"/>
  <c r="G47" i="3" s="1"/>
  <c r="Z66" i="3"/>
  <c r="AD66" i="3" s="1"/>
  <c r="A95" i="21"/>
  <c r="D75" i="3"/>
  <c r="E74" i="3"/>
  <c r="Y66" i="3" s="1"/>
  <c r="B67" i="21"/>
  <c r="J46" i="3"/>
  <c r="F46" i="3"/>
  <c r="U42" i="3" l="1"/>
  <c r="AB42" i="3" s="1"/>
  <c r="AE40" i="3"/>
  <c r="G48" i="3" s="1"/>
  <c r="AA40" i="3"/>
  <c r="D76" i="3"/>
  <c r="Z67" i="3"/>
  <c r="AD67" i="3" s="1"/>
  <c r="A96" i="21"/>
  <c r="E75" i="3"/>
  <c r="Y67" i="3" s="1"/>
  <c r="J47" i="3"/>
  <c r="F47" i="3"/>
  <c r="B68" i="21"/>
  <c r="U43" i="3" l="1"/>
  <c r="AB43" i="3" s="1"/>
  <c r="AB44" i="3" s="1"/>
  <c r="Z68" i="3"/>
  <c r="AD68" i="3" s="1"/>
  <c r="A97" i="21"/>
  <c r="E76" i="3"/>
  <c r="Y68" i="3" s="1"/>
  <c r="D77" i="3"/>
  <c r="AA41" i="3"/>
  <c r="AE41" i="3"/>
  <c r="G49" i="3" s="1"/>
  <c r="B69" i="21"/>
  <c r="F48" i="3"/>
  <c r="U44" i="3" l="1"/>
  <c r="AB45" i="3" s="1"/>
  <c r="AB46" i="3" s="1"/>
  <c r="AB47" i="3" s="1"/>
  <c r="F49" i="3"/>
  <c r="B70" i="21"/>
  <c r="A98" i="21"/>
  <c r="Z69" i="3"/>
  <c r="AD69" i="3" s="1"/>
  <c r="A32" i="22"/>
  <c r="E77" i="3"/>
  <c r="Y69" i="3" s="1"/>
  <c r="AA42" i="3"/>
  <c r="AE42" i="3"/>
  <c r="G50" i="3" s="1"/>
  <c r="U45" i="3" l="1"/>
  <c r="AA43" i="3"/>
  <c r="AE43" i="3"/>
  <c r="G51" i="3" s="1"/>
  <c r="A47" i="22"/>
  <c r="A45" i="22"/>
  <c r="A55" i="22"/>
  <c r="A49" i="22"/>
  <c r="A52" i="22"/>
  <c r="A43" i="22"/>
  <c r="A41" i="22"/>
  <c r="A37" i="22"/>
  <c r="A42" i="22"/>
  <c r="A36" i="22"/>
  <c r="A46" i="22"/>
  <c r="A53" i="22"/>
  <c r="A35" i="22"/>
  <c r="A33" i="22"/>
  <c r="A48" i="22"/>
  <c r="A34" i="22"/>
  <c r="A56" i="22"/>
  <c r="A44" i="22"/>
  <c r="A50" i="22"/>
  <c r="A40" i="22"/>
  <c r="A39" i="22"/>
  <c r="A51" i="22"/>
  <c r="A38" i="22"/>
  <c r="A54" i="22"/>
  <c r="B71" i="21"/>
  <c r="F50" i="3"/>
  <c r="U46" i="3" l="1"/>
  <c r="AA44" i="3"/>
  <c r="AE44" i="3"/>
  <c r="G52" i="3" s="1"/>
  <c r="F51" i="3"/>
  <c r="B72" i="21"/>
  <c r="U47" i="3" l="1"/>
  <c r="U48" i="3" s="1"/>
  <c r="U49" i="3" s="1"/>
  <c r="U50" i="3" s="1"/>
  <c r="U51" i="3" s="1"/>
  <c r="U52" i="3" s="1"/>
  <c r="U53" i="3" s="1"/>
  <c r="U54" i="3" s="1"/>
  <c r="U55" i="3" s="1"/>
  <c r="U56" i="3" s="1"/>
  <c r="U57" i="3" s="1"/>
  <c r="U58" i="3" s="1"/>
  <c r="U59" i="3" s="1"/>
  <c r="U60" i="3" s="1"/>
  <c r="U61" i="3" s="1"/>
  <c r="U62" i="3" s="1"/>
  <c r="U63" i="3" s="1"/>
  <c r="U64" i="3" s="1"/>
  <c r="U65" i="3" s="1"/>
  <c r="U66" i="3" s="1"/>
  <c r="U67" i="3" s="1"/>
  <c r="U68" i="3" s="1"/>
  <c r="U69" i="3" s="1"/>
  <c r="B73" i="21"/>
  <c r="F52" i="3"/>
  <c r="AA45" i="3"/>
  <c r="AE45" i="3"/>
  <c r="G53" i="3" s="1"/>
  <c r="F53" i="3" l="1"/>
  <c r="B74" i="21"/>
  <c r="AE46" i="3"/>
  <c r="G54" i="3" s="1"/>
  <c r="AA46" i="3"/>
  <c r="B75" i="21" l="1"/>
  <c r="F54" i="3"/>
  <c r="AA47" i="3"/>
  <c r="AE47" i="3"/>
  <c r="G55" i="3" s="1"/>
  <c r="AB48" i="3"/>
  <c r="AA48" i="3" l="1"/>
  <c r="AB49" i="3"/>
  <c r="AE48" i="3"/>
  <c r="G56" i="3" s="1"/>
  <c r="B76" i="21"/>
  <c r="F55" i="3"/>
  <c r="B77" i="21" l="1"/>
  <c r="F56" i="3"/>
  <c r="AA49" i="3"/>
  <c r="AE49" i="3"/>
  <c r="G57" i="3" s="1"/>
  <c r="AB50" i="3"/>
  <c r="AE50" i="3" l="1"/>
  <c r="G58" i="3" s="1"/>
  <c r="AB51" i="3"/>
  <c r="AA50" i="3"/>
  <c r="B78" i="21"/>
  <c r="F57" i="3"/>
  <c r="AB52" i="3" l="1"/>
  <c r="AA51" i="3"/>
  <c r="AE51" i="3"/>
  <c r="G59" i="3" s="1"/>
  <c r="F58" i="3"/>
  <c r="B79" i="21"/>
  <c r="F59" i="3" l="1"/>
  <c r="B80" i="21"/>
  <c r="AA52" i="3"/>
  <c r="AB53" i="3"/>
  <c r="AE52" i="3"/>
  <c r="G60" i="3" s="1"/>
  <c r="F60" i="3" l="1"/>
  <c r="B81" i="21"/>
  <c r="AE53" i="3"/>
  <c r="G61" i="3" s="1"/>
  <c r="AA53" i="3"/>
  <c r="AB54" i="3"/>
  <c r="AA54" i="3" l="1"/>
  <c r="AE54" i="3"/>
  <c r="G62" i="3" s="1"/>
  <c r="AB55" i="3"/>
  <c r="F61" i="3"/>
  <c r="B82" i="21"/>
  <c r="F62" i="3" l="1"/>
  <c r="F63" i="3" s="1"/>
  <c r="F64" i="3" s="1"/>
  <c r="F65" i="3" s="1"/>
  <c r="F66" i="3" s="1"/>
  <c r="F67" i="3" s="1"/>
  <c r="F68" i="3" s="1"/>
  <c r="F69" i="3" s="1"/>
  <c r="F70" i="3" s="1"/>
  <c r="F71" i="3" s="1"/>
  <c r="F72" i="3" s="1"/>
  <c r="F73" i="3" s="1"/>
  <c r="F74" i="3" s="1"/>
  <c r="F75" i="3" s="1"/>
  <c r="F76" i="3" s="1"/>
  <c r="F77" i="3" s="1"/>
  <c r="G8" i="3" s="1"/>
  <c r="B83" i="21"/>
  <c r="AA55" i="3"/>
  <c r="AB56" i="3"/>
  <c r="AE55" i="3"/>
  <c r="G63" i="3" s="1"/>
  <c r="B84" i="21" s="1"/>
  <c r="AA56" i="3" l="1"/>
  <c r="AB57" i="3"/>
  <c r="AE56" i="3"/>
  <c r="G64" i="3" s="1"/>
  <c r="B85" i="21" s="1"/>
  <c r="O2" i="3"/>
  <c r="J9" i="3"/>
  <c r="J10" i="3" l="1"/>
  <c r="K10" i="3" s="1"/>
  <c r="AA57" i="3"/>
  <c r="AB58" i="3"/>
  <c r="AE57" i="3"/>
  <c r="G65" i="3" s="1"/>
  <c r="B86" i="21" s="1"/>
  <c r="AB59" i="3" l="1"/>
  <c r="AE58" i="3"/>
  <c r="G66" i="3" s="1"/>
  <c r="B87" i="21" s="1"/>
  <c r="AA58" i="3"/>
  <c r="AE59" i="3" l="1"/>
  <c r="G67" i="3" s="1"/>
  <c r="B88" i="21" s="1"/>
  <c r="AA59" i="3"/>
  <c r="AB60" i="3"/>
  <c r="AA60" i="3" l="1"/>
  <c r="AB61" i="3"/>
  <c r="AE60" i="3"/>
  <c r="G68" i="3" s="1"/>
  <c r="B89" i="21" s="1"/>
  <c r="AA61" i="3" l="1"/>
  <c r="AE61" i="3"/>
  <c r="G69" i="3" s="1"/>
  <c r="B90" i="21" s="1"/>
  <c r="AB62" i="3"/>
  <c r="AB63" i="3" l="1"/>
  <c r="AE62" i="3"/>
  <c r="G70" i="3" s="1"/>
  <c r="B91" i="21" s="1"/>
  <c r="AA62" i="3"/>
  <c r="AA63" i="3" l="1"/>
  <c r="AB64" i="3"/>
  <c r="AE63" i="3"/>
  <c r="G71" i="3" s="1"/>
  <c r="B92" i="21" s="1"/>
  <c r="AA64" i="3" l="1"/>
  <c r="AB65" i="3"/>
  <c r="AE64" i="3"/>
  <c r="G72" i="3" s="1"/>
  <c r="B93" i="21" s="1"/>
  <c r="AE65" i="3" l="1"/>
  <c r="G73" i="3" s="1"/>
  <c r="B94" i="21" s="1"/>
  <c r="AB66" i="3"/>
  <c r="AA65" i="3"/>
  <c r="AB67" i="3" l="1"/>
  <c r="AE66" i="3"/>
  <c r="G74" i="3" s="1"/>
  <c r="B95" i="21" s="1"/>
  <c r="AA66" i="3"/>
  <c r="AE67" i="3" l="1"/>
  <c r="G75" i="3" s="1"/>
  <c r="B96" i="21" s="1"/>
  <c r="AA67" i="3"/>
  <c r="AB68" i="3"/>
  <c r="AB69" i="3" l="1"/>
  <c r="AA68" i="3"/>
  <c r="AE68" i="3"/>
  <c r="G76" i="3" s="1"/>
  <c r="B97" i="21" s="1"/>
  <c r="AC4" i="3" l="1"/>
  <c r="AA69" i="3"/>
  <c r="AC3" i="3" s="1"/>
  <c r="AE69" i="3"/>
  <c r="AC5" i="3" l="1"/>
  <c r="G77" i="3"/>
  <c r="B32" i="22" l="1"/>
  <c r="D110" i="3"/>
  <c r="D111" i="3" s="1"/>
  <c r="B98" i="21"/>
  <c r="D112" i="3" l="1"/>
  <c r="H111" i="3"/>
  <c r="H112" i="3" l="1"/>
  <c r="D113" i="3"/>
  <c r="D114" i="3" l="1"/>
  <c r="H113" i="3"/>
  <c r="I113" i="3" s="1"/>
  <c r="I112" i="3"/>
  <c r="D115" i="3" l="1"/>
  <c r="H114" i="3"/>
  <c r="H115" i="3" l="1"/>
  <c r="I115" i="3" s="1"/>
  <c r="D116" i="3"/>
  <c r="G78" i="3"/>
  <c r="I114" i="3"/>
  <c r="D117" i="3" l="1"/>
  <c r="H116" i="3"/>
  <c r="I116" i="3" s="1"/>
  <c r="B33" i="22"/>
  <c r="F78" i="3"/>
  <c r="G79" i="3"/>
  <c r="F79" i="3" l="1"/>
  <c r="B34" i="22"/>
  <c r="G80" i="3"/>
  <c r="D118" i="3"/>
  <c r="H117" i="3"/>
  <c r="G81" i="3" l="1"/>
  <c r="D119" i="3"/>
  <c r="H118" i="3"/>
  <c r="B35" i="22"/>
  <c r="F80" i="3"/>
  <c r="I117" i="3"/>
  <c r="G82" i="3" l="1"/>
  <c r="H119" i="3"/>
  <c r="D120" i="3"/>
  <c r="I118" i="3"/>
  <c r="B36" i="22"/>
  <c r="F81" i="3"/>
  <c r="D121" i="3" l="1"/>
  <c r="H120" i="3"/>
  <c r="I119" i="3"/>
  <c r="F82" i="3"/>
  <c r="B37" i="22"/>
  <c r="H121" i="3" l="1"/>
  <c r="D122" i="3"/>
  <c r="I120" i="3"/>
  <c r="H122" i="3" l="1"/>
  <c r="I122" i="3" s="1"/>
  <c r="D123" i="3"/>
  <c r="G83" i="3"/>
  <c r="I121" i="3"/>
  <c r="H123" i="3" l="1"/>
  <c r="I123" i="3" s="1"/>
  <c r="D124" i="3"/>
  <c r="F83" i="3"/>
  <c r="B38" i="22"/>
  <c r="D125" i="3" l="1"/>
  <c r="H124" i="3"/>
  <c r="I124" i="3" s="1"/>
  <c r="G84" i="3" l="1"/>
  <c r="D126" i="3"/>
  <c r="H125" i="3"/>
  <c r="D127" i="3" l="1"/>
  <c r="H126" i="3"/>
  <c r="I125" i="3"/>
  <c r="F84" i="3"/>
  <c r="B39" i="22"/>
  <c r="D128" i="3" l="1"/>
  <c r="H127" i="3"/>
  <c r="G85" i="3"/>
  <c r="I126" i="3"/>
  <c r="G86" i="3" l="1"/>
  <c r="F85" i="3"/>
  <c r="B40" i="22"/>
  <c r="I127" i="3"/>
  <c r="D129" i="3"/>
  <c r="H128" i="3"/>
  <c r="G87" i="3" l="1"/>
  <c r="H129" i="3"/>
  <c r="D130" i="3"/>
  <c r="I128" i="3"/>
  <c r="F86" i="3"/>
  <c r="B41" i="22"/>
  <c r="G88" i="3" l="1"/>
  <c r="H130" i="3"/>
  <c r="D131" i="3"/>
  <c r="I129" i="3"/>
  <c r="B42" i="22"/>
  <c r="F87" i="3"/>
  <c r="D132" i="3" l="1"/>
  <c r="H131" i="3"/>
  <c r="G89" i="3"/>
  <c r="I130" i="3"/>
  <c r="B43" i="22"/>
  <c r="F88" i="3"/>
  <c r="G90" i="3" l="1"/>
  <c r="I131" i="3"/>
  <c r="B44" i="22"/>
  <c r="F89" i="3"/>
  <c r="H132" i="3"/>
  <c r="D133" i="3"/>
  <c r="D134" i="3" l="1"/>
  <c r="H133" i="3"/>
  <c r="I133" i="3" s="1"/>
  <c r="B45" i="22"/>
  <c r="F90" i="3"/>
  <c r="G91" i="3"/>
  <c r="I132" i="3"/>
  <c r="F91" i="3" l="1"/>
  <c r="B46" i="22"/>
  <c r="G92" i="3"/>
  <c r="H134" i="3"/>
  <c r="D135" i="3"/>
  <c r="H135" i="3" l="1"/>
  <c r="I135" i="3" s="1"/>
  <c r="D136" i="3"/>
  <c r="G93" i="3"/>
  <c r="B47" i="22"/>
  <c r="F92" i="3"/>
  <c r="I134" i="3"/>
  <c r="F93" i="3" l="1"/>
  <c r="B48" i="22"/>
  <c r="D137" i="3"/>
  <c r="H136" i="3"/>
  <c r="I136" i="3" s="1"/>
  <c r="G94" i="3"/>
  <c r="B49" i="22" l="1"/>
  <c r="F94" i="3"/>
  <c r="G95" i="3"/>
  <c r="H137" i="3"/>
  <c r="D138" i="3"/>
  <c r="G96" i="3" l="1"/>
  <c r="F95" i="3"/>
  <c r="B50" i="22"/>
  <c r="H138" i="3"/>
  <c r="D139" i="3"/>
  <c r="I137" i="3"/>
  <c r="D140" i="3" l="1"/>
  <c r="H139" i="3"/>
  <c r="I139" i="3" s="1"/>
  <c r="B51" i="22"/>
  <c r="F96" i="3"/>
  <c r="G97" i="3"/>
  <c r="I138" i="3"/>
  <c r="F97" i="3" l="1"/>
  <c r="B52" i="22"/>
  <c r="H140" i="3"/>
  <c r="I140" i="3" s="1"/>
  <c r="D141" i="3"/>
  <c r="D142" i="3" l="1"/>
  <c r="H141" i="3"/>
  <c r="I141" i="3" s="1"/>
  <c r="G98" i="3"/>
  <c r="F98" i="3" l="1"/>
  <c r="B53" i="22"/>
  <c r="H142" i="3"/>
  <c r="I142" i="3" s="1"/>
  <c r="D143" i="3"/>
  <c r="D144" i="3" l="1"/>
  <c r="H143" i="3"/>
  <c r="I143" i="3" s="1"/>
  <c r="G99" i="3"/>
  <c r="B54" i="22" l="1"/>
  <c r="F99" i="3"/>
  <c r="D145" i="3"/>
  <c r="H144" i="3"/>
  <c r="I144" i="3" s="1"/>
  <c r="D146" i="3" l="1"/>
  <c r="H146" i="3" s="1"/>
  <c r="G101" i="3" s="1"/>
  <c r="H145" i="3"/>
  <c r="G100" i="3"/>
  <c r="I146" i="3" l="1"/>
  <c r="I145" i="3"/>
  <c r="B55" i="22"/>
  <c r="F100" i="3"/>
  <c r="F101" i="3"/>
  <c r="C11" i="27" s="1"/>
  <c r="C12" i="27" s="1"/>
  <c r="B56" i="2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3" authorId="0" shapeId="0" xr:uid="{F896857D-01CD-4880-9D52-25B4108F63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B8EB3275-29B0-4F41-8C09-758D7DB2EDD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0D08EA8E-F2F6-400B-A5BD-C117322110D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CC2D456D-A317-4842-BF2D-0BAA95F3A9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F32" authorId="0" shapeId="0" xr:uid="{3EF82C46-4313-4EA4-A03D-E91B336F212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52BB1966-F0B4-46B4-ABDD-4F3A09404AD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N44" authorId="1" shapeId="0" xr:uid="{00000000-0006-0000-02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46" authorId="1" shapeId="0" xr:uid="{00000000-0006-0000-02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L51" authorId="1" shapeId="0" xr:uid="{00000000-0006-0000-0200-000003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B4" authorId="0" shapeId="0" xr:uid="{00000000-0006-0000-04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4" authorId="0" shapeId="0" xr:uid="{00000000-0006-0000-0400-000003000000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4" authorId="0" shapeId="0" xr:uid="{00000000-0006-0000-0400-000004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B11" authorId="0" shapeId="0" xr:uid="{00000000-0006-0000-04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B12" authorId="0" shapeId="0" xr:uid="{00000000-0006-0000-04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D16" authorId="0" shapeId="0" xr:uid="{00000000-0006-0000-04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6" authorId="0" shapeId="0" xr:uid="{00000000-0006-0000-04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6" authorId="0" shapeId="0" xr:uid="{00000000-0006-0000-04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6" authorId="0" shapeId="0" xr:uid="{00000000-0006-0000-0400-00000B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29" authorId="0" shapeId="0" xr:uid="{00000000-0006-0000-0400-00000C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㎝</t>
        </r>
        <r>
          <rPr>
            <sz val="9"/>
            <color indexed="81"/>
            <rFont val="Tahoma"/>
            <family val="2"/>
          </rPr>
          <t xml:space="preserve">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S1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O3" authorId="0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K6" authorId="1" shapeId="0" xr:uid="{733DCE7B-62EC-452A-A01A-FFCC58CA06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>.</t>
        </r>
      </text>
    </comment>
    <comment ref="K8" authorId="1" shapeId="0" xr:uid="{24E3286F-A5D6-4D12-9756-1A84DBFBB065}">
      <text>
        <r>
          <rPr>
            <b/>
            <sz val="9"/>
            <color indexed="81"/>
            <rFont val="Tahoma"/>
            <family val="2"/>
          </rPr>
          <t xml:space="preserve">minhwasoo:
2019/11/27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>.
 = G10-J11</t>
        </r>
      </text>
    </comment>
    <comment ref="G10" authorId="0" shapeId="0" xr:uid="{00000000-0006-0000-0600-000003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K10" authorId="0" shapeId="0" xr:uid="{00000000-0006-0000-0600-000004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L17" authorId="0" shapeId="0" xr:uid="{790CB16B-C0E1-4127-9B24-929500B3166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1</t>
        </r>
        <r>
          <rPr>
            <sz val="9"/>
            <color indexed="81"/>
            <rFont val="돋움"/>
            <family val="3"/>
            <charset val="129"/>
          </rPr>
          <t>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7B3F9131-6963-4B32-B1DF-C9874BD3635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경과시간당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</text>
    </comment>
    <comment ref="N17" authorId="0" shapeId="0" xr:uid="{00C2CC86-60EC-4D77-BE9A-A0732213FF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10</t>
        </r>
        <r>
          <rPr>
            <sz val="9"/>
            <color indexed="81"/>
            <rFont val="돋움"/>
            <family val="3"/>
            <charset val="129"/>
          </rPr>
          <t>인치케이싱의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
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O17" authorId="0" shapeId="0" xr:uid="{FB18B11F-C39C-410E-B87F-A663BA35878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Q/A</t>
        </r>
      </text>
    </comment>
    <comment ref="P17" authorId="0" shapeId="0" xr:uid="{3BE60E48-E9E1-4BF0-A993-B6DD1349BDC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차이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정수위강하량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자연모델의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>.</t>
        </r>
      </text>
    </comment>
    <comment ref="Q17" authorId="0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C38" authorId="0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00000000-0006-0000-06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<sst xmlns="http://schemas.openxmlformats.org/spreadsheetml/2006/main" count="1098" uniqueCount="257">
  <si>
    <t xml:space="preserve"> </t>
  </si>
  <si>
    <t>C</t>
  </si>
  <si>
    <t>B</t>
  </si>
  <si>
    <t>단  계  양  수  시  험  일  보</t>
  </si>
  <si>
    <t>양수시험</t>
  </si>
  <si>
    <t>수중모타</t>
  </si>
  <si>
    <t>일    시</t>
  </si>
  <si>
    <t>우물현황</t>
  </si>
  <si>
    <t>심    도</t>
  </si>
  <si>
    <t>자연수위</t>
  </si>
  <si>
    <t>단계</t>
  </si>
  <si>
    <t>관측시간</t>
  </si>
  <si>
    <t>양수시작</t>
  </si>
  <si>
    <t>양수종료</t>
  </si>
  <si>
    <t>안정수위</t>
  </si>
  <si>
    <t>Q</t>
    <phoneticPr fontId="5" type="noConversion"/>
  </si>
  <si>
    <t>T</t>
    <phoneticPr fontId="5" type="noConversion"/>
  </si>
  <si>
    <t>Re</t>
    <phoneticPr fontId="5" type="noConversion"/>
  </si>
  <si>
    <t xml:space="preserve"> </t>
    <phoneticPr fontId="5" type="noConversion"/>
  </si>
  <si>
    <t>S</t>
    <phoneticPr fontId="5" type="noConversion"/>
  </si>
  <si>
    <t>t</t>
    <phoneticPr fontId="5" type="noConversion"/>
  </si>
  <si>
    <t>Day</t>
    <phoneticPr fontId="5" type="noConversion"/>
  </si>
  <si>
    <t>Sw</t>
    <phoneticPr fontId="5" type="noConversion"/>
  </si>
  <si>
    <t xml:space="preserve"> </t>
    <phoneticPr fontId="5" type="noConversion"/>
  </si>
  <si>
    <t>t</t>
    <phoneticPr fontId="5" type="noConversion"/>
  </si>
  <si>
    <t>반경  =</t>
    <phoneticPr fontId="5" type="noConversion"/>
  </si>
  <si>
    <t>유효우물</t>
    <phoneticPr fontId="5" type="noConversion"/>
  </si>
  <si>
    <t>2.25xTxt =</t>
    <phoneticPr fontId="5" type="noConversion"/>
  </si>
  <si>
    <t>고정</t>
    <phoneticPr fontId="5" type="noConversion"/>
  </si>
  <si>
    <t>대수층손실</t>
    <phoneticPr fontId="5" type="noConversion"/>
  </si>
  <si>
    <t>우물효율</t>
    <phoneticPr fontId="5" type="noConversion"/>
  </si>
  <si>
    <t>기울기</t>
    <phoneticPr fontId="5" type="noConversion"/>
  </si>
  <si>
    <t>Y절편</t>
    <phoneticPr fontId="5" type="noConversion"/>
  </si>
  <si>
    <t xml:space="preserve"> </t>
    <phoneticPr fontId="5" type="noConversion"/>
  </si>
  <si>
    <t>Q=</t>
    <phoneticPr fontId="5" type="noConversion"/>
  </si>
  <si>
    <t>장기양수량</t>
    <phoneticPr fontId="5" type="noConversion"/>
  </si>
  <si>
    <t>B</t>
    <phoneticPr fontId="5" type="noConversion"/>
  </si>
  <si>
    <t>Re =</t>
    <phoneticPr fontId="5" type="noConversion"/>
  </si>
  <si>
    <t>A</t>
    <phoneticPr fontId="5" type="noConversion"/>
  </si>
  <si>
    <t>S =</t>
    <phoneticPr fontId="5" type="noConversion"/>
  </si>
  <si>
    <t>A/B =</t>
    <phoneticPr fontId="5" type="noConversion"/>
  </si>
  <si>
    <t>10^(5.46xTxB)=</t>
    <phoneticPr fontId="5" type="noConversion"/>
  </si>
  <si>
    <t>그래프조정</t>
    <phoneticPr fontId="5" type="noConversion"/>
  </si>
  <si>
    <t>초기치</t>
    <phoneticPr fontId="5" type="noConversion"/>
  </si>
  <si>
    <t>수위강하량 초기치조정</t>
    <phoneticPr fontId="5" type="noConversion"/>
  </si>
  <si>
    <t>지 구 명</t>
    <phoneticPr fontId="5" type="noConversion"/>
  </si>
  <si>
    <t>위    치</t>
    <phoneticPr fontId="5" type="noConversion"/>
  </si>
  <si>
    <t>단계양수시험</t>
    <phoneticPr fontId="5" type="noConversion"/>
  </si>
  <si>
    <t>장기디스시험</t>
    <phoneticPr fontId="5" type="noConversion"/>
  </si>
  <si>
    <t>장기c-j시험</t>
    <phoneticPr fontId="5" type="noConversion"/>
  </si>
  <si>
    <t>회복수위시험</t>
    <phoneticPr fontId="5" type="noConversion"/>
  </si>
  <si>
    <t>선택치</t>
    <phoneticPr fontId="5" type="noConversion"/>
  </si>
  <si>
    <t>T값</t>
    <phoneticPr fontId="5" type="noConversion"/>
  </si>
  <si>
    <t>선택치</t>
    <phoneticPr fontId="5" type="noConversion"/>
  </si>
  <si>
    <t>지구명</t>
    <phoneticPr fontId="5" type="noConversion"/>
  </si>
  <si>
    <t>위  치</t>
    <phoneticPr fontId="5" type="noConversion"/>
  </si>
  <si>
    <t>조사자</t>
    <phoneticPr fontId="5" type="noConversion"/>
  </si>
  <si>
    <t>수중모터</t>
    <phoneticPr fontId="5" type="noConversion"/>
  </si>
  <si>
    <t>양수시험일</t>
    <phoneticPr fontId="5" type="noConversion"/>
  </si>
  <si>
    <t>우물직경</t>
    <phoneticPr fontId="5" type="noConversion"/>
  </si>
  <si>
    <t>관정심도</t>
    <phoneticPr fontId="5" type="noConversion"/>
  </si>
  <si>
    <t>대수층두께</t>
    <phoneticPr fontId="5" type="noConversion"/>
  </si>
  <si>
    <t>적정양수량</t>
    <phoneticPr fontId="5" type="noConversion"/>
  </si>
  <si>
    <t>자연수위</t>
    <phoneticPr fontId="5" type="noConversion"/>
  </si>
  <si>
    <t>안정수위</t>
    <phoneticPr fontId="5" type="noConversion"/>
  </si>
  <si>
    <t>수위강하량</t>
    <phoneticPr fontId="5" type="noConversion"/>
  </si>
  <si>
    <t>단계수위강하</t>
    <phoneticPr fontId="5" type="noConversion"/>
  </si>
  <si>
    <t>영향반경</t>
    <phoneticPr fontId="5" type="noConversion"/>
  </si>
  <si>
    <t>R</t>
    <phoneticPr fontId="5" type="noConversion"/>
  </si>
  <si>
    <t>Shultze:</t>
    <phoneticPr fontId="5" type="noConversion"/>
  </si>
  <si>
    <t>Weber:</t>
    <phoneticPr fontId="5" type="noConversion"/>
  </si>
  <si>
    <t>Jacob:</t>
    <phoneticPr fontId="5" type="noConversion"/>
  </si>
  <si>
    <t>평균</t>
    <phoneticPr fontId="5" type="noConversion"/>
  </si>
  <si>
    <t>포획구간</t>
    <phoneticPr fontId="5" type="noConversion"/>
  </si>
  <si>
    <t>상류</t>
    <phoneticPr fontId="5" type="noConversion"/>
  </si>
  <si>
    <t>하류</t>
    <phoneticPr fontId="5" type="noConversion"/>
  </si>
  <si>
    <t>S값</t>
    <phoneticPr fontId="5" type="noConversion"/>
  </si>
  <si>
    <t>s'=</t>
    <phoneticPr fontId="5" type="noConversion"/>
  </si>
  <si>
    <t>Q양수량 =</t>
    <phoneticPr fontId="5" type="noConversion"/>
  </si>
  <si>
    <t>㎥/일</t>
    <phoneticPr fontId="5" type="noConversion"/>
  </si>
  <si>
    <t>양수량(㎥/일)</t>
    <phoneticPr fontId="5" type="noConversion"/>
  </si>
  <si>
    <t>1일상수 =</t>
    <phoneticPr fontId="5" type="noConversion"/>
  </si>
  <si>
    <t>일</t>
    <phoneticPr fontId="5" type="noConversion"/>
  </si>
  <si>
    <t>A효율</t>
    <phoneticPr fontId="5" type="noConversion"/>
  </si>
  <si>
    <t>H 양정 =</t>
    <phoneticPr fontId="5" type="noConversion"/>
  </si>
  <si>
    <t>m</t>
    <phoneticPr fontId="5" type="noConversion"/>
  </si>
  <si>
    <t>B효율</t>
    <phoneticPr fontId="5" type="noConversion"/>
  </si>
  <si>
    <t>hp 마력 =</t>
    <phoneticPr fontId="5" type="noConversion"/>
  </si>
  <si>
    <t>hp</t>
    <phoneticPr fontId="5" type="noConversion"/>
  </si>
  <si>
    <t>평균효율</t>
    <phoneticPr fontId="5" type="noConversion"/>
  </si>
  <si>
    <t>η 효율 =</t>
    <phoneticPr fontId="5" type="noConversion"/>
  </si>
  <si>
    <t>%</t>
    <phoneticPr fontId="5" type="noConversion"/>
  </si>
  <si>
    <t>마력산정 =</t>
    <phoneticPr fontId="5" type="noConversion"/>
  </si>
  <si>
    <t>양정산정 =</t>
    <phoneticPr fontId="5" type="noConversion"/>
  </si>
  <si>
    <t>1분양수량</t>
    <phoneticPr fontId="5" type="noConversion"/>
  </si>
  <si>
    <t>시경수량</t>
    <phoneticPr fontId="5" type="noConversion"/>
  </si>
  <si>
    <t>케이싱</t>
    <phoneticPr fontId="5" type="noConversion"/>
  </si>
  <si>
    <t>우물자재</t>
    <phoneticPr fontId="5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</si>
  <si>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</si>
  <si>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</si>
  <si>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</si>
  <si>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</si>
  <si>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</si>
  <si>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</si>
  <si>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</si>
  <si>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</si>
  <si>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가채수량</t>
    <phoneticPr fontId="5" type="noConversion"/>
  </si>
  <si>
    <t>1단계양수량(Q1)</t>
    <phoneticPr fontId="5" type="noConversion"/>
  </si>
  <si>
    <t>1단계수위강하량(S1)</t>
    <phoneticPr fontId="5" type="noConversion"/>
  </si>
  <si>
    <t>4단계수위강하량(S2)</t>
    <phoneticPr fontId="5" type="noConversion"/>
  </si>
  <si>
    <t>2/3</t>
    <phoneticPr fontId="5" type="noConversion"/>
  </si>
  <si>
    <t>가채수량(Q)</t>
    <phoneticPr fontId="5" type="noConversion"/>
  </si>
  <si>
    <t>적용가채수량(Q)</t>
    <phoneticPr fontId="5" type="noConversion"/>
  </si>
  <si>
    <t>개발시 적정채수량으로 적용 =</t>
    <phoneticPr fontId="5" type="noConversion"/>
  </si>
  <si>
    <t>1단계조정</t>
    <phoneticPr fontId="5" type="noConversion"/>
  </si>
  <si>
    <t>2단계조정</t>
    <phoneticPr fontId="5" type="noConversion"/>
  </si>
  <si>
    <t>3단계조정</t>
    <phoneticPr fontId="5" type="noConversion"/>
  </si>
  <si>
    <t>5단계조정</t>
    <phoneticPr fontId="5" type="noConversion"/>
  </si>
  <si>
    <t>정해진 목표 가채수량</t>
    <phoneticPr fontId="5" type="noConversion"/>
  </si>
  <si>
    <t>계산상 가재수량</t>
    <phoneticPr fontId="5" type="noConversion"/>
  </si>
  <si>
    <t>시추조사시 수량의 대소에 따라 차등적용</t>
    <phoneticPr fontId="5" type="noConversion"/>
  </si>
  <si>
    <t>Sw</t>
    <phoneticPr fontId="5" type="noConversion"/>
  </si>
  <si>
    <t>Q</t>
    <phoneticPr fontId="5" type="noConversion"/>
  </si>
  <si>
    <t>그래프양수량조정</t>
    <phoneticPr fontId="5" type="noConversion"/>
  </si>
  <si>
    <t>그래프기울기저정</t>
    <phoneticPr fontId="5" type="noConversion"/>
  </si>
  <si>
    <t>360분수
위강하량</t>
    <phoneticPr fontId="5" type="noConversion"/>
  </si>
  <si>
    <t>1층</t>
    <phoneticPr fontId="5" type="noConversion"/>
  </si>
  <si>
    <t>저항</t>
    <phoneticPr fontId="5" type="noConversion"/>
  </si>
  <si>
    <t>심도</t>
    <phoneticPr fontId="5" type="noConversion"/>
  </si>
  <si>
    <t>2층</t>
    <phoneticPr fontId="5" type="noConversion"/>
  </si>
  <si>
    <t>심도</t>
    <phoneticPr fontId="5" type="noConversion"/>
  </si>
  <si>
    <t>3층</t>
    <phoneticPr fontId="5" type="noConversion"/>
  </si>
  <si>
    <t>4층</t>
    <phoneticPr fontId="5" type="noConversion"/>
  </si>
  <si>
    <t>저항</t>
    <phoneticPr fontId="5" type="noConversion"/>
  </si>
  <si>
    <t>측점수</t>
    <phoneticPr fontId="5" type="noConversion"/>
  </si>
  <si>
    <t>전기탐사</t>
    <phoneticPr fontId="5" type="noConversion"/>
  </si>
  <si>
    <t>단계양수 3단계
수위강하량</t>
    <phoneticPr fontId="5" type="noConversion"/>
  </si>
  <si>
    <t>확인
적색으로</t>
    <phoneticPr fontId="5" type="noConversion"/>
  </si>
  <si>
    <t>위  치</t>
  </si>
  <si>
    <t xml:space="preserve"> 시 공 일</t>
  </si>
  <si>
    <t>심  도</t>
  </si>
  <si>
    <t>층  후</t>
  </si>
  <si>
    <t>비     고</t>
  </si>
  <si>
    <t>φ350</t>
  </si>
  <si>
    <t>φ250</t>
  </si>
  <si>
    <t>G L</t>
  </si>
  <si>
    <t xml:space="preserve">  CASING</t>
  </si>
  <si>
    <t>풍화암층</t>
  </si>
  <si>
    <t>연 암 층</t>
  </si>
  <si>
    <t>보통암층</t>
  </si>
  <si>
    <t xml:space="preserve">   φ150</t>
  </si>
  <si>
    <t>Open Hole</t>
  </si>
  <si>
    <t>시  추  주  상  도</t>
    <phoneticPr fontId="17" type="noConversion"/>
  </si>
  <si>
    <t xml:space="preserve">  2006.    .    .</t>
    <phoneticPr fontId="17" type="noConversion"/>
  </si>
  <si>
    <t>지  질</t>
    <phoneticPr fontId="17" type="noConversion"/>
  </si>
  <si>
    <t>지질명</t>
    <phoneticPr fontId="17" type="noConversion"/>
  </si>
  <si>
    <t>주    상    도</t>
    <phoneticPr fontId="17" type="noConversion"/>
  </si>
  <si>
    <t>토 사 층</t>
    <phoneticPr fontId="17" type="noConversion"/>
  </si>
  <si>
    <t>오염방지그라우팅</t>
    <phoneticPr fontId="17" type="noConversion"/>
  </si>
  <si>
    <t>250m/m</t>
    <phoneticPr fontId="17" type="noConversion"/>
  </si>
  <si>
    <t>양수량(㎥/day)</t>
    <phoneticPr fontId="5" type="noConversion"/>
  </si>
  <si>
    <t>경과시간(분)</t>
    <phoneticPr fontId="5" type="noConversion"/>
  </si>
  <si>
    <t>지하수위(m)</t>
    <phoneticPr fontId="5" type="noConversion"/>
  </si>
  <si>
    <t>수위강하량(m)</t>
    <phoneticPr fontId="5" type="noConversion"/>
  </si>
  <si>
    <t>비  고</t>
  </si>
  <si>
    <t>조 사 자</t>
    <phoneticPr fontId="5" type="noConversion"/>
  </si>
  <si>
    <t xml:space="preserve">  충청남도 공주시 쌍신동 산6-1</t>
    <phoneticPr fontId="17" type="noConversion"/>
  </si>
  <si>
    <t>12m 설치</t>
    <phoneticPr fontId="17" type="noConversion"/>
  </si>
  <si>
    <t>직     경</t>
    <phoneticPr fontId="5" type="noConversion"/>
  </si>
  <si>
    <t>자연 수위</t>
    <phoneticPr fontId="5" type="noConversion"/>
  </si>
  <si>
    <t>양수량(㎥/day)</t>
    <phoneticPr fontId="5" type="noConversion"/>
  </si>
  <si>
    <t>관측 시간</t>
    <phoneticPr fontId="5" type="noConversion"/>
  </si>
  <si>
    <t>경과시간(분)</t>
    <phoneticPr fontId="5" type="noConversion"/>
  </si>
  <si>
    <t>지하수위(m)</t>
    <phoneticPr fontId="5" type="noConversion"/>
  </si>
  <si>
    <t>수위강하량(m)</t>
    <phoneticPr fontId="5" type="noConversion"/>
  </si>
  <si>
    <t>&lt;부록 : 4&gt; 양수시험일보</t>
    <phoneticPr fontId="5" type="noConversion"/>
  </si>
  <si>
    <t>△h</t>
    <phoneticPr fontId="5" type="noConversion"/>
  </si>
  <si>
    <t>K</t>
    <phoneticPr fontId="5" type="noConversion"/>
  </si>
  <si>
    <t>최대</t>
    <phoneticPr fontId="5" type="noConversion"/>
  </si>
  <si>
    <t>&lt;END&gt;</t>
    <phoneticPr fontId="2" type="noConversion"/>
  </si>
  <si>
    <t>적용시간</t>
    <phoneticPr fontId="5" type="noConversion"/>
  </si>
  <si>
    <t>적용수위</t>
    <phoneticPr fontId="5" type="noConversion"/>
  </si>
  <si>
    <t>안정수위</t>
    <phoneticPr fontId="5" type="noConversion"/>
  </si>
  <si>
    <t>도달시간</t>
    <phoneticPr fontId="5" type="noConversion"/>
  </si>
  <si>
    <t>확    인</t>
    <phoneticPr fontId="5" type="noConversion"/>
  </si>
  <si>
    <t>케이싱직경</t>
    <phoneticPr fontId="5" type="noConversion"/>
  </si>
  <si>
    <t>지하수위</t>
    <phoneticPr fontId="5" type="noConversion"/>
  </si>
  <si>
    <t>강하수위</t>
    <phoneticPr fontId="5" type="noConversion"/>
  </si>
  <si>
    <t>단계별수위강하량</t>
    <phoneticPr fontId="5" type="noConversion"/>
  </si>
  <si>
    <t>Sw/Q</t>
    <phoneticPr fontId="5" type="noConversion"/>
  </si>
  <si>
    <t>장기양수 및 회복수위시험 일보</t>
    <phoneticPr fontId="5" type="noConversion"/>
  </si>
  <si>
    <t>조사명</t>
    <phoneticPr fontId="5" type="noConversion"/>
  </si>
  <si>
    <t>조 사 명</t>
    <phoneticPr fontId="5" type="noConversion"/>
  </si>
  <si>
    <t>양수능력 =</t>
    <phoneticPr fontId="5" type="noConversion"/>
  </si>
  <si>
    <t>비양수량(Q/Sw)</t>
    <phoneticPr fontId="5" type="noConversion"/>
  </si>
  <si>
    <t>Sw/Q</t>
    <phoneticPr fontId="5" type="noConversion"/>
  </si>
  <si>
    <t>π</t>
    <phoneticPr fontId="5" type="noConversion"/>
  </si>
  <si>
    <t>=</t>
    <phoneticPr fontId="5" type="noConversion"/>
  </si>
  <si>
    <t>유효우물반경 Re =</t>
    <phoneticPr fontId="5" type="noConversion"/>
  </si>
  <si>
    <t>△s</t>
    <phoneticPr fontId="5" type="noConversion"/>
  </si>
  <si>
    <t>Q</t>
    <phoneticPr fontId="5" type="noConversion"/>
  </si>
  <si>
    <t>σ =</t>
    <phoneticPr fontId="5" type="noConversion"/>
  </si>
  <si>
    <t>-</t>
    <phoneticPr fontId="5" type="noConversion"/>
  </si>
  <si>
    <t>케이싱심도</t>
    <phoneticPr fontId="5" type="noConversion"/>
  </si>
  <si>
    <t>Shultze   R =</t>
    <phoneticPr fontId="5" type="noConversion"/>
  </si>
  <si>
    <t>장기 T =</t>
    <phoneticPr fontId="5" type="noConversion"/>
  </si>
  <si>
    <t>회복 T =</t>
    <phoneticPr fontId="5" type="noConversion"/>
  </si>
  <si>
    <t>△h(수위강하량)</t>
    <phoneticPr fontId="5" type="noConversion"/>
  </si>
  <si>
    <t>T(투수량계수)</t>
    <phoneticPr fontId="5" type="noConversion"/>
  </si>
  <si>
    <t>1일</t>
    <phoneticPr fontId="5" type="noConversion"/>
  </si>
  <si>
    <t>안정도달</t>
    <phoneticPr fontId="5" type="noConversion"/>
  </si>
  <si>
    <t>Weber   R =</t>
    <phoneticPr fontId="5" type="noConversion"/>
  </si>
  <si>
    <t>K</t>
    <phoneticPr fontId="5" type="noConversion"/>
  </si>
  <si>
    <t>Jacop   R =</t>
    <phoneticPr fontId="5" type="noConversion"/>
  </si>
  <si>
    <t>대수층두께</t>
    <phoneticPr fontId="5" type="noConversion"/>
  </si>
  <si>
    <t>T(투수량계수)</t>
    <phoneticPr fontId="5" type="noConversion"/>
  </si>
  <si>
    <t>안정도달</t>
    <phoneticPr fontId="5" type="noConversion"/>
  </si>
  <si>
    <t>S</t>
    <phoneticPr fontId="5" type="noConversion"/>
  </si>
  <si>
    <t>T 값 평균=</t>
    <phoneticPr fontId="5" type="noConversion"/>
  </si>
  <si>
    <t>k값</t>
    <phoneticPr fontId="5" type="noConversion"/>
  </si>
  <si>
    <t>S 값 적용=</t>
    <phoneticPr fontId="5" type="noConversion"/>
  </si>
  <si>
    <t>영향반경 평균=</t>
    <phoneticPr fontId="5" type="noConversion"/>
  </si>
  <si>
    <t>Q/Sw</t>
    <phoneticPr fontId="5" type="noConversion"/>
  </si>
  <si>
    <t>공심도(굴착깊이)</t>
    <phoneticPr fontId="5" type="noConversion"/>
  </si>
  <si>
    <t>t(일)</t>
    <phoneticPr fontId="5" type="noConversion"/>
  </si>
  <si>
    <t>안정도달(분)</t>
    <phoneticPr fontId="5" type="noConversion"/>
  </si>
  <si>
    <t>Rw</t>
    <phoneticPr fontId="5" type="noConversion"/>
  </si>
  <si>
    <t>자연수위(단위 m)</t>
    <phoneticPr fontId="5" type="noConversion"/>
  </si>
  <si>
    <t>△h(수위강하량) m</t>
    <phoneticPr fontId="5" type="noConversion"/>
  </si>
  <si>
    <t xml:space="preserve">대수층두께(m) </t>
    <phoneticPr fontId="5" type="noConversion"/>
  </si>
  <si>
    <t>T(투수량계수, ㎡/일)</t>
    <phoneticPr fontId="5" type="noConversion"/>
  </si>
  <si>
    <t xml:space="preserve"> </t>
    <phoneticPr fontId="5" type="noConversion"/>
  </si>
  <si>
    <t xml:space="preserve"> </t>
    <phoneticPr fontId="5" type="noConversion"/>
  </si>
  <si>
    <t>회복수위</t>
    <phoneticPr fontId="5" type="noConversion"/>
  </si>
  <si>
    <t>수위회복량(Sw)</t>
    <phoneticPr fontId="5" type="noConversion"/>
  </si>
  <si>
    <t>양수량</t>
    <phoneticPr fontId="5" type="noConversion"/>
  </si>
  <si>
    <t>지하수위</t>
    <phoneticPr fontId="5" type="noConversion"/>
  </si>
  <si>
    <t>강하수위</t>
    <phoneticPr fontId="5" type="noConversion"/>
  </si>
  <si>
    <t>두산인프라코어 지하수 관정개발을 위한 지하수영향조사</t>
    <phoneticPr fontId="5" type="noConversion"/>
  </si>
  <si>
    <t>개화지구</t>
    <phoneticPr fontId="5" type="noConversion"/>
  </si>
  <si>
    <t>산수개발㈜</t>
    <phoneticPr fontId="5" type="noConversion"/>
  </si>
  <si>
    <t>충청남도 보령시 성주면 개화리 산 52-5</t>
    <phoneticPr fontId="5" type="noConversion"/>
  </si>
  <si>
    <t>공번</t>
    <phoneticPr fontId="5" type="noConversion"/>
  </si>
  <si>
    <t>W-1</t>
    <phoneticPr fontId="5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</si>
  <si>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5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</si>
  <si>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</si>
  <si>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</si>
  <si>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</si>
  <si>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</si>
  <si>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공번2</t>
    <phoneticPr fontId="5" type="noConversion"/>
  </si>
  <si>
    <t>W-2</t>
  </si>
  <si>
    <t>W-3</t>
  </si>
  <si>
    <t>W-4</t>
  </si>
  <si>
    <t>W-5</t>
  </si>
  <si>
    <t>회복수위측정</t>
  </si>
  <si>
    <t>안정수위=</t>
  </si>
  <si>
    <t>공  번 : W - 1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</si>
</sst>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7">
    <numFmt numFmtId="24" formatCode="\$#,##0_);[Red]\(\$#,##0\)"/>
    <numFmt numFmtId="176" formatCode="_(* #,##0_);_(* \(#,##0\);_(* &quot;-&quot;_);_(@_)"/>
    <numFmt numFmtId="177" formatCode="0.0"/>
    <numFmt numFmtId="178" formatCode="0.000"/>
    <numFmt numFmtId="179" formatCode="0\ &quot;m/m&quot;"/>
    <numFmt numFmtId="180" formatCode="0\ &quot;M&quot;"/>
    <numFmt numFmtId="181" formatCode="0.00\ &quot;M&quot;"/>
    <numFmt numFmtId="182" formatCode="0.0\ &quot;M&quot;"/>
    <numFmt numFmtId="183" formatCode="\ 0\ &quot;분&quot;\ "/>
    <numFmt numFmtId="184" formatCode="\ 0.00\ &quot;m&quot;\ "/>
    <numFmt numFmtId="185" formatCode="&quot;마력 :&quot;\ 0&quot; HP&quot;"/>
    <numFmt numFmtId="186" formatCode="h&quot;시&quot;\ mm&quot;분&quot;\ "/>
    <numFmt numFmtId="187" formatCode="\ \ yy\ &quot;년&quot;\ \ \ m&quot; 월&quot;\ \ \ d\ &quot;일&quot;\ \ \ "/>
    <numFmt numFmtId="188" formatCode="0.00_);[Red]\(0.00\)"/>
    <numFmt numFmtId="189" formatCode="\ 0\ "/>
    <numFmt numFmtId="190" formatCode="\ 0\ \ "/>
    <numFmt numFmtId="191" formatCode="\ 0.00\ "/>
    <numFmt numFmtId="192" formatCode="\ 0.00"/>
    <numFmt numFmtId="193" formatCode="\ 0\ &quot;지구&quot;\ "/>
    <numFmt numFmtId="194" formatCode="0.000_ "/>
    <numFmt numFmtId="195" formatCode="0.00_ "/>
    <numFmt numFmtId="196" formatCode="#,##0_ "/>
    <numFmt numFmtId="197" formatCode="0&quot; kg&quot;"/>
    <numFmt numFmtId="198" formatCode="&quot;(&quot;\ 0.0&quot;   일  )&quot;"/>
    <numFmt numFmtId="199" formatCode="&quot;평균심도(&quot;\ 0.0\ &quot;)&quot;\ "/>
    <numFmt numFmtId="200" formatCode="0.0\ &quot;Hp&quot;"/>
    <numFmt numFmtId="201" formatCode="0_ "/>
    <numFmt numFmtId="202" formatCode="\ 0.00000\ "/>
    <numFmt numFmtId="203" formatCode="0.00000"/>
    <numFmt numFmtId="204" formatCode="0.0000"/>
    <numFmt numFmtId="205" formatCode="0.0000000"/>
    <numFmt numFmtId="206" formatCode="_-* #,##0.0_-;\-* #,##0.0_-;_-* &quot;-&quot;_-;_-@_-"/>
    <numFmt numFmtId="207" formatCode="_-* #,##0.0_-;\-* #,##0.0_-;_-* &quot;-&quot;??_-;_-@_-"/>
    <numFmt numFmtId="208" formatCode="#,##0.00;[Red]#,##0.00"/>
    <numFmt numFmtId="209" formatCode="0.0000_ "/>
    <numFmt numFmtId="210" formatCode="_-* #,##0.00_-;&quot;₩&quot;\!\-* #,##0.00_-;_-* &quot;-&quot;??_-;_-@_-"/>
    <numFmt numFmtId="211" formatCode="0.0000000_ "/>
    <numFmt numFmtId="212" formatCode="&quot;t:&quot;0,000"/>
    <numFmt numFmtId="213" formatCode="&quot;  마력 :&quot;\ 0.0&quot; HP&quot;"/>
    <numFmt numFmtId="214" formatCode="#,##0.0_ "/>
    <numFmt numFmtId="215" formatCode="&quot;초기S:&quot;0.0000"/>
    <numFmt numFmtId="216" formatCode="0.0_ "/>
    <numFmt numFmtId="217" formatCode="&quot;s`:&quot;0.00"/>
    <numFmt numFmtId="218" formatCode="0.0\ &quot;도&quot;"/>
    <numFmt numFmtId="219" formatCode="0.000\ &quot;%&quot;"/>
    <numFmt numFmtId="220" formatCode="yyyy&quot;년&quot;\ m&quot;월&quot;\ d&quot;일&quot;;@"/>
    <numFmt numFmtId="221" formatCode="0_);[Red]\(0\)"/>
  </numFmts>
  <fonts count="61" x14ac:knownFonts="1">
    <font>
      <sz val="11"/>
      <name val="돋움"/>
      <family val="3"/>
      <charset val="129"/>
    </font>
    <font>
      <sz val="11"/>
      <name val="돋움"/>
      <family val="3"/>
      <charset val="129"/>
    </font>
    <font>
      <sz val="10"/>
      <color indexed="8"/>
      <name val="굴림체"/>
      <family val="3"/>
      <charset val="129"/>
    </font>
    <font>
      <sz val="18"/>
      <color indexed="8"/>
      <name val="굴림체"/>
      <family val="3"/>
      <charset val="129"/>
    </font>
    <font>
      <sz val="11"/>
      <color indexed="8"/>
      <name val="굴림체"/>
      <family val="3"/>
      <charset val="129"/>
    </font>
    <font>
      <sz val="8"/>
      <name val="돋움"/>
      <family val="3"/>
      <charset val="129"/>
    </font>
    <font>
      <sz val="9"/>
      <name val="굴림체"/>
      <family val="3"/>
      <charset val="129"/>
    </font>
    <font>
      <sz val="11"/>
      <name val="굴림체"/>
      <family val="3"/>
      <charset val="129"/>
    </font>
    <font>
      <sz val="8"/>
      <name val="굴림체"/>
      <family val="3"/>
      <charset val="129"/>
    </font>
    <font>
      <sz val="10"/>
      <color indexed="10"/>
      <name val="굴림체"/>
      <family val="3"/>
      <charset val="129"/>
    </font>
    <font>
      <sz val="10"/>
      <name val="굴림체"/>
      <family val="3"/>
      <charset val="129"/>
    </font>
    <font>
      <sz val="10"/>
      <name val="MS Sans Serif"/>
      <family val="2"/>
    </font>
    <font>
      <b/>
      <sz val="12"/>
      <name val="Arial"/>
      <family val="2"/>
    </font>
    <font>
      <b/>
      <sz val="14"/>
      <color indexed="8"/>
      <name val="굴림체"/>
      <family val="3"/>
      <charset val="129"/>
    </font>
    <font>
      <sz val="9"/>
      <color indexed="10"/>
      <name val="굴림체"/>
      <family val="3"/>
      <charset val="129"/>
    </font>
    <font>
      <sz val="8"/>
      <color indexed="8"/>
      <name val="굴림체"/>
      <family val="3"/>
      <charset val="129"/>
    </font>
    <font>
      <sz val="12"/>
      <name val="바탕체"/>
      <family val="1"/>
      <charset val="129"/>
    </font>
    <font>
      <sz val="8"/>
      <name val="바탕"/>
      <family val="1"/>
      <charset val="129"/>
    </font>
    <font>
      <b/>
      <sz val="26"/>
      <name val="굴림체"/>
      <family val="3"/>
      <charset val="129"/>
    </font>
    <font>
      <sz val="12"/>
      <name val="굴림체"/>
      <family val="3"/>
      <charset val="129"/>
    </font>
    <font>
      <sz val="10"/>
      <color indexed="8"/>
      <name val="굴림"/>
      <family val="3"/>
      <charset val="129"/>
    </font>
    <font>
      <sz val="10"/>
      <color indexed="9"/>
      <name val="굴림"/>
      <family val="3"/>
      <charset val="129"/>
    </font>
    <font>
      <sz val="11"/>
      <color indexed="8"/>
      <name val="돋움체"/>
      <family val="3"/>
      <charset val="129"/>
    </font>
    <font>
      <sz val="11"/>
      <color indexed="9"/>
      <name val="돋움체"/>
      <family val="3"/>
      <charset val="129"/>
    </font>
    <font>
      <sz val="18"/>
      <color indexed="8"/>
      <name val="돋움체"/>
      <family val="3"/>
      <charset val="129"/>
    </font>
    <font>
      <sz val="18"/>
      <color indexed="9"/>
      <name val="돋움"/>
      <family val="3"/>
      <charset val="129"/>
    </font>
    <font>
      <sz val="9"/>
      <color indexed="55"/>
      <name val="굴림체"/>
      <family val="3"/>
      <charset val="129"/>
    </font>
    <font>
      <sz val="11"/>
      <color indexed="55"/>
      <name val="돋움체"/>
      <family val="3"/>
      <charset val="129"/>
    </font>
    <font>
      <sz val="10"/>
      <color indexed="55"/>
      <name val="굴림체"/>
      <family val="3"/>
      <charset val="129"/>
    </font>
    <font>
      <sz val="7"/>
      <name val="굴림체"/>
      <family val="3"/>
      <charset val="129"/>
    </font>
    <font>
      <b/>
      <sz val="16"/>
      <color indexed="8"/>
      <name val="굴림체"/>
      <family val="3"/>
      <charset val="129"/>
    </font>
    <font>
      <sz val="11"/>
      <color rgb="FFFF0000"/>
      <name val="돋움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11"/>
      <color indexed="10"/>
      <name val="맑은 고딕"/>
      <family val="3"/>
      <charset val="129"/>
    </font>
    <font>
      <b/>
      <sz val="11"/>
      <name val="맑은 고딕"/>
      <family val="3"/>
      <charset val="129"/>
    </font>
    <font>
      <sz val="10"/>
      <name val="맑은 고딕"/>
      <family val="3"/>
      <charset val="129"/>
    </font>
    <font>
      <sz val="11"/>
      <color indexed="10"/>
      <name val="맑은 고딕"/>
      <family val="3"/>
      <charset val="129"/>
    </font>
    <font>
      <sz val="11"/>
      <name val="맑은 고딕"/>
      <family val="3"/>
      <charset val="129"/>
      <scheme val="minor"/>
    </font>
    <font>
      <b/>
      <sz val="9"/>
      <color indexed="81"/>
      <name val="돋움"/>
      <family val="3"/>
      <charset val="129"/>
    </font>
    <font>
      <sz val="11"/>
      <color rgb="FF9C0006"/>
      <name val="맑은 고딕"/>
      <family val="2"/>
      <charset val="129"/>
      <scheme val="minor"/>
    </font>
    <font>
      <b/>
      <sz val="11"/>
      <name val="굴림체"/>
      <family val="3"/>
      <charset val="129"/>
    </font>
    <font>
      <sz val="11"/>
      <color rgb="FF000000"/>
      <name val="돋움"/>
      <family val="3"/>
      <charset val="129"/>
    </font>
    <font>
      <sz val="11"/>
      <name val="맑은 고딕"/>
      <family val="3"/>
      <charset val="129"/>
      <scheme val="major"/>
    </font>
    <font>
      <sz val="10"/>
      <color indexed="8"/>
      <name val="맑은 고딕"/>
      <family val="3"/>
      <charset val="129"/>
    </font>
    <font>
      <sz val="9"/>
      <name val="맑은 고딕"/>
      <family val="3"/>
      <charset val="129"/>
    </font>
    <font>
      <sz val="9"/>
      <color indexed="8"/>
      <name val="맑은 고딕"/>
      <family val="3"/>
      <charset val="129"/>
    </font>
    <font>
      <sz val="10"/>
      <color indexed="10"/>
      <name val="맑은 고딕"/>
      <family val="3"/>
      <charset val="129"/>
    </font>
    <font>
      <sz val="9"/>
      <color indexed="10"/>
      <name val="맑은 고딕"/>
      <family val="3"/>
      <charset val="129"/>
    </font>
    <font>
      <sz val="8"/>
      <name val="맑은 고딕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sz val="11"/>
      <color indexed="8"/>
      <name val="Consolas"/>
      <family val="3"/>
    </font>
    <font>
      <sz val="11"/>
      <name val="Consolas"/>
      <family val="3"/>
    </font>
    <font>
      <sz val="11"/>
      <name val="Consolas"/>
      <family val="3"/>
      <charset val="129"/>
    </font>
    <font>
      <b/>
      <sz val="10"/>
      <color theme="0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b/>
      <sz val="10"/>
      <color indexed="8"/>
      <name val="맑은 고딕"/>
      <family val="3"/>
      <charset val="129"/>
    </font>
  </fonts>
  <fills count="28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65"/>
        <bgColor indexed="9"/>
      </patternFill>
    </fill>
    <fill>
      <patternFill patternType="solid">
        <fgColor indexed="43"/>
        <bgColor indexed="8"/>
      </patternFill>
    </fill>
    <fill>
      <patternFill patternType="solid">
        <fgColor indexed="9"/>
        <bgColor indexed="9"/>
      </patternFill>
    </fill>
    <fill>
      <patternFill patternType="solid">
        <fgColor indexed="45"/>
        <bgColor indexed="64"/>
      </patternFill>
    </fill>
    <fill>
      <patternFill patternType="solid">
        <fgColor indexed="65"/>
        <bgColor indexed="8"/>
      </patternFill>
    </fill>
    <fill>
      <patternFill patternType="lightHorizontal">
        <bgColor indexed="41"/>
      </patternFill>
    </fill>
    <fill>
      <patternFill patternType="lightGray">
        <fgColor indexed="9"/>
      </patternFill>
    </fill>
    <fill>
      <patternFill patternType="darkHorizontal">
        <bgColor indexed="50"/>
      </patternFill>
    </fill>
    <fill>
      <patternFill patternType="solid">
        <fgColor indexed="47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0.499984740745262"/>
        <bgColor indexed="64"/>
      </patternFill>
    </fill>
  </fills>
  <borders count="65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</borders>
  <cellStyleXfs count="17">
    <xf numFmtId="0" fontId="0" fillId="0" borderId="0"/>
    <xf numFmtId="24" fontId="11" fillId="0" borderId="0" applyFont="0" applyFill="0" applyBorder="0" applyAlignment="0" applyProtection="0"/>
    <xf numFmtId="199" fontId="1" fillId="0" borderId="0" applyNumberFormat="0" applyFont="0" applyFill="0" applyBorder="0" applyAlignment="0" applyProtection="0"/>
    <xf numFmtId="197" fontId="1" fillId="0" borderId="0" applyNumberFormat="0" applyFont="0" applyFill="0" applyBorder="0" applyAlignment="0" applyProtection="0"/>
    <xf numFmtId="199" fontId="1" fillId="0" borderId="0" applyNumberFormat="0" applyFont="0" applyFill="0" applyBorder="0" applyAlignment="0" applyProtection="0"/>
    <xf numFmtId="197" fontId="1" fillId="0" borderId="0" applyNumberFormat="0" applyFont="0" applyFill="0" applyBorder="0" applyAlignment="0" applyProtection="0"/>
    <xf numFmtId="0" fontId="12" fillId="0" borderId="1" applyNumberFormat="0" applyAlignment="0" applyProtection="0">
      <alignment horizontal="left" vertical="center"/>
    </xf>
    <xf numFmtId="0" fontId="12" fillId="0" borderId="2">
      <alignment horizontal="left" vertical="center"/>
    </xf>
    <xf numFmtId="9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98" fontId="1" fillId="0" borderId="0" applyFont="0" applyFill="0" applyBorder="0" applyAlignment="0" applyProtection="0"/>
    <xf numFmtId="207" fontId="16" fillId="0" borderId="0" applyFont="0" applyFill="0" applyBorder="0" applyAlignment="0" applyProtection="0"/>
    <xf numFmtId="0" fontId="16" fillId="0" borderId="0" applyFont="0" applyFill="0" applyBorder="0" applyAlignment="0" applyProtection="0"/>
    <xf numFmtId="210" fontId="1" fillId="0" borderId="0" applyFont="0" applyFill="0" applyBorder="0" applyAlignment="0" applyProtection="0"/>
    <xf numFmtId="0" fontId="16" fillId="0" borderId="0"/>
    <xf numFmtId="0" fontId="1" fillId="0" borderId="0">
      <alignment vertical="center"/>
    </xf>
    <xf numFmtId="0" fontId="42" fillId="23" borderId="0" applyNumberFormat="0" applyBorder="0" applyAlignment="0" applyProtection="0">
      <alignment vertical="center"/>
    </xf>
  </cellStyleXfs>
  <cellXfs count="465">
    <xf numFmtId="0" fontId="0" fillId="0" borderId="0" xfId="0"/>
    <xf numFmtId="0" fontId="3" fillId="0" borderId="0" xfId="0" applyFont="1" applyAlignment="1">
      <alignment horizontal="centerContinuous" vertical="top"/>
    </xf>
    <xf numFmtId="0" fontId="2" fillId="0" borderId="0" xfId="0" applyFont="1" applyAlignment="1">
      <alignment vertical="top"/>
    </xf>
    <xf numFmtId="0" fontId="2" fillId="0" borderId="0" xfId="0" applyFont="1" applyAlignment="1">
      <alignment vertical="center"/>
    </xf>
    <xf numFmtId="0" fontId="2" fillId="0" borderId="0" xfId="0" applyFont="1"/>
    <xf numFmtId="0" fontId="2" fillId="0" borderId="0" xfId="0" applyFont="1" applyAlignment="1">
      <alignment horizontal="center"/>
    </xf>
    <xf numFmtId="177" fontId="2" fillId="0" borderId="0" xfId="0" applyNumberFormat="1" applyFont="1" applyAlignment="1">
      <alignment vertical="center"/>
    </xf>
    <xf numFmtId="184" fontId="2" fillId="0" borderId="0" xfId="0" applyNumberFormat="1" applyFont="1" applyAlignment="1">
      <alignment vertical="center"/>
    </xf>
    <xf numFmtId="184" fontId="0" fillId="0" borderId="0" xfId="0" applyNumberFormat="1"/>
    <xf numFmtId="181" fontId="2" fillId="0" borderId="0" xfId="0" applyNumberFormat="1" applyFont="1" applyAlignment="1">
      <alignment vertical="center"/>
    </xf>
    <xf numFmtId="2" fontId="2" fillId="0" borderId="0" xfId="0" applyNumberFormat="1" applyFont="1" applyAlignment="1">
      <alignment vertical="center"/>
    </xf>
    <xf numFmtId="0" fontId="2" fillId="0" borderId="0" xfId="0" applyFont="1" applyAlignment="1">
      <alignment horizontal="center" vertical="center"/>
    </xf>
    <xf numFmtId="183" fontId="2" fillId="0" borderId="0" xfId="0" applyNumberFormat="1" applyFont="1" applyAlignment="1">
      <alignment vertical="center"/>
    </xf>
    <xf numFmtId="188" fontId="2" fillId="0" borderId="0" xfId="0" applyNumberFormat="1" applyFont="1" applyAlignment="1">
      <alignment vertical="center"/>
    </xf>
    <xf numFmtId="1" fontId="2" fillId="0" borderId="0" xfId="0" applyNumberFormat="1" applyFont="1" applyAlignment="1">
      <alignment vertical="center"/>
    </xf>
    <xf numFmtId="0" fontId="2" fillId="0" borderId="0" xfId="0" applyFont="1" applyAlignment="1">
      <alignment horizontal="right" vertical="center"/>
    </xf>
    <xf numFmtId="183" fontId="2" fillId="0" borderId="0" xfId="0" applyNumberFormat="1" applyFont="1" applyAlignment="1">
      <alignment horizontal="right"/>
    </xf>
    <xf numFmtId="0" fontId="6" fillId="0" borderId="0" xfId="0" applyFont="1"/>
    <xf numFmtId="0" fontId="7" fillId="0" borderId="0" xfId="0" applyFont="1"/>
    <xf numFmtId="2" fontId="6" fillId="0" borderId="0" xfId="0" applyNumberFormat="1" applyFont="1"/>
    <xf numFmtId="1" fontId="6" fillId="0" borderId="0" xfId="0" applyNumberFormat="1" applyFont="1"/>
    <xf numFmtId="178" fontId="6" fillId="0" borderId="0" xfId="0" applyNumberFormat="1" applyFont="1"/>
    <xf numFmtId="0" fontId="6" fillId="0" borderId="0" xfId="0" applyFont="1" applyAlignment="1">
      <alignment horizontal="center"/>
    </xf>
    <xf numFmtId="177" fontId="6" fillId="0" borderId="0" xfId="0" applyNumberFormat="1" applyFont="1"/>
    <xf numFmtId="0" fontId="8" fillId="0" borderId="0" xfId="0" applyFont="1" applyAlignment="1">
      <alignment horizontal="center"/>
    </xf>
    <xf numFmtId="0" fontId="6" fillId="0" borderId="0" xfId="0" applyFont="1" applyAlignment="1">
      <alignment horizontal="right"/>
    </xf>
    <xf numFmtId="0" fontId="7" fillId="0" borderId="0" xfId="0" applyFont="1" applyAlignment="1">
      <alignment horizontal="right"/>
    </xf>
    <xf numFmtId="9" fontId="6" fillId="0" borderId="0" xfId="8" applyFont="1"/>
    <xf numFmtId="0" fontId="8" fillId="0" borderId="0" xfId="0" applyFont="1" applyAlignment="1">
      <alignment horizontal="right"/>
    </xf>
    <xf numFmtId="0" fontId="2" fillId="2" borderId="0" xfId="0" applyFont="1" applyFill="1" applyAlignment="1">
      <alignment vertical="center"/>
    </xf>
    <xf numFmtId="0" fontId="2" fillId="2" borderId="0" xfId="0" applyFont="1" applyFill="1" applyAlignment="1">
      <alignment horizontal="center"/>
    </xf>
    <xf numFmtId="0" fontId="2" fillId="2" borderId="0" xfId="0" applyFont="1" applyFill="1"/>
    <xf numFmtId="0" fontId="6" fillId="2" borderId="0" xfId="0" applyFont="1" applyFill="1"/>
    <xf numFmtId="192" fontId="2" fillId="0" borderId="0" xfId="0" applyNumberFormat="1" applyFont="1" applyAlignment="1">
      <alignment horizontal="center" vertical="center"/>
    </xf>
    <xf numFmtId="192" fontId="2" fillId="2" borderId="0" xfId="0" applyNumberFormat="1" applyFont="1" applyFill="1" applyAlignment="1">
      <alignment horizontal="center" vertical="center"/>
    </xf>
    <xf numFmtId="2" fontId="2" fillId="0" borderId="0" xfId="0" applyNumberFormat="1" applyFont="1" applyAlignment="1">
      <alignment horizontal="center" vertical="center"/>
    </xf>
    <xf numFmtId="0" fontId="9" fillId="0" borderId="0" xfId="0" applyFont="1" applyAlignment="1">
      <alignment vertical="center"/>
    </xf>
    <xf numFmtId="0" fontId="6" fillId="0" borderId="3" xfId="0" applyFont="1" applyBorder="1"/>
    <xf numFmtId="0" fontId="6" fillId="0" borderId="3" xfId="0" applyFont="1" applyBorder="1" applyAlignment="1">
      <alignment horizontal="center"/>
    </xf>
    <xf numFmtId="0" fontId="6" fillId="2" borderId="3" xfId="0" applyFont="1" applyFill="1" applyBorder="1" applyAlignment="1">
      <alignment horizontal="center"/>
    </xf>
    <xf numFmtId="0" fontId="6" fillId="3" borderId="3" xfId="0" applyFont="1" applyFill="1" applyBorder="1" applyAlignment="1">
      <alignment horizontal="center"/>
    </xf>
    <xf numFmtId="0" fontId="8" fillId="3" borderId="0" xfId="0" applyFont="1" applyFill="1" applyAlignment="1">
      <alignment horizontal="center"/>
    </xf>
    <xf numFmtId="0" fontId="6" fillId="3" borderId="0" xfId="0" applyFont="1" applyFill="1"/>
    <xf numFmtId="0" fontId="7" fillId="0" borderId="3" xfId="0" applyFont="1" applyBorder="1"/>
    <xf numFmtId="0" fontId="7" fillId="2" borderId="3" xfId="0" applyFont="1" applyFill="1" applyBorder="1"/>
    <xf numFmtId="0" fontId="7" fillId="4" borderId="3" xfId="0" applyFont="1" applyFill="1" applyBorder="1"/>
    <xf numFmtId="2" fontId="6" fillId="2" borderId="0" xfId="0" applyNumberFormat="1" applyFont="1" applyFill="1"/>
    <xf numFmtId="0" fontId="6" fillId="2" borderId="0" xfId="0" applyFont="1" applyFill="1" applyAlignment="1">
      <alignment horizontal="right"/>
    </xf>
    <xf numFmtId="0" fontId="7" fillId="0" borderId="3" xfId="0" applyFont="1" applyBorder="1" applyAlignment="1">
      <alignment horizontal="center"/>
    </xf>
    <xf numFmtId="0" fontId="7" fillId="0" borderId="3" xfId="0" applyFont="1" applyBorder="1" applyAlignment="1">
      <alignment horizontal="right"/>
    </xf>
    <xf numFmtId="177" fontId="7" fillId="0" borderId="3" xfId="0" applyNumberFormat="1" applyFont="1" applyBorder="1"/>
    <xf numFmtId="0" fontId="10" fillId="0" borderId="3" xfId="0" applyFont="1" applyBorder="1" applyAlignment="1">
      <alignment horizontal="center"/>
    </xf>
    <xf numFmtId="0" fontId="7" fillId="4" borderId="3" xfId="0" applyFont="1" applyFill="1" applyBorder="1" applyAlignment="1">
      <alignment horizontal="center"/>
    </xf>
    <xf numFmtId="0" fontId="2" fillId="0" borderId="3" xfId="0" applyFont="1" applyBorder="1" applyAlignment="1">
      <alignment horizontal="centerContinuous" vertical="center"/>
    </xf>
    <xf numFmtId="0" fontId="2" fillId="0" borderId="3" xfId="0" applyFont="1" applyBorder="1" applyAlignment="1">
      <alignment vertical="center"/>
    </xf>
    <xf numFmtId="186" fontId="2" fillId="0" borderId="3" xfId="0" applyNumberFormat="1" applyFont="1" applyBorder="1" applyAlignment="1">
      <alignment vertical="center"/>
    </xf>
    <xf numFmtId="0" fontId="2" fillId="0" borderId="4" xfId="0" applyFont="1" applyBorder="1" applyAlignment="1">
      <alignment horizontal="left" vertical="center"/>
    </xf>
    <xf numFmtId="0" fontId="2" fillId="0" borderId="2" xfId="0" applyFont="1" applyBorder="1" applyAlignment="1">
      <alignment vertical="center"/>
    </xf>
    <xf numFmtId="0" fontId="2" fillId="0" borderId="2" xfId="0" applyFont="1" applyBorder="1" applyAlignment="1">
      <alignment horizontal="centerContinuous" vertical="center"/>
    </xf>
    <xf numFmtId="0" fontId="2" fillId="0" borderId="4" xfId="0" applyFont="1" applyBorder="1" applyAlignment="1">
      <alignment vertical="center"/>
    </xf>
    <xf numFmtId="184" fontId="2" fillId="0" borderId="0" xfId="0" applyNumberFormat="1" applyFont="1" applyAlignment="1">
      <alignment horizontal="centerContinuous"/>
    </xf>
    <xf numFmtId="1" fontId="2" fillId="0" borderId="3" xfId="0" applyNumberFormat="1" applyFont="1" applyBorder="1" applyAlignment="1">
      <alignment vertical="center"/>
    </xf>
    <xf numFmtId="189" fontId="2" fillId="0" borderId="0" xfId="0" applyNumberFormat="1" applyFont="1" applyAlignment="1">
      <alignment vertical="center"/>
    </xf>
    <xf numFmtId="192" fontId="2" fillId="0" borderId="0" xfId="0" applyNumberFormat="1" applyFont="1" applyAlignment="1">
      <alignment vertical="center"/>
    </xf>
    <xf numFmtId="2" fontId="2" fillId="2" borderId="0" xfId="0" applyNumberFormat="1" applyFont="1" applyFill="1" applyAlignment="1">
      <alignment vertical="center"/>
    </xf>
    <xf numFmtId="189" fontId="2" fillId="0" borderId="0" xfId="0" applyNumberFormat="1" applyFont="1" applyAlignment="1">
      <alignment horizontal="right"/>
    </xf>
    <xf numFmtId="202" fontId="2" fillId="0" borderId="0" xfId="0" applyNumberFormat="1" applyFont="1" applyAlignment="1">
      <alignment vertical="center"/>
    </xf>
    <xf numFmtId="203" fontId="2" fillId="0" borderId="0" xfId="0" applyNumberFormat="1" applyFont="1" applyAlignment="1">
      <alignment vertical="center"/>
    </xf>
    <xf numFmtId="189" fontId="2" fillId="0" borderId="0" xfId="0" applyNumberFormat="1" applyFont="1" applyAlignment="1">
      <alignment horizontal="right" vertical="center"/>
    </xf>
    <xf numFmtId="0" fontId="0" fillId="0" borderId="0" xfId="0" applyAlignment="1">
      <alignment horizontal="right"/>
    </xf>
    <xf numFmtId="196" fontId="0" fillId="0" borderId="0" xfId="0" applyNumberFormat="1"/>
    <xf numFmtId="0" fontId="0" fillId="0" borderId="3" xfId="0" applyBorder="1" applyAlignment="1">
      <alignment horizontal="center"/>
    </xf>
    <xf numFmtId="0" fontId="0" fillId="0" borderId="3" xfId="0" applyBorder="1"/>
    <xf numFmtId="177" fontId="0" fillId="0" borderId="3" xfId="0" applyNumberFormat="1" applyBorder="1"/>
    <xf numFmtId="0" fontId="0" fillId="0" borderId="0" xfId="0" applyAlignment="1">
      <alignment horizontal="center"/>
    </xf>
    <xf numFmtId="177" fontId="0" fillId="0" borderId="0" xfId="0" applyNumberFormat="1"/>
    <xf numFmtId="0" fontId="13" fillId="0" borderId="0" xfId="0" applyFont="1"/>
    <xf numFmtId="0" fontId="0" fillId="0" borderId="0" xfId="0" applyAlignment="1">
      <alignment horizontal="left"/>
    </xf>
    <xf numFmtId="2" fontId="0" fillId="0" borderId="0" xfId="0" applyNumberFormat="1" applyAlignment="1">
      <alignment horizontal="left"/>
    </xf>
    <xf numFmtId="1" fontId="0" fillId="0" borderId="0" xfId="0" applyNumberFormat="1" applyAlignment="1">
      <alignment horizontal="left"/>
    </xf>
    <xf numFmtId="204" fontId="0" fillId="0" borderId="0" xfId="0" applyNumberFormat="1" applyAlignment="1">
      <alignment horizontal="left"/>
    </xf>
    <xf numFmtId="178" fontId="0" fillId="0" borderId="0" xfId="0" applyNumberFormat="1" applyAlignment="1">
      <alignment horizontal="left"/>
    </xf>
    <xf numFmtId="0" fontId="6" fillId="0" borderId="4" xfId="0" applyFont="1" applyBorder="1" applyAlignment="1">
      <alignment horizontal="center"/>
    </xf>
    <xf numFmtId="178" fontId="2" fillId="5" borderId="0" xfId="0" applyNumberFormat="1" applyFont="1" applyFill="1" applyAlignment="1">
      <alignment vertical="center"/>
    </xf>
    <xf numFmtId="0" fontId="14" fillId="0" borderId="0" xfId="0" applyFont="1"/>
    <xf numFmtId="2" fontId="14" fillId="0" borderId="0" xfId="0" applyNumberFormat="1" applyFont="1"/>
    <xf numFmtId="1" fontId="6" fillId="0" borderId="3" xfId="0" applyNumberFormat="1" applyFont="1" applyBorder="1"/>
    <xf numFmtId="1" fontId="14" fillId="0" borderId="3" xfId="0" applyNumberFormat="1" applyFont="1" applyBorder="1"/>
    <xf numFmtId="2" fontId="14" fillId="0" borderId="3" xfId="0" applyNumberFormat="1" applyFont="1" applyBorder="1"/>
    <xf numFmtId="2" fontId="6" fillId="0" borderId="3" xfId="0" applyNumberFormat="1" applyFont="1" applyBorder="1"/>
    <xf numFmtId="0" fontId="6" fillId="0" borderId="5" xfId="0" applyFont="1" applyBorder="1"/>
    <xf numFmtId="1" fontId="14" fillId="0" borderId="4" xfId="0" applyNumberFormat="1" applyFont="1" applyBorder="1"/>
    <xf numFmtId="0" fontId="6" fillId="6" borderId="3" xfId="0" applyFont="1" applyFill="1" applyBorder="1"/>
    <xf numFmtId="0" fontId="6" fillId="2" borderId="3" xfId="0" applyFont="1" applyFill="1" applyBorder="1"/>
    <xf numFmtId="188" fontId="0" fillId="0" borderId="0" xfId="0" applyNumberFormat="1"/>
    <xf numFmtId="194" fontId="2" fillId="2" borderId="0" xfId="0" applyNumberFormat="1" applyFont="1" applyFill="1" applyAlignment="1">
      <alignment vertical="center"/>
    </xf>
    <xf numFmtId="194" fontId="2" fillId="0" borderId="0" xfId="0" applyNumberFormat="1" applyFont="1"/>
    <xf numFmtId="194" fontId="2" fillId="2" borderId="0" xfId="0" applyNumberFormat="1" applyFont="1" applyFill="1"/>
    <xf numFmtId="194" fontId="2" fillId="0" borderId="0" xfId="0" applyNumberFormat="1" applyFont="1" applyAlignment="1">
      <alignment horizontal="center" vertical="center"/>
    </xf>
    <xf numFmtId="194" fontId="2" fillId="0" borderId="0" xfId="0" applyNumberFormat="1" applyFont="1" applyAlignment="1">
      <alignment vertical="center"/>
    </xf>
    <xf numFmtId="0" fontId="7" fillId="0" borderId="6" xfId="0" applyFont="1" applyBorder="1" applyAlignment="1">
      <alignment horizontal="center"/>
    </xf>
    <xf numFmtId="0" fontId="7" fillId="0" borderId="7" xfId="0" applyFont="1" applyBorder="1"/>
    <xf numFmtId="0" fontId="7" fillId="0" borderId="8" xfId="0" applyFont="1" applyBorder="1"/>
    <xf numFmtId="0" fontId="7" fillId="0" borderId="9" xfId="0" applyFont="1" applyBorder="1"/>
    <xf numFmtId="176" fontId="7" fillId="0" borderId="8" xfId="9" applyFont="1" applyBorder="1"/>
    <xf numFmtId="176" fontId="7" fillId="0" borderId="9" xfId="9" applyFont="1" applyBorder="1"/>
    <xf numFmtId="0" fontId="7" fillId="0" borderId="7" xfId="0" applyFont="1" applyBorder="1" applyAlignment="1">
      <alignment horizontal="right"/>
    </xf>
    <xf numFmtId="176" fontId="7" fillId="0" borderId="8" xfId="0" applyNumberFormat="1" applyFont="1" applyBorder="1"/>
    <xf numFmtId="206" fontId="7" fillId="0" borderId="8" xfId="0" applyNumberFormat="1" applyFont="1" applyBorder="1"/>
    <xf numFmtId="176" fontId="7" fillId="0" borderId="9" xfId="0" applyNumberFormat="1" applyFont="1" applyBorder="1"/>
    <xf numFmtId="0" fontId="7" fillId="2" borderId="10" xfId="0" applyFont="1" applyFill="1" applyBorder="1"/>
    <xf numFmtId="176" fontId="7" fillId="0" borderId="11" xfId="0" applyNumberFormat="1" applyFont="1" applyBorder="1"/>
    <xf numFmtId="207" fontId="7" fillId="0" borderId="11" xfId="0" applyNumberFormat="1" applyFont="1" applyBorder="1"/>
    <xf numFmtId="176" fontId="7" fillId="0" borderId="12" xfId="0" applyNumberFormat="1" applyFont="1" applyBorder="1"/>
    <xf numFmtId="0" fontId="7" fillId="0" borderId="13" xfId="0" applyFont="1" applyBorder="1" applyAlignment="1">
      <alignment horizontal="center"/>
    </xf>
    <xf numFmtId="0" fontId="6" fillId="4" borderId="0" xfId="0" applyFont="1" applyFill="1"/>
    <xf numFmtId="0" fontId="19" fillId="0" borderId="0" xfId="14" applyFont="1"/>
    <xf numFmtId="0" fontId="7" fillId="0" borderId="14" xfId="14" applyFont="1" applyBorder="1" applyAlignment="1">
      <alignment horizontal="centerContinuous" vertical="center"/>
    </xf>
    <xf numFmtId="0" fontId="7" fillId="0" borderId="14" xfId="14" applyFont="1" applyBorder="1" applyAlignment="1">
      <alignment horizontal="centerContinuous"/>
    </xf>
    <xf numFmtId="0" fontId="7" fillId="0" borderId="14" xfId="14" quotePrefix="1" applyFont="1" applyBorder="1" applyAlignment="1">
      <alignment horizontal="centerContinuous" vertical="center"/>
    </xf>
    <xf numFmtId="0" fontId="7" fillId="0" borderId="14" xfId="14" applyFont="1" applyBorder="1" applyAlignment="1">
      <alignment horizontal="center" vertical="top"/>
    </xf>
    <xf numFmtId="0" fontId="7" fillId="0" borderId="15" xfId="14" applyFont="1" applyBorder="1" applyAlignment="1">
      <alignment horizontal="center" vertical="center"/>
    </xf>
    <xf numFmtId="0" fontId="7" fillId="0" borderId="16" xfId="14" applyFont="1" applyBorder="1" applyAlignment="1">
      <alignment horizontal="left" vertical="center"/>
    </xf>
    <xf numFmtId="0" fontId="7" fillId="0" borderId="17" xfId="14" applyFont="1" applyBorder="1" applyAlignment="1">
      <alignment horizontal="left" vertical="center"/>
    </xf>
    <xf numFmtId="0" fontId="16" fillId="0" borderId="18" xfId="14" applyBorder="1"/>
    <xf numFmtId="0" fontId="7" fillId="0" borderId="19" xfId="14" applyFont="1" applyBorder="1" applyAlignment="1">
      <alignment horizontal="left" vertical="center"/>
    </xf>
    <xf numFmtId="0" fontId="7" fillId="0" borderId="20" xfId="14" applyFont="1" applyBorder="1" applyAlignment="1">
      <alignment horizontal="center" vertical="center"/>
    </xf>
    <xf numFmtId="0" fontId="7" fillId="0" borderId="3" xfId="14" applyFont="1" applyBorder="1" applyAlignment="1">
      <alignment horizontal="center" vertical="center"/>
    </xf>
    <xf numFmtId="0" fontId="7" fillId="0" borderId="3" xfId="14" applyFont="1" applyBorder="1" applyAlignment="1">
      <alignment horizontal="centerContinuous" vertical="center"/>
    </xf>
    <xf numFmtId="0" fontId="7" fillId="0" borderId="4" xfId="14" quotePrefix="1" applyFont="1" applyBorder="1" applyAlignment="1">
      <alignment horizontal="centerContinuous" vertical="center"/>
    </xf>
    <xf numFmtId="0" fontId="7" fillId="0" borderId="4" xfId="14" applyFont="1" applyBorder="1" applyAlignment="1">
      <alignment horizontal="centerContinuous" vertical="center"/>
    </xf>
    <xf numFmtId="0" fontId="7" fillId="0" borderId="21" xfId="14" applyFont="1" applyBorder="1" applyAlignment="1">
      <alignment horizontal="centerContinuous" vertical="center"/>
    </xf>
    <xf numFmtId="0" fontId="7" fillId="0" borderId="22" xfId="14" quotePrefix="1" applyFont="1" applyBorder="1" applyAlignment="1">
      <alignment horizontal="center" vertical="center"/>
    </xf>
    <xf numFmtId="0" fontId="7" fillId="0" borderId="23" xfId="14" quotePrefix="1" applyFont="1" applyBorder="1" applyAlignment="1">
      <alignment horizontal="center" vertical="center"/>
    </xf>
    <xf numFmtId="0" fontId="7" fillId="0" borderId="0" xfId="14" quotePrefix="1" applyFont="1" applyAlignment="1">
      <alignment horizontal="centerContinuous" vertical="center"/>
    </xf>
    <xf numFmtId="0" fontId="7" fillId="0" borderId="24" xfId="14" applyFont="1" applyBorder="1" applyAlignment="1">
      <alignment horizontal="centerContinuous" vertical="center"/>
    </xf>
    <xf numFmtId="0" fontId="7" fillId="0" borderId="25" xfId="14" applyFont="1" applyBorder="1" applyAlignment="1">
      <alignment horizontal="centerContinuous" vertical="center"/>
    </xf>
    <xf numFmtId="0" fontId="7" fillId="0" borderId="22" xfId="14" applyFont="1" applyBorder="1" applyAlignment="1">
      <alignment vertical="center"/>
    </xf>
    <xf numFmtId="0" fontId="7" fillId="0" borderId="23" xfId="14" applyFont="1" applyBorder="1" applyAlignment="1">
      <alignment vertical="center"/>
    </xf>
    <xf numFmtId="0" fontId="7" fillId="0" borderId="0" xfId="14" applyFont="1" applyAlignment="1">
      <alignment vertical="center"/>
    </xf>
    <xf numFmtId="0" fontId="7" fillId="0" borderId="0" xfId="14" quotePrefix="1" applyFont="1" applyAlignment="1">
      <alignment horizontal="center" vertical="top"/>
    </xf>
    <xf numFmtId="0" fontId="7" fillId="8" borderId="24" xfId="14" applyFont="1" applyFill="1" applyBorder="1" applyAlignment="1">
      <alignment vertical="center"/>
    </xf>
    <xf numFmtId="0" fontId="7" fillId="0" borderId="25" xfId="14" applyFont="1" applyBorder="1" applyAlignment="1">
      <alignment vertical="center"/>
    </xf>
    <xf numFmtId="0" fontId="7" fillId="4" borderId="0" xfId="14" applyFont="1" applyFill="1" applyAlignment="1">
      <alignment vertical="center"/>
    </xf>
    <xf numFmtId="0" fontId="7" fillId="0" borderId="0" xfId="14" applyFont="1" applyAlignment="1">
      <alignment horizontal="center" vertical="top"/>
    </xf>
    <xf numFmtId="0" fontId="10" fillId="0" borderId="24" xfId="14" applyFont="1" applyBorder="1" applyAlignment="1">
      <alignment horizontal="left" vertical="center"/>
    </xf>
    <xf numFmtId="0" fontId="7" fillId="0" borderId="25" xfId="14" applyFont="1" applyBorder="1" applyAlignment="1">
      <alignment horizontal="right" vertical="center"/>
    </xf>
    <xf numFmtId="177" fontId="7" fillId="0" borderId="22" xfId="14" applyNumberFormat="1" applyFont="1" applyBorder="1"/>
    <xf numFmtId="0" fontId="7" fillId="0" borderId="26" xfId="14" applyFont="1" applyBorder="1" applyAlignment="1">
      <alignment vertical="center"/>
    </xf>
    <xf numFmtId="0" fontId="7" fillId="4" borderId="26" xfId="14" applyFont="1" applyFill="1" applyBorder="1" applyAlignment="1">
      <alignment horizontal="center" vertical="center"/>
    </xf>
    <xf numFmtId="0" fontId="7" fillId="0" borderId="14" xfId="14" applyFont="1" applyBorder="1" applyAlignment="1">
      <alignment vertical="center"/>
    </xf>
    <xf numFmtId="0" fontId="7" fillId="0" borderId="0" xfId="14" applyFont="1" applyAlignment="1">
      <alignment horizontal="center" vertical="center"/>
    </xf>
    <xf numFmtId="0" fontId="10" fillId="0" borderId="24" xfId="14" applyFont="1" applyBorder="1" applyAlignment="1">
      <alignment horizontal="center" vertical="center"/>
    </xf>
    <xf numFmtId="177" fontId="7" fillId="0" borderId="26" xfId="14" applyNumberFormat="1" applyFont="1" applyBorder="1" applyAlignment="1">
      <alignment horizontal="center" vertical="center"/>
    </xf>
    <xf numFmtId="0" fontId="7" fillId="9" borderId="26" xfId="14" applyFont="1" applyFill="1" applyBorder="1" applyAlignment="1">
      <alignment vertical="center"/>
    </xf>
    <xf numFmtId="0" fontId="7" fillId="0" borderId="26" xfId="14" applyFont="1" applyBorder="1" applyAlignment="1">
      <alignment horizontal="center" vertical="center"/>
    </xf>
    <xf numFmtId="0" fontId="7" fillId="0" borderId="3" xfId="14" applyFont="1" applyBorder="1" applyAlignment="1">
      <alignment vertical="center"/>
    </xf>
    <xf numFmtId="0" fontId="7" fillId="10" borderId="0" xfId="14" applyFont="1" applyFill="1" applyAlignment="1">
      <alignment vertical="center"/>
    </xf>
    <xf numFmtId="0" fontId="10" fillId="0" borderId="24" xfId="14" applyFont="1" applyBorder="1" applyAlignment="1">
      <alignment vertical="center"/>
    </xf>
    <xf numFmtId="177" fontId="7" fillId="0" borderId="27" xfId="14" applyNumberFormat="1" applyFont="1" applyBorder="1" applyAlignment="1">
      <alignment horizontal="center" vertical="justify"/>
    </xf>
    <xf numFmtId="0" fontId="7" fillId="11" borderId="27" xfId="14" applyFont="1" applyFill="1" applyBorder="1" applyAlignment="1">
      <alignment vertical="center"/>
    </xf>
    <xf numFmtId="0" fontId="7" fillId="0" borderId="27" xfId="14" applyFont="1" applyBorder="1" applyAlignment="1">
      <alignment horizontal="center" vertical="center"/>
    </xf>
    <xf numFmtId="0" fontId="7" fillId="0" borderId="27" xfId="14" applyFont="1" applyBorder="1" applyAlignment="1">
      <alignment vertical="center"/>
    </xf>
    <xf numFmtId="0" fontId="7" fillId="0" borderId="24" xfId="14" applyFont="1" applyBorder="1" applyAlignment="1">
      <alignment vertical="center"/>
    </xf>
    <xf numFmtId="177" fontId="7" fillId="0" borderId="26" xfId="14" applyNumberFormat="1" applyFont="1" applyBorder="1" applyAlignment="1">
      <alignment horizontal="center" vertical="justify"/>
    </xf>
    <xf numFmtId="0" fontId="7" fillId="11" borderId="26" xfId="14" applyFont="1" applyFill="1" applyBorder="1" applyAlignment="1">
      <alignment vertical="center"/>
    </xf>
    <xf numFmtId="0" fontId="7" fillId="0" borderId="26" xfId="14" applyFont="1" applyBorder="1" applyAlignment="1">
      <alignment horizontal="center" vertical="top"/>
    </xf>
    <xf numFmtId="0" fontId="7" fillId="10" borderId="14" xfId="14" applyFont="1" applyFill="1" applyBorder="1" applyAlignment="1">
      <alignment vertical="center"/>
    </xf>
    <xf numFmtId="177" fontId="7" fillId="12" borderId="22" xfId="14" applyNumberFormat="1" applyFont="1" applyFill="1" applyBorder="1"/>
    <xf numFmtId="177" fontId="7" fillId="4" borderId="26" xfId="14" applyNumberFormat="1" applyFont="1" applyFill="1" applyBorder="1" applyAlignment="1">
      <alignment horizontal="center" vertical="center"/>
    </xf>
    <xf numFmtId="0" fontId="7" fillId="13" borderId="26" xfId="14" applyFont="1" applyFill="1" applyBorder="1" applyAlignment="1">
      <alignment vertical="center"/>
    </xf>
    <xf numFmtId="0" fontId="4" fillId="14" borderId="26" xfId="14" quotePrefix="1" applyFont="1" applyFill="1" applyBorder="1" applyAlignment="1">
      <alignment horizontal="center" vertical="center"/>
    </xf>
    <xf numFmtId="0" fontId="7" fillId="0" borderId="28" xfId="14" applyFont="1" applyBorder="1" applyAlignment="1">
      <alignment horizontal="center" vertical="center"/>
    </xf>
    <xf numFmtId="0" fontId="7" fillId="0" borderId="0" xfId="14" applyFont="1" applyAlignment="1">
      <alignment horizontal="left" vertical="center"/>
    </xf>
    <xf numFmtId="177" fontId="7" fillId="0" borderId="29" xfId="14" applyNumberFormat="1" applyFont="1" applyBorder="1"/>
    <xf numFmtId="0" fontId="7" fillId="15" borderId="26" xfId="14" applyFont="1" applyFill="1" applyBorder="1" applyAlignment="1">
      <alignment vertical="center"/>
    </xf>
    <xf numFmtId="0" fontId="7" fillId="0" borderId="30" xfId="14" applyFont="1" applyBorder="1" applyAlignment="1">
      <alignment vertical="center"/>
    </xf>
    <xf numFmtId="0" fontId="7" fillId="0" borderId="14" xfId="14" applyFont="1" applyBorder="1" applyAlignment="1">
      <alignment horizontal="center" vertical="center"/>
    </xf>
    <xf numFmtId="0" fontId="7" fillId="0" borderId="31" xfId="14" applyFont="1" applyBorder="1"/>
    <xf numFmtId="0" fontId="7" fillId="0" borderId="32" xfId="14" applyFont="1" applyBorder="1" applyAlignment="1">
      <alignment vertical="center"/>
    </xf>
    <xf numFmtId="0" fontId="7" fillId="0" borderId="33" xfId="14" applyFont="1" applyBorder="1" applyAlignment="1">
      <alignment vertical="center"/>
    </xf>
    <xf numFmtId="0" fontId="7" fillId="0" borderId="34" xfId="14" applyFont="1" applyBorder="1" applyAlignment="1">
      <alignment vertical="center"/>
    </xf>
    <xf numFmtId="0" fontId="7" fillId="0" borderId="35" xfId="14" applyFont="1" applyBorder="1" applyAlignment="1">
      <alignment vertical="center"/>
    </xf>
    <xf numFmtId="0" fontId="16" fillId="0" borderId="0" xfId="14"/>
    <xf numFmtId="194" fontId="14" fillId="0" borderId="0" xfId="0" applyNumberFormat="1" applyFont="1" applyAlignment="1">
      <alignment horizontal="right"/>
    </xf>
    <xf numFmtId="188" fontId="6" fillId="0" borderId="0" xfId="0" applyNumberFormat="1" applyFont="1"/>
    <xf numFmtId="0" fontId="20" fillId="0" borderId="3" xfId="0" applyFont="1" applyBorder="1" applyAlignment="1">
      <alignment horizontal="center" vertical="center" wrapText="1"/>
    </xf>
    <xf numFmtId="189" fontId="2" fillId="0" borderId="4" xfId="0" applyNumberFormat="1" applyFont="1" applyBorder="1" applyAlignment="1">
      <alignment horizontal="right" vertical="center"/>
    </xf>
    <xf numFmtId="192" fontId="2" fillId="0" borderId="3" xfId="0" applyNumberFormat="1" applyFont="1" applyBorder="1" applyAlignment="1">
      <alignment vertical="center"/>
    </xf>
    <xf numFmtId="0" fontId="20" fillId="0" borderId="3" xfId="0" applyFont="1" applyBorder="1" applyAlignment="1">
      <alignment horizontal="centerContinuous" vertical="center"/>
    </xf>
    <xf numFmtId="0" fontId="20" fillId="0" borderId="2" xfId="0" applyFont="1" applyBorder="1" applyAlignment="1">
      <alignment vertical="center"/>
    </xf>
    <xf numFmtId="0" fontId="20" fillId="0" borderId="36" xfId="0" applyFont="1" applyBorder="1" applyAlignment="1">
      <alignment horizontal="center" vertical="center"/>
    </xf>
    <xf numFmtId="0" fontId="20" fillId="0" borderId="2" xfId="0" applyFont="1" applyBorder="1" applyAlignment="1">
      <alignment horizontal="right" vertical="center"/>
    </xf>
    <xf numFmtId="0" fontId="20" fillId="0" borderId="2" xfId="0" applyFont="1" applyBorder="1" applyAlignment="1">
      <alignment horizontal="centerContinuous" vertical="center"/>
    </xf>
    <xf numFmtId="0" fontId="20" fillId="0" borderId="36" xfId="0" applyFont="1" applyBorder="1" applyAlignment="1">
      <alignment horizontal="centerContinuous" vertical="center"/>
    </xf>
    <xf numFmtId="0" fontId="21" fillId="0" borderId="2" xfId="0" applyFont="1" applyBorder="1" applyAlignment="1">
      <alignment horizontal="center" vertical="center"/>
    </xf>
    <xf numFmtId="187" fontId="21" fillId="0" borderId="36" xfId="0" applyNumberFormat="1" applyFont="1" applyBorder="1" applyAlignment="1">
      <alignment horizontal="centerContinuous" vertical="center"/>
    </xf>
    <xf numFmtId="0" fontId="21" fillId="0" borderId="3" xfId="0" applyFont="1" applyBorder="1" applyAlignment="1">
      <alignment horizontal="centerContinuous" vertical="center"/>
    </xf>
    <xf numFmtId="185" fontId="20" fillId="0" borderId="3" xfId="0" applyNumberFormat="1" applyFont="1" applyBorder="1" applyAlignment="1">
      <alignment horizontal="center" vertical="center"/>
    </xf>
    <xf numFmtId="179" fontId="20" fillId="0" borderId="4" xfId="0" applyNumberFormat="1" applyFont="1" applyBorder="1" applyAlignment="1">
      <alignment horizontal="center" vertical="center"/>
    </xf>
    <xf numFmtId="0" fontId="20" fillId="0" borderId="36" xfId="0" applyFont="1" applyBorder="1" applyAlignment="1">
      <alignment vertical="center"/>
    </xf>
    <xf numFmtId="0" fontId="20" fillId="0" borderId="3" xfId="0" applyFont="1" applyBorder="1" applyAlignment="1">
      <alignment horizontal="center" vertical="center"/>
    </xf>
    <xf numFmtId="186" fontId="20" fillId="0" borderId="3" xfId="0" applyNumberFormat="1" applyFont="1" applyBorder="1" applyAlignment="1">
      <alignment horizontal="center" vertical="center"/>
    </xf>
    <xf numFmtId="181" fontId="20" fillId="0" borderId="4" xfId="0" applyNumberFormat="1" applyFont="1" applyBorder="1" applyAlignment="1">
      <alignment horizontal="center" vertical="center"/>
    </xf>
    <xf numFmtId="181" fontId="20" fillId="0" borderId="3" xfId="0" applyNumberFormat="1" applyFont="1" applyBorder="1" applyAlignment="1">
      <alignment horizontal="right" vertical="center"/>
    </xf>
    <xf numFmtId="0" fontId="22" fillId="0" borderId="3" xfId="0" applyFont="1" applyBorder="1" applyAlignment="1">
      <alignment vertical="center"/>
    </xf>
    <xf numFmtId="1" fontId="22" fillId="0" borderId="3" xfId="0" applyNumberFormat="1" applyFont="1" applyBorder="1" applyAlignment="1">
      <alignment vertical="center"/>
    </xf>
    <xf numFmtId="186" fontId="22" fillId="0" borderId="3" xfId="0" applyNumberFormat="1" applyFont="1" applyBorder="1" applyAlignment="1">
      <alignment vertical="center"/>
    </xf>
    <xf numFmtId="191" fontId="22" fillId="0" borderId="3" xfId="0" applyNumberFormat="1" applyFont="1" applyBorder="1" applyAlignment="1">
      <alignment vertical="center"/>
    </xf>
    <xf numFmtId="191" fontId="22" fillId="0" borderId="3" xfId="0" applyNumberFormat="1" applyFont="1" applyBorder="1" applyAlignment="1">
      <alignment horizontal="center" vertical="center"/>
    </xf>
    <xf numFmtId="0" fontId="22" fillId="0" borderId="3" xfId="0" applyFont="1" applyBorder="1" applyAlignment="1">
      <alignment horizontal="center" vertical="center"/>
    </xf>
    <xf numFmtId="0" fontId="22" fillId="0" borderId="4" xfId="0" applyFont="1" applyBorder="1" applyAlignment="1">
      <alignment horizontal="left" vertical="center"/>
    </xf>
    <xf numFmtId="0" fontId="22" fillId="0" borderId="2" xfId="0" applyFont="1" applyBorder="1" applyAlignment="1">
      <alignment vertical="center"/>
    </xf>
    <xf numFmtId="184" fontId="22" fillId="0" borderId="2" xfId="0" applyNumberFormat="1" applyFont="1" applyBorder="1"/>
    <xf numFmtId="0" fontId="22" fillId="0" borderId="36" xfId="0" applyFont="1" applyBorder="1" applyAlignment="1">
      <alignment horizontal="center" vertical="center"/>
    </xf>
    <xf numFmtId="201" fontId="22" fillId="0" borderId="4" xfId="0" applyNumberFormat="1" applyFont="1" applyBorder="1" applyAlignment="1">
      <alignment horizontal="left" vertical="center"/>
    </xf>
    <xf numFmtId="0" fontId="22" fillId="0" borderId="2" xfId="0" applyFont="1" applyBorder="1" applyAlignment="1">
      <alignment horizontal="right" vertical="center"/>
    </xf>
    <xf numFmtId="184" fontId="22" fillId="0" borderId="2" xfId="0" applyNumberFormat="1" applyFont="1" applyBorder="1" applyAlignment="1">
      <alignment horizontal="centerContinuous" vertical="center"/>
    </xf>
    <xf numFmtId="0" fontId="22" fillId="0" borderId="36" xfId="0" applyFont="1" applyBorder="1" applyAlignment="1">
      <alignment horizontal="centerContinuous" vertical="center"/>
    </xf>
    <xf numFmtId="0" fontId="22" fillId="0" borderId="4" xfId="0" applyFont="1" applyBorder="1" applyAlignment="1">
      <alignment vertical="center"/>
    </xf>
    <xf numFmtId="0" fontId="22" fillId="0" borderId="2" xfId="0" applyFont="1" applyBorder="1" applyAlignment="1">
      <alignment horizontal="left" vertical="center"/>
    </xf>
    <xf numFmtId="0" fontId="22" fillId="0" borderId="0" xfId="0" applyFont="1" applyAlignment="1">
      <alignment vertical="center"/>
    </xf>
    <xf numFmtId="0" fontId="23" fillId="0" borderId="2" xfId="0" applyFont="1" applyBorder="1" applyAlignment="1">
      <alignment horizontal="centerContinuous" vertical="center"/>
    </xf>
    <xf numFmtId="187" fontId="23" fillId="0" borderId="2" xfId="0" applyNumberFormat="1" applyFont="1" applyBorder="1" applyAlignment="1">
      <alignment horizontal="centerContinuous" vertical="center"/>
    </xf>
    <xf numFmtId="184" fontId="23" fillId="0" borderId="2" xfId="0" applyNumberFormat="1" applyFont="1" applyBorder="1" applyAlignment="1">
      <alignment horizontal="centerContinuous"/>
    </xf>
    <xf numFmtId="0" fontId="23" fillId="0" borderId="36" xfId="0" applyFont="1" applyBorder="1" applyAlignment="1">
      <alignment horizontal="centerContinuous" vertical="center"/>
    </xf>
    <xf numFmtId="0" fontId="22" fillId="0" borderId="3" xfId="0" applyFont="1" applyBorder="1" applyAlignment="1">
      <alignment horizontal="centerContinuous" vertical="center"/>
    </xf>
    <xf numFmtId="0" fontId="23" fillId="0" borderId="4" xfId="0" applyFont="1" applyBorder="1" applyAlignment="1">
      <alignment horizontal="centerContinuous" vertical="center"/>
    </xf>
    <xf numFmtId="184" fontId="23" fillId="0" borderId="36" xfId="0" applyNumberFormat="1" applyFont="1" applyBorder="1" applyAlignment="1">
      <alignment horizontal="centerContinuous"/>
    </xf>
    <xf numFmtId="186" fontId="22" fillId="0" borderId="3" xfId="0" applyNumberFormat="1" applyFont="1" applyBorder="1" applyAlignment="1">
      <alignment horizontal="center" vertical="center"/>
    </xf>
    <xf numFmtId="0" fontId="22" fillId="0" borderId="2" xfId="0" applyFont="1" applyBorder="1" applyAlignment="1">
      <alignment horizontal="center" vertical="center"/>
    </xf>
    <xf numFmtId="0" fontId="22" fillId="0" borderId="3" xfId="0" applyFont="1" applyBorder="1" applyAlignment="1">
      <alignment horizontal="center" vertical="center" wrapText="1"/>
    </xf>
    <xf numFmtId="0" fontId="24" fillId="0" borderId="0" xfId="0" applyFont="1" applyAlignment="1">
      <alignment horizontal="centerContinuous" vertical="top"/>
    </xf>
    <xf numFmtId="0" fontId="25" fillId="0" borderId="0" xfId="0" applyFont="1"/>
    <xf numFmtId="190" fontId="22" fillId="0" borderId="3" xfId="0" applyNumberFormat="1" applyFont="1" applyBorder="1" applyAlignment="1">
      <alignment horizontal="center" vertical="center"/>
    </xf>
    <xf numFmtId="194" fontId="6" fillId="3" borderId="3" xfId="0" applyNumberFormat="1" applyFont="1" applyFill="1" applyBorder="1" applyAlignment="1">
      <alignment horizontal="right"/>
    </xf>
    <xf numFmtId="190" fontId="22" fillId="2" borderId="3" xfId="0" applyNumberFormat="1" applyFont="1" applyFill="1" applyBorder="1" applyAlignment="1">
      <alignment horizontal="center" vertical="center"/>
    </xf>
    <xf numFmtId="0" fontId="26" fillId="0" borderId="0" xfId="0" applyFont="1"/>
    <xf numFmtId="2" fontId="7" fillId="0" borderId="3" xfId="0" applyNumberFormat="1" applyFont="1" applyBorder="1"/>
    <xf numFmtId="209" fontId="7" fillId="0" borderId="3" xfId="0" applyNumberFormat="1" applyFont="1" applyBorder="1" applyAlignment="1">
      <alignment horizontal="right"/>
    </xf>
    <xf numFmtId="177" fontId="7" fillId="2" borderId="3" xfId="0" applyNumberFormat="1" applyFont="1" applyFill="1" applyBorder="1"/>
    <xf numFmtId="191" fontId="27" fillId="0" borderId="3" xfId="0" applyNumberFormat="1" applyFont="1" applyBorder="1" applyAlignment="1">
      <alignment horizontal="center" vertical="center"/>
    </xf>
    <xf numFmtId="0" fontId="0" fillId="16" borderId="0" xfId="0" applyFill="1"/>
    <xf numFmtId="194" fontId="0" fillId="16" borderId="0" xfId="0" applyNumberFormat="1" applyFill="1"/>
    <xf numFmtId="195" fontId="0" fillId="16" borderId="0" xfId="0" applyNumberFormat="1" applyFill="1"/>
    <xf numFmtId="188" fontId="0" fillId="16" borderId="0" xfId="0" applyNumberFormat="1" applyFill="1"/>
    <xf numFmtId="191" fontId="22" fillId="16" borderId="3" xfId="0" applyNumberFormat="1" applyFont="1" applyFill="1" applyBorder="1" applyAlignment="1">
      <alignment horizontal="center" vertical="center"/>
    </xf>
    <xf numFmtId="183" fontId="28" fillId="0" borderId="0" xfId="0" applyNumberFormat="1" applyFont="1" applyAlignment="1">
      <alignment vertical="center"/>
    </xf>
    <xf numFmtId="195" fontId="0" fillId="0" borderId="0" xfId="0" applyNumberFormat="1" applyAlignment="1">
      <alignment horizontal="left"/>
    </xf>
    <xf numFmtId="192" fontId="2" fillId="4" borderId="3" xfId="0" applyNumberFormat="1" applyFont="1" applyFill="1" applyBorder="1" applyAlignment="1">
      <alignment vertical="center"/>
    </xf>
    <xf numFmtId="0" fontId="2" fillId="0" borderId="3" xfId="0" applyFont="1" applyBorder="1" applyAlignment="1">
      <alignment horizontal="center" vertical="center"/>
    </xf>
    <xf numFmtId="0" fontId="9" fillId="0" borderId="3" xfId="0" applyFont="1" applyBorder="1" applyAlignment="1">
      <alignment vertical="center"/>
    </xf>
    <xf numFmtId="2" fontId="2" fillId="0" borderId="3" xfId="0" applyNumberFormat="1" applyFont="1" applyBorder="1" applyAlignment="1">
      <alignment horizontal="center" vertical="center"/>
    </xf>
    <xf numFmtId="2" fontId="2" fillId="0" borderId="3" xfId="0" applyNumberFormat="1" applyFont="1" applyBorder="1" applyAlignment="1">
      <alignment vertical="center"/>
    </xf>
    <xf numFmtId="2" fontId="9" fillId="0" borderId="3" xfId="0" applyNumberFormat="1" applyFont="1" applyBorder="1" applyAlignment="1">
      <alignment vertical="center"/>
    </xf>
    <xf numFmtId="2" fontId="2" fillId="4" borderId="3" xfId="0" applyNumberFormat="1" applyFont="1" applyFill="1" applyBorder="1" applyAlignment="1">
      <alignment vertical="center"/>
    </xf>
    <xf numFmtId="0" fontId="2" fillId="0" borderId="36" xfId="0" applyFont="1" applyBorder="1" applyAlignment="1">
      <alignment vertical="center"/>
    </xf>
    <xf numFmtId="180" fontId="20" fillId="0" borderId="3" xfId="0" applyNumberFormat="1" applyFont="1" applyBorder="1" applyAlignment="1">
      <alignment horizontal="right" vertical="center"/>
    </xf>
    <xf numFmtId="178" fontId="6" fillId="3" borderId="0" xfId="0" applyNumberFormat="1" applyFont="1" applyFill="1"/>
    <xf numFmtId="0" fontId="29" fillId="2" borderId="0" xfId="0" applyFont="1" applyFill="1"/>
    <xf numFmtId="209" fontId="7" fillId="0" borderId="3" xfId="0" applyNumberFormat="1" applyFont="1" applyBorder="1"/>
    <xf numFmtId="212" fontId="7" fillId="0" borderId="3" xfId="0" applyNumberFormat="1" applyFont="1" applyBorder="1" applyAlignment="1">
      <alignment horizontal="center"/>
    </xf>
    <xf numFmtId="0" fontId="2" fillId="0" borderId="0" xfId="0" applyFont="1" applyAlignment="1">
      <alignment horizontal="right" vertical="center" shrinkToFit="1"/>
    </xf>
    <xf numFmtId="188" fontId="2" fillId="0" borderId="0" xfId="0" applyNumberFormat="1" applyFont="1" applyAlignment="1">
      <alignment vertical="center" shrinkToFit="1"/>
    </xf>
    <xf numFmtId="0" fontId="2" fillId="0" borderId="0" xfId="0" applyFont="1" applyAlignment="1">
      <alignment vertical="center" shrinkToFit="1"/>
    </xf>
    <xf numFmtId="0" fontId="2" fillId="0" borderId="0" xfId="0" applyFont="1" applyAlignment="1">
      <alignment shrinkToFit="1"/>
    </xf>
    <xf numFmtId="214" fontId="0" fillId="0" borderId="0" xfId="0" applyNumberFormat="1"/>
    <xf numFmtId="0" fontId="31" fillId="0" borderId="0" xfId="0" applyFont="1" applyAlignment="1">
      <alignment horizontal="right"/>
    </xf>
    <xf numFmtId="0" fontId="31" fillId="0" borderId="0" xfId="0" applyFont="1"/>
    <xf numFmtId="177" fontId="31" fillId="0" borderId="0" xfId="0" applyNumberFormat="1" applyFont="1"/>
    <xf numFmtId="188" fontId="2" fillId="17" borderId="0" xfId="0" applyNumberFormat="1" applyFont="1" applyFill="1" applyAlignment="1">
      <alignment vertical="center"/>
    </xf>
    <xf numFmtId="208" fontId="2" fillId="4" borderId="0" xfId="0" applyNumberFormat="1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2" fillId="4" borderId="0" xfId="0" applyFont="1" applyFill="1" applyAlignment="1">
      <alignment vertical="center" wrapText="1"/>
    </xf>
    <xf numFmtId="192" fontId="2" fillId="4" borderId="0" xfId="0" applyNumberFormat="1" applyFont="1" applyFill="1" applyAlignment="1">
      <alignment vertical="center"/>
    </xf>
    <xf numFmtId="0" fontId="2" fillId="2" borderId="0" xfId="0" applyFont="1" applyFill="1" applyAlignment="1">
      <alignment horizontal="center" vertical="center"/>
    </xf>
    <xf numFmtId="0" fontId="2" fillId="17" borderId="0" xfId="0" applyFont="1" applyFill="1" applyAlignment="1">
      <alignment horizontal="center" vertical="center"/>
    </xf>
    <xf numFmtId="0" fontId="30" fillId="0" borderId="0" xfId="0" applyFont="1" applyAlignment="1">
      <alignment horizontal="centerContinuous" vertical="center"/>
    </xf>
    <xf numFmtId="0" fontId="3" fillId="0" borderId="0" xfId="0" applyFont="1" applyAlignment="1">
      <alignment horizontal="centerContinuous" vertical="center"/>
    </xf>
    <xf numFmtId="204" fontId="6" fillId="0" borderId="0" xfId="0" applyNumberFormat="1" applyFont="1"/>
    <xf numFmtId="0" fontId="6" fillId="0" borderId="0" xfId="0" applyFont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6" fillId="2" borderId="0" xfId="0" applyFont="1" applyFill="1" applyAlignment="1">
      <alignment horizontal="center" vertical="center"/>
    </xf>
    <xf numFmtId="1" fontId="6" fillId="21" borderId="0" xfId="0" applyNumberFormat="1" applyFont="1" applyFill="1"/>
    <xf numFmtId="2" fontId="6" fillId="21" borderId="0" xfId="0" applyNumberFormat="1" applyFont="1" applyFill="1"/>
    <xf numFmtId="192" fontId="2" fillId="20" borderId="3" xfId="0" applyNumberFormat="1" applyFont="1" applyFill="1" applyBorder="1" applyAlignment="1">
      <alignment vertical="center"/>
    </xf>
    <xf numFmtId="189" fontId="2" fillId="20" borderId="4" xfId="0" applyNumberFormat="1" applyFont="1" applyFill="1" applyBorder="1" applyAlignment="1">
      <alignment horizontal="right" vertical="center"/>
    </xf>
    <xf numFmtId="0" fontId="35" fillId="0" borderId="0" xfId="15" applyFont="1">
      <alignment vertical="center"/>
    </xf>
    <xf numFmtId="0" fontId="35" fillId="0" borderId="50" xfId="15" applyFont="1" applyBorder="1" applyAlignment="1">
      <alignment horizontal="center" vertical="center"/>
    </xf>
    <xf numFmtId="0" fontId="36" fillId="0" borderId="0" xfId="15" applyFont="1" applyAlignment="1">
      <alignment horizontal="left" vertical="center"/>
    </xf>
    <xf numFmtId="0" fontId="37" fillId="0" borderId="0" xfId="15" applyFont="1">
      <alignment vertical="center"/>
    </xf>
    <xf numFmtId="0" fontId="35" fillId="0" borderId="51" xfId="15" applyFont="1" applyBorder="1" applyAlignment="1">
      <alignment horizontal="center" vertical="center"/>
    </xf>
    <xf numFmtId="0" fontId="35" fillId="0" borderId="52" xfId="15" applyFont="1" applyBorder="1" applyAlignment="1">
      <alignment horizontal="center" vertical="center"/>
    </xf>
    <xf numFmtId="0" fontId="35" fillId="0" borderId="39" xfId="15" applyFont="1" applyBorder="1">
      <alignment vertical="center"/>
    </xf>
    <xf numFmtId="1" fontId="35" fillId="2" borderId="48" xfId="15" applyNumberFormat="1" applyFont="1" applyFill="1" applyBorder="1">
      <alignment vertical="center"/>
    </xf>
    <xf numFmtId="0" fontId="35" fillId="0" borderId="48" xfId="15" applyFont="1" applyBorder="1">
      <alignment vertical="center"/>
    </xf>
    <xf numFmtId="0" fontId="35" fillId="0" borderId="49" xfId="15" applyFont="1" applyBorder="1">
      <alignment vertical="center"/>
    </xf>
    <xf numFmtId="0" fontId="35" fillId="0" borderId="42" xfId="15" applyFont="1" applyBorder="1">
      <alignment vertical="center"/>
    </xf>
    <xf numFmtId="0" fontId="35" fillId="0" borderId="8" xfId="15" applyFont="1" applyBorder="1">
      <alignment vertical="center"/>
    </xf>
    <xf numFmtId="215" fontId="35" fillId="18" borderId="8" xfId="15" applyNumberFormat="1" applyFont="1" applyFill="1" applyBorder="1" applyAlignment="1">
      <alignment horizontal="center" vertical="center"/>
    </xf>
    <xf numFmtId="0" fontId="35" fillId="0" borderId="43" xfId="15" applyFont="1" applyBorder="1">
      <alignment vertical="center"/>
    </xf>
    <xf numFmtId="0" fontId="35" fillId="0" borderId="40" xfId="15" applyFont="1" applyBorder="1">
      <alignment vertical="center"/>
    </xf>
    <xf numFmtId="0" fontId="35" fillId="0" borderId="42" xfId="15" applyFont="1" applyBorder="1" applyAlignment="1">
      <alignment horizontal="center" vertical="center"/>
    </xf>
    <xf numFmtId="194" fontId="35" fillId="0" borderId="8" xfId="15" applyNumberFormat="1" applyFont="1" applyBorder="1" applyAlignment="1">
      <alignment horizontal="center" vertical="center"/>
    </xf>
    <xf numFmtId="0" fontId="35" fillId="0" borderId="8" xfId="15" applyFont="1" applyBorder="1" applyAlignment="1">
      <alignment horizontal="center" vertical="center"/>
    </xf>
    <xf numFmtId="0" fontId="38" fillId="0" borderId="44" xfId="15" applyFont="1" applyBorder="1" applyAlignment="1">
      <alignment horizontal="right" vertical="center"/>
    </xf>
    <xf numFmtId="0" fontId="35" fillId="0" borderId="45" xfId="15" applyFont="1" applyBorder="1">
      <alignment vertical="center"/>
    </xf>
    <xf numFmtId="0" fontId="35" fillId="0" borderId="46" xfId="15" applyFont="1" applyBorder="1">
      <alignment vertical="center"/>
    </xf>
    <xf numFmtId="201" fontId="35" fillId="2" borderId="40" xfId="15" applyNumberFormat="1" applyFont="1" applyFill="1" applyBorder="1" applyAlignment="1">
      <alignment horizontal="right" vertical="center"/>
    </xf>
    <xf numFmtId="0" fontId="35" fillId="2" borderId="41" xfId="15" applyFont="1" applyFill="1" applyBorder="1" applyAlignment="1">
      <alignment horizontal="right" vertical="center"/>
    </xf>
    <xf numFmtId="0" fontId="39" fillId="0" borderId="53" xfId="15" applyFont="1" applyBorder="1" applyAlignment="1">
      <alignment horizontal="right" vertical="center"/>
    </xf>
    <xf numFmtId="0" fontId="35" fillId="0" borderId="54" xfId="15" applyFont="1" applyBorder="1">
      <alignment vertical="center"/>
    </xf>
    <xf numFmtId="0" fontId="35" fillId="0" borderId="54" xfId="15" applyFont="1" applyBorder="1" applyAlignment="1">
      <alignment horizontal="right" vertical="center"/>
    </xf>
    <xf numFmtId="194" fontId="35" fillId="4" borderId="54" xfId="15" applyNumberFormat="1" applyFont="1" applyFill="1" applyBorder="1">
      <alignment vertical="center"/>
    </xf>
    <xf numFmtId="217" fontId="35" fillId="2" borderId="55" xfId="15" applyNumberFormat="1" applyFont="1" applyFill="1" applyBorder="1" applyAlignment="1">
      <alignment horizontal="center" vertical="center"/>
    </xf>
    <xf numFmtId="0" fontId="38" fillId="0" borderId="42" xfId="15" applyFont="1" applyBorder="1" applyAlignment="1">
      <alignment horizontal="center" vertical="center"/>
    </xf>
    <xf numFmtId="0" fontId="35" fillId="0" borderId="43" xfId="15" applyFont="1" applyBorder="1" applyAlignment="1">
      <alignment horizontal="center" vertical="center"/>
    </xf>
    <xf numFmtId="204" fontId="35" fillId="0" borderId="45" xfId="15" applyNumberFormat="1" applyFont="1" applyBorder="1" applyAlignment="1">
      <alignment horizontal="center" vertical="center"/>
    </xf>
    <xf numFmtId="0" fontId="35" fillId="0" borderId="45" xfId="15" applyFont="1" applyBorder="1" applyAlignment="1">
      <alignment horizontal="center" vertical="center"/>
    </xf>
    <xf numFmtId="0" fontId="35" fillId="17" borderId="45" xfId="15" applyFont="1" applyFill="1" applyBorder="1" applyAlignment="1">
      <alignment horizontal="center" vertical="center"/>
    </xf>
    <xf numFmtId="0" fontId="39" fillId="0" borderId="56" xfId="15" applyFont="1" applyBorder="1" applyAlignment="1">
      <alignment horizontal="right" vertical="center"/>
    </xf>
    <xf numFmtId="0" fontId="35" fillId="0" borderId="57" xfId="15" applyFont="1" applyBorder="1">
      <alignment vertical="center"/>
    </xf>
    <xf numFmtId="0" fontId="35" fillId="0" borderId="58" xfId="15" applyFont="1" applyBorder="1">
      <alignment vertical="center"/>
    </xf>
    <xf numFmtId="0" fontId="35" fillId="0" borderId="59" xfId="15" applyFont="1" applyBorder="1">
      <alignment vertical="center"/>
    </xf>
    <xf numFmtId="0" fontId="35" fillId="0" borderId="60" xfId="15" applyFont="1" applyBorder="1">
      <alignment vertical="center"/>
    </xf>
    <xf numFmtId="0" fontId="35" fillId="0" borderId="61" xfId="15" applyFont="1" applyBorder="1">
      <alignment vertical="center"/>
    </xf>
    <xf numFmtId="0" fontId="38" fillId="0" borderId="59" xfId="15" applyFont="1" applyBorder="1" applyAlignment="1">
      <alignment horizontal="center" vertical="center"/>
    </xf>
    <xf numFmtId="0" fontId="35" fillId="0" borderId="60" xfId="15" applyFont="1" applyBorder="1" applyAlignment="1">
      <alignment horizontal="center" vertical="center"/>
    </xf>
    <xf numFmtId="0" fontId="35" fillId="0" borderId="61" xfId="15" applyFont="1" applyBorder="1" applyAlignment="1">
      <alignment horizontal="center" vertical="center"/>
    </xf>
    <xf numFmtId="0" fontId="35" fillId="0" borderId="62" xfId="15" applyFont="1" applyBorder="1" applyAlignment="1">
      <alignment horizontal="center" vertical="center"/>
    </xf>
    <xf numFmtId="0" fontId="35" fillId="0" borderId="63" xfId="15" applyFont="1" applyBorder="1" applyAlignment="1">
      <alignment horizontal="center" vertical="center"/>
    </xf>
    <xf numFmtId="0" fontId="35" fillId="0" borderId="64" xfId="15" applyFont="1" applyBorder="1" applyAlignment="1">
      <alignment horizontal="center" vertical="center"/>
    </xf>
    <xf numFmtId="0" fontId="35" fillId="0" borderId="55" xfId="15" applyFont="1" applyBorder="1">
      <alignment vertical="center"/>
    </xf>
    <xf numFmtId="0" fontId="35" fillId="0" borderId="44" xfId="15" applyFont="1" applyBorder="1" applyAlignment="1">
      <alignment horizontal="center" vertical="center"/>
    </xf>
    <xf numFmtId="0" fontId="35" fillId="0" borderId="46" xfId="15" applyFont="1" applyBorder="1" applyAlignment="1">
      <alignment horizontal="center" vertical="center"/>
    </xf>
    <xf numFmtId="0" fontId="35" fillId="0" borderId="0" xfId="15" applyFont="1" applyAlignment="1">
      <alignment horizontal="right" vertical="center"/>
    </xf>
    <xf numFmtId="209" fontId="35" fillId="0" borderId="0" xfId="15" applyNumberFormat="1" applyFont="1">
      <alignment vertical="center"/>
    </xf>
    <xf numFmtId="0" fontId="40" fillId="0" borderId="0" xfId="0" applyFont="1" applyAlignment="1">
      <alignment horizontal="right" vertical="center"/>
    </xf>
    <xf numFmtId="0" fontId="40" fillId="0" borderId="0" xfId="0" applyFont="1" applyAlignment="1">
      <alignment vertical="center"/>
    </xf>
    <xf numFmtId="1" fontId="40" fillId="0" borderId="0" xfId="0" applyNumberFormat="1" applyFont="1" applyAlignment="1">
      <alignment vertical="center"/>
    </xf>
    <xf numFmtId="0" fontId="40" fillId="0" borderId="0" xfId="0" applyFont="1" applyAlignment="1">
      <alignment horizontal="right" vertical="center" wrapText="1"/>
    </xf>
    <xf numFmtId="2" fontId="40" fillId="0" borderId="0" xfId="0" applyNumberFormat="1" applyFont="1" applyAlignment="1">
      <alignment vertical="center"/>
    </xf>
    <xf numFmtId="0" fontId="40" fillId="0" borderId="0" xfId="0" quotePrefix="1" applyFont="1" applyAlignment="1">
      <alignment horizontal="right" vertical="center" wrapText="1"/>
    </xf>
    <xf numFmtId="0" fontId="35" fillId="20" borderId="0" xfId="15" applyFont="1" applyFill="1">
      <alignment vertical="center"/>
    </xf>
    <xf numFmtId="183" fontId="42" fillId="23" borderId="0" xfId="16" applyNumberFormat="1">
      <alignment vertical="center"/>
    </xf>
    <xf numFmtId="188" fontId="42" fillId="23" borderId="0" xfId="16" applyNumberFormat="1" applyAlignment="1">
      <alignment vertical="center" shrinkToFit="1"/>
    </xf>
    <xf numFmtId="2" fontId="42" fillId="23" borderId="0" xfId="16" applyNumberFormat="1">
      <alignment vertical="center"/>
    </xf>
    <xf numFmtId="195" fontId="35" fillId="4" borderId="45" xfId="15" applyNumberFormat="1" applyFont="1" applyFill="1" applyBorder="1" applyAlignment="1">
      <alignment horizontal="center" vertical="center"/>
    </xf>
    <xf numFmtId="0" fontId="37" fillId="17" borderId="46" xfId="15" applyFont="1" applyFill="1" applyBorder="1" applyAlignment="1">
      <alignment horizontal="center" vertical="center"/>
    </xf>
    <xf numFmtId="0" fontId="37" fillId="4" borderId="45" xfId="15" applyFont="1" applyFill="1" applyBorder="1" applyAlignment="1">
      <alignment horizontal="center" vertical="center"/>
    </xf>
    <xf numFmtId="195" fontId="37" fillId="2" borderId="47" xfId="15" applyNumberFormat="1" applyFont="1" applyFill="1" applyBorder="1">
      <alignment vertical="center"/>
    </xf>
    <xf numFmtId="0" fontId="37" fillId="0" borderId="63" xfId="15" applyFont="1" applyBorder="1" applyAlignment="1">
      <alignment horizontal="center" vertical="center"/>
    </xf>
    <xf numFmtId="0" fontId="37" fillId="4" borderId="44" xfId="15" applyFont="1" applyFill="1" applyBorder="1" applyAlignment="1">
      <alignment horizontal="center" vertical="center"/>
    </xf>
    <xf numFmtId="204" fontId="37" fillId="0" borderId="63" xfId="15" applyNumberFormat="1" applyFont="1" applyBorder="1" applyAlignment="1">
      <alignment horizontal="center" vertical="center"/>
    </xf>
    <xf numFmtId="178" fontId="7" fillId="0" borderId="0" xfId="0" applyNumberFormat="1" applyFont="1"/>
    <xf numFmtId="205" fontId="0" fillId="0" borderId="0" xfId="0" applyNumberFormat="1"/>
    <xf numFmtId="0" fontId="44" fillId="0" borderId="0" xfId="0" applyFont="1" applyAlignment="1">
      <alignment horizontal="center" vertical="center" readingOrder="1"/>
    </xf>
    <xf numFmtId="195" fontId="37" fillId="2" borderId="40" xfId="15" applyNumberFormat="1" applyFont="1" applyFill="1" applyBorder="1" applyAlignment="1">
      <alignment horizontal="right" vertical="center"/>
    </xf>
    <xf numFmtId="0" fontId="37" fillId="19" borderId="48" xfId="15" applyFont="1" applyFill="1" applyBorder="1">
      <alignment vertical="center"/>
    </xf>
    <xf numFmtId="192" fontId="37" fillId="0" borderId="0" xfId="15" applyNumberFormat="1" applyFont="1">
      <alignment vertical="center"/>
    </xf>
    <xf numFmtId="209" fontId="37" fillId="17" borderId="48" xfId="15" applyNumberFormat="1" applyFont="1" applyFill="1" applyBorder="1">
      <alignment vertical="center"/>
    </xf>
    <xf numFmtId="0" fontId="43" fillId="24" borderId="0" xfId="0" applyFont="1" applyFill="1" applyAlignment="1">
      <alignment horizontal="right"/>
    </xf>
    <xf numFmtId="177" fontId="37" fillId="0" borderId="0" xfId="15" applyNumberFormat="1" applyFont="1">
      <alignment vertical="center"/>
    </xf>
    <xf numFmtId="204" fontId="37" fillId="17" borderId="54" xfId="15" applyNumberFormat="1" applyFont="1" applyFill="1" applyBorder="1">
      <alignment vertical="center"/>
    </xf>
    <xf numFmtId="1" fontId="7" fillId="0" borderId="0" xfId="0" applyNumberFormat="1" applyFont="1" applyAlignment="1">
      <alignment horizontal="right" vertical="center"/>
    </xf>
    <xf numFmtId="0" fontId="45" fillId="3" borderId="3" xfId="0" applyFont="1" applyFill="1" applyBorder="1" applyAlignment="1">
      <alignment horizontal="center" vertical="center"/>
    </xf>
    <xf numFmtId="0" fontId="35" fillId="0" borderId="0" xfId="15" applyFont="1" applyFill="1">
      <alignment vertical="center"/>
    </xf>
    <xf numFmtId="218" fontId="35" fillId="0" borderId="0" xfId="15" applyNumberFormat="1" applyFont="1" applyFill="1">
      <alignment vertical="center"/>
    </xf>
    <xf numFmtId="219" fontId="35" fillId="0" borderId="0" xfId="15" applyNumberFormat="1" applyFont="1" applyFill="1">
      <alignment vertical="center"/>
    </xf>
    <xf numFmtId="0" fontId="35" fillId="0" borderId="0" xfId="15" applyFont="1" applyFill="1" applyBorder="1">
      <alignment vertical="center"/>
    </xf>
    <xf numFmtId="218" fontId="35" fillId="0" borderId="0" xfId="15" applyNumberFormat="1" applyFont="1" applyFill="1" applyBorder="1">
      <alignment vertical="center"/>
    </xf>
    <xf numFmtId="195" fontId="35" fillId="0" borderId="0" xfId="15" applyNumberFormat="1" applyFont="1" applyFill="1" applyBorder="1">
      <alignment vertical="center"/>
    </xf>
    <xf numFmtId="0" fontId="2" fillId="25" borderId="0" xfId="0" applyFont="1" applyFill="1" applyAlignment="1">
      <alignment vertical="center"/>
    </xf>
    <xf numFmtId="0" fontId="35" fillId="3" borderId="3" xfId="0" applyFont="1" applyFill="1" applyBorder="1" applyAlignment="1">
      <alignment horizontal="center"/>
    </xf>
    <xf numFmtId="0" fontId="47" fillId="3" borderId="3" xfId="0" applyFont="1" applyFill="1" applyBorder="1" applyAlignment="1">
      <alignment horizontal="center"/>
    </xf>
    <xf numFmtId="0" fontId="35" fillId="2" borderId="3" xfId="0" applyFont="1" applyFill="1" applyBorder="1"/>
    <xf numFmtId="193" fontId="35" fillId="2" borderId="3" xfId="0" applyNumberFormat="1" applyFont="1" applyFill="1" applyBorder="1"/>
    <xf numFmtId="184" fontId="46" fillId="2" borderId="3" xfId="0" applyNumberFormat="1" applyFont="1" applyFill="1" applyBorder="1" applyAlignment="1">
      <alignment horizontal="centerContinuous"/>
    </xf>
    <xf numFmtId="0" fontId="35" fillId="4" borderId="3" xfId="0" applyFont="1" applyFill="1" applyBorder="1"/>
    <xf numFmtId="0" fontId="35" fillId="0" borderId="0" xfId="0" applyFont="1"/>
    <xf numFmtId="1" fontId="35" fillId="4" borderId="3" xfId="0" applyNumberFormat="1" applyFont="1" applyFill="1" applyBorder="1"/>
    <xf numFmtId="184" fontId="48" fillId="3" borderId="3" xfId="0" applyNumberFormat="1" applyFont="1" applyFill="1" applyBorder="1" applyAlignment="1">
      <alignment horizontal="center"/>
    </xf>
    <xf numFmtId="2" fontId="35" fillId="2" borderId="3" xfId="0" applyNumberFormat="1" applyFont="1" applyFill="1" applyBorder="1"/>
    <xf numFmtId="2" fontId="35" fillId="4" borderId="3" xfId="0" applyNumberFormat="1" applyFont="1" applyFill="1" applyBorder="1"/>
    <xf numFmtId="0" fontId="50" fillId="4" borderId="3" xfId="0" applyFont="1" applyFill="1" applyBorder="1" applyAlignment="1">
      <alignment horizontal="center"/>
    </xf>
    <xf numFmtId="0" fontId="35" fillId="0" borderId="3" xfId="0" applyFont="1" applyBorder="1" applyAlignment="1">
      <alignment horizontal="center"/>
    </xf>
    <xf numFmtId="0" fontId="35" fillId="0" borderId="3" xfId="0" applyFont="1" applyBorder="1"/>
    <xf numFmtId="0" fontId="51" fillId="3" borderId="3" xfId="0" applyFont="1" applyFill="1" applyBorder="1"/>
    <xf numFmtId="188" fontId="35" fillId="0" borderId="0" xfId="0" applyNumberFormat="1" applyFont="1"/>
    <xf numFmtId="0" fontId="35" fillId="2" borderId="0" xfId="0" applyFont="1" applyFill="1"/>
    <xf numFmtId="0" fontId="2" fillId="20" borderId="0" xfId="0" applyFont="1" applyFill="1" applyAlignment="1">
      <alignment vertical="center"/>
    </xf>
    <xf numFmtId="1" fontId="2" fillId="20" borderId="0" xfId="0" applyNumberFormat="1" applyFont="1" applyFill="1" applyAlignment="1">
      <alignment vertical="center"/>
    </xf>
    <xf numFmtId="183" fontId="2" fillId="20" borderId="0" xfId="0" applyNumberFormat="1" applyFont="1" applyFill="1" applyAlignment="1">
      <alignment vertical="center"/>
    </xf>
    <xf numFmtId="188" fontId="2" fillId="20" borderId="0" xfId="0" applyNumberFormat="1" applyFont="1" applyFill="1" applyAlignment="1">
      <alignment vertical="center" shrinkToFit="1"/>
    </xf>
    <xf numFmtId="2" fontId="2" fillId="20" borderId="0" xfId="0" applyNumberFormat="1" applyFont="1" applyFill="1" applyAlignment="1">
      <alignment vertical="center"/>
    </xf>
    <xf numFmtId="0" fontId="52" fillId="0" borderId="0" xfId="0" applyFont="1" applyAlignment="1">
      <alignment vertical="center"/>
    </xf>
    <xf numFmtId="0" fontId="52" fillId="20" borderId="0" xfId="0" applyFont="1" applyFill="1" applyAlignment="1">
      <alignment vertical="center"/>
    </xf>
    <xf numFmtId="221" fontId="53" fillId="2" borderId="3" xfId="0" applyNumberFormat="1" applyFont="1" applyFill="1" applyBorder="1" applyAlignment="1" applyProtection="1">
      <alignment horizontal="center" vertical="center"/>
    </xf>
    <xf numFmtId="0" fontId="54" fillId="0" borderId="0" xfId="0" applyFont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55" fillId="0" borderId="0" xfId="0" applyFont="1" applyAlignment="1">
      <alignment horizontal="center" vertical="center"/>
    </xf>
    <xf numFmtId="2" fontId="7" fillId="0" borderId="0" xfId="0" applyNumberFormat="1" applyFont="1"/>
    <xf numFmtId="178" fontId="2" fillId="17" borderId="0" xfId="0" applyNumberFormat="1" applyFont="1" applyFill="1" applyAlignment="1">
      <alignment vertical="center"/>
    </xf>
    <xf numFmtId="178" fontId="2" fillId="2" borderId="0" xfId="0" applyNumberFormat="1" applyFont="1" applyFill="1" applyAlignment="1">
      <alignment vertical="center"/>
    </xf>
    <xf numFmtId="0" fontId="57" fillId="27" borderId="3" xfId="0" applyFont="1" applyFill="1" applyBorder="1"/>
    <xf numFmtId="0" fontId="2" fillId="0" borderId="0" xfId="0" applyFont="1" applyBorder="1" applyAlignment="1">
      <alignment horizontal="center" vertical="center"/>
    </xf>
    <xf numFmtId="0" fontId="58" fillId="27" borderId="0" xfId="0" applyFont="1" applyFill="1" applyBorder="1" applyAlignment="1">
      <alignment horizontal="center" vertical="center"/>
    </xf>
    <xf numFmtId="195" fontId="58" fillId="27" borderId="0" xfId="0" applyNumberFormat="1" applyFont="1" applyFill="1" applyBorder="1" applyAlignment="1">
      <alignment horizontal="right" vertical="center"/>
    </xf>
    <xf numFmtId="195" fontId="58" fillId="27" borderId="0" xfId="0" applyNumberFormat="1" applyFont="1" applyFill="1" applyAlignment="1">
      <alignment horizontal="center" vertical="center"/>
    </xf>
    <xf numFmtId="0" fontId="58" fillId="0" borderId="0" xfId="0" applyFont="1" applyFill="1" applyAlignment="1">
      <alignment vertical="center"/>
    </xf>
    <xf numFmtId="0" fontId="59" fillId="7" borderId="0" xfId="0" applyFont="1" applyFill="1" applyAlignment="1">
      <alignment horizontal="center" vertical="center" wrapText="1"/>
    </xf>
    <xf numFmtId="0" fontId="60" fillId="3" borderId="0" xfId="0" applyFont="1" applyFill="1" applyAlignment="1">
      <alignment horizontal="center" vertical="center"/>
    </xf>
    <xf numFmtId="194" fontId="37" fillId="22" borderId="43" xfId="15" applyNumberFormat="1" applyFont="1" applyFill="1" applyBorder="1" applyAlignment="1">
      <alignment horizontal="center" vertical="center"/>
    </xf>
    <xf numFmtId="194" fontId="37" fillId="22" borderId="45" xfId="15" applyNumberFormat="1" applyFont="1" applyFill="1" applyBorder="1">
      <alignment vertical="center"/>
    </xf>
    <xf numFmtId="216" fontId="37" fillId="22" borderId="54" xfId="15" applyNumberFormat="1" applyFont="1" applyFill="1" applyBorder="1">
      <alignment vertical="center"/>
    </xf>
    <xf numFmtId="216" fontId="37" fillId="22" borderId="57" xfId="15" applyNumberFormat="1" applyFont="1" applyFill="1" applyBorder="1">
      <alignment vertical="center"/>
    </xf>
    <xf numFmtId="0" fontId="6" fillId="0" borderId="3" xfId="0" applyFont="1" applyBorder="1" applyAlignment="1">
      <alignment horizontal="left"/>
    </xf>
    <xf numFmtId="2" fontId="14" fillId="0" borderId="3" xfId="0" applyNumberFormat="1" applyFont="1" applyBorder="1" applyAlignment="1">
      <alignment horizontal="left"/>
    </xf>
    <xf numFmtId="211" fontId="6" fillId="2" borderId="4" xfId="0" applyNumberFormat="1" applyFont="1" applyFill="1" applyBorder="1" applyAlignment="1">
      <alignment horizontal="center"/>
    </xf>
    <xf numFmtId="211" fontId="6" fillId="2" borderId="36" xfId="0" applyNumberFormat="1" applyFont="1" applyFill="1" applyBorder="1" applyAlignment="1">
      <alignment horizontal="center"/>
    </xf>
    <xf numFmtId="0" fontId="6" fillId="0" borderId="3" xfId="0" applyFont="1" applyBorder="1" applyAlignment="1">
      <alignment horizontal="center"/>
    </xf>
    <xf numFmtId="0" fontId="6" fillId="0" borderId="4" xfId="0" applyFont="1" applyBorder="1" applyAlignment="1">
      <alignment horizontal="center"/>
    </xf>
    <xf numFmtId="0" fontId="6" fillId="0" borderId="0" xfId="0" applyFont="1" applyAlignment="1">
      <alignment horizontal="center"/>
    </xf>
    <xf numFmtId="205" fontId="6" fillId="3" borderId="3" xfId="0" applyNumberFormat="1" applyFont="1" applyFill="1" applyBorder="1" applyAlignment="1">
      <alignment horizontal="center"/>
    </xf>
    <xf numFmtId="205" fontId="6" fillId="0" borderId="37" xfId="0" applyNumberFormat="1" applyFont="1" applyBorder="1" applyAlignment="1">
      <alignment horizontal="center" vertical="center"/>
    </xf>
    <xf numFmtId="205" fontId="6" fillId="0" borderId="5" xfId="0" applyNumberFormat="1" applyFont="1" applyBorder="1" applyAlignment="1">
      <alignment horizontal="center" vertical="center"/>
    </xf>
    <xf numFmtId="205" fontId="6" fillId="0" borderId="30" xfId="0" applyNumberFormat="1" applyFont="1" applyBorder="1" applyAlignment="1">
      <alignment horizontal="center" vertical="center"/>
    </xf>
    <xf numFmtId="205" fontId="6" fillId="0" borderId="14" xfId="0" applyNumberFormat="1" applyFont="1" applyBorder="1" applyAlignment="1">
      <alignment horizontal="center" vertical="center"/>
    </xf>
    <xf numFmtId="194" fontId="6" fillId="0" borderId="3" xfId="0" applyNumberFormat="1" applyFont="1" applyBorder="1" applyAlignment="1">
      <alignment horizontal="center" vertical="center"/>
    </xf>
    <xf numFmtId="0" fontId="6" fillId="3" borderId="3" xfId="0" applyFont="1" applyFill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7" fillId="0" borderId="38" xfId="0" applyFont="1" applyBorder="1" applyAlignment="1">
      <alignment horizontal="center"/>
    </xf>
    <xf numFmtId="187" fontId="46" fillId="2" borderId="3" xfId="0" applyNumberFormat="1" applyFont="1" applyFill="1" applyBorder="1" applyAlignment="1">
      <alignment horizontal="center" vertical="center"/>
    </xf>
    <xf numFmtId="184" fontId="56" fillId="26" borderId="3" xfId="0" applyNumberFormat="1" applyFont="1" applyFill="1" applyBorder="1" applyAlignment="1">
      <alignment horizontal="center"/>
    </xf>
    <xf numFmtId="0" fontId="35" fillId="2" borderId="4" xfId="0" applyFont="1" applyFill="1" applyBorder="1" applyAlignment="1">
      <alignment horizontal="left"/>
    </xf>
    <xf numFmtId="0" fontId="35" fillId="2" borderId="2" xfId="0" applyFont="1" applyFill="1" applyBorder="1" applyAlignment="1">
      <alignment horizontal="left"/>
    </xf>
    <xf numFmtId="0" fontId="35" fillId="2" borderId="36" xfId="0" applyFont="1" applyFill="1" applyBorder="1" applyAlignment="1">
      <alignment horizontal="left"/>
    </xf>
    <xf numFmtId="0" fontId="14" fillId="0" borderId="0" xfId="0" applyFont="1" applyAlignment="1">
      <alignment horizontal="right"/>
    </xf>
    <xf numFmtId="0" fontId="39" fillId="4" borderId="5" xfId="0" applyFont="1" applyFill="1" applyBorder="1" applyAlignment="1">
      <alignment horizontal="right"/>
    </xf>
    <xf numFmtId="0" fontId="38" fillId="3" borderId="27" xfId="0" applyFont="1" applyFill="1" applyBorder="1" applyAlignment="1">
      <alignment horizontal="center" vertical="center"/>
    </xf>
    <xf numFmtId="0" fontId="38" fillId="3" borderId="23" xfId="0" applyFont="1" applyFill="1" applyBorder="1" applyAlignment="1">
      <alignment horizontal="center" vertical="center"/>
    </xf>
    <xf numFmtId="0" fontId="38" fillId="3" borderId="26" xfId="0" applyFont="1" applyFill="1" applyBorder="1" applyAlignment="1">
      <alignment horizontal="center" vertical="center"/>
    </xf>
    <xf numFmtId="187" fontId="49" fillId="4" borderId="4" xfId="0" applyNumberFormat="1" applyFont="1" applyFill="1" applyBorder="1" applyAlignment="1">
      <alignment horizontal="right" vertical="center"/>
    </xf>
    <xf numFmtId="187" fontId="49" fillId="4" borderId="2" xfId="0" applyNumberFormat="1" applyFont="1" applyFill="1" applyBorder="1" applyAlignment="1">
      <alignment horizontal="right" vertical="center"/>
    </xf>
    <xf numFmtId="187" fontId="49" fillId="4" borderId="36" xfId="0" applyNumberFormat="1" applyFont="1" applyFill="1" applyBorder="1" applyAlignment="1">
      <alignment horizontal="right" vertical="center"/>
    </xf>
    <xf numFmtId="181" fontId="22" fillId="0" borderId="4" xfId="0" applyNumberFormat="1" applyFont="1" applyBorder="1" applyAlignment="1">
      <alignment horizontal="center" vertical="center"/>
    </xf>
    <xf numFmtId="181" fontId="22" fillId="0" borderId="2" xfId="0" applyNumberFormat="1" applyFont="1" applyBorder="1" applyAlignment="1">
      <alignment horizontal="center" vertical="center"/>
    </xf>
    <xf numFmtId="186" fontId="22" fillId="0" borderId="3" xfId="0" applyNumberFormat="1" applyFont="1" applyBorder="1" applyAlignment="1">
      <alignment horizontal="center" vertical="center" wrapText="1"/>
    </xf>
    <xf numFmtId="0" fontId="22" fillId="0" borderId="3" xfId="0" applyFont="1" applyBorder="1" applyAlignment="1">
      <alignment horizontal="center" vertical="center"/>
    </xf>
    <xf numFmtId="200" fontId="22" fillId="0" borderId="4" xfId="0" applyNumberFormat="1" applyFont="1" applyBorder="1" applyAlignment="1">
      <alignment horizontal="center" vertical="center"/>
    </xf>
    <xf numFmtId="200" fontId="22" fillId="0" borderId="2" xfId="0" applyNumberFormat="1" applyFont="1" applyBorder="1" applyAlignment="1">
      <alignment horizontal="center" vertical="center"/>
    </xf>
    <xf numFmtId="200" fontId="22" fillId="0" borderId="36" xfId="0" applyNumberFormat="1" applyFont="1" applyBorder="1" applyAlignment="1">
      <alignment horizontal="center" vertical="center"/>
    </xf>
    <xf numFmtId="179" fontId="22" fillId="0" borderId="3" xfId="0" applyNumberFormat="1" applyFont="1" applyBorder="1" applyAlignment="1">
      <alignment horizontal="center" vertical="center"/>
    </xf>
    <xf numFmtId="190" fontId="22" fillId="0" borderId="3" xfId="0" applyNumberFormat="1" applyFont="1" applyBorder="1" applyAlignment="1">
      <alignment horizontal="center" vertical="center"/>
    </xf>
    <xf numFmtId="180" fontId="22" fillId="0" borderId="3" xfId="0" applyNumberFormat="1" applyFont="1" applyBorder="1" applyAlignment="1">
      <alignment horizontal="center" vertical="center"/>
    </xf>
    <xf numFmtId="182" fontId="22" fillId="0" borderId="2" xfId="0" applyNumberFormat="1" applyFont="1" applyBorder="1" applyAlignment="1">
      <alignment horizontal="center" vertical="center"/>
    </xf>
    <xf numFmtId="0" fontId="22" fillId="0" borderId="3" xfId="0" applyFont="1" applyBorder="1" applyAlignment="1">
      <alignment horizontal="center" vertical="center" wrapText="1"/>
    </xf>
    <xf numFmtId="191" fontId="22" fillId="0" borderId="3" xfId="0" applyNumberFormat="1" applyFont="1" applyBorder="1" applyAlignment="1">
      <alignment horizontal="center" vertical="center"/>
    </xf>
    <xf numFmtId="0" fontId="15" fillId="4" borderId="0" xfId="0" applyFont="1" applyFill="1" applyAlignment="1">
      <alignment horizontal="center" vertical="center" wrapText="1"/>
    </xf>
    <xf numFmtId="220" fontId="2" fillId="0" borderId="3" xfId="0" applyNumberFormat="1" applyFont="1" applyBorder="1" applyAlignment="1">
      <alignment horizontal="center" vertical="center"/>
    </xf>
    <xf numFmtId="0" fontId="20" fillId="0" borderId="3" xfId="0" applyFont="1" applyBorder="1" applyAlignment="1">
      <alignment horizontal="center" vertical="center" wrapText="1"/>
    </xf>
    <xf numFmtId="0" fontId="20" fillId="0" borderId="3" xfId="0" applyFont="1" applyBorder="1" applyAlignment="1">
      <alignment horizontal="center" vertical="center"/>
    </xf>
    <xf numFmtId="213" fontId="2" fillId="0" borderId="3" xfId="0" applyNumberFormat="1" applyFont="1" applyBorder="1" applyAlignment="1">
      <alignment horizontal="left" vertical="center"/>
    </xf>
    <xf numFmtId="213" fontId="2" fillId="0" borderId="4" xfId="0" applyNumberFormat="1" applyFont="1" applyBorder="1" applyAlignment="1">
      <alignment horizontal="left" vertical="center"/>
    </xf>
    <xf numFmtId="0" fontId="18" fillId="0" borderId="0" xfId="14" applyFont="1" applyAlignment="1">
      <alignment horizontal="center" vertical="center"/>
    </xf>
  </cellXfs>
  <cellStyles count="17">
    <cellStyle name="$" xfId="1" xr:uid="{00000000-0005-0000-0000-000000000000}"/>
    <cellStyle name="$_db진흥" xfId="2" xr:uid="{00000000-0005-0000-0000-000001000000}"/>
    <cellStyle name="$_SE40" xfId="3" xr:uid="{00000000-0005-0000-0000-000002000000}"/>
    <cellStyle name="$_견적2" xfId="4" xr:uid="{00000000-0005-0000-0000-000003000000}"/>
    <cellStyle name="$_기아" xfId="5" xr:uid="{00000000-0005-0000-0000-000004000000}"/>
    <cellStyle name="Bad" xfId="16" builtinId="27"/>
    <cellStyle name="Comma [0]" xfId="9" builtinId="6"/>
    <cellStyle name="Header1" xfId="6" xr:uid="{00000000-0005-0000-0000-000005000000}"/>
    <cellStyle name="Header2" xfId="7" xr:uid="{00000000-0005-0000-0000-000006000000}"/>
    <cellStyle name="Normal" xfId="0" builtinId="0"/>
    <cellStyle name="Percent" xfId="8" builtinId="5"/>
    <cellStyle name="원" xfId="10" xr:uid="{00000000-0005-0000-0000-000009000000}"/>
    <cellStyle name="원_수직탐사(수정)" xfId="11" xr:uid="{00000000-0005-0000-0000-00000A000000}"/>
    <cellStyle name="콤마 [0]_10월보완내역" xfId="12" xr:uid="{00000000-0005-0000-0000-00000B000000}"/>
    <cellStyle name="콤마_2000 보령양수시험" xfId="13" xr:uid="{00000000-0005-0000-0000-00000C000000}"/>
    <cellStyle name="표준 2" xfId="15" xr:uid="{00000000-0005-0000-0000-00000E000000}"/>
    <cellStyle name="표준_2001 일위대가" xfId="14" xr:uid="{00000000-0005-0000-0000-00000F000000}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99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2.08</c:v>
                </c:pt>
                <c:pt idx="1">
                  <c:v>4.04</c:v>
                </c:pt>
                <c:pt idx="2">
                  <c:v>5.81</c:v>
                </c:pt>
                <c:pt idx="3">
                  <c:v>7.07</c:v>
                </c:pt>
                <c:pt idx="4">
                  <c:v>8.0500000000000007</c:v>
                </c:pt>
                <c:pt idx="5">
                  <c:v>11.08</c:v>
                </c:pt>
                <c:pt idx="6">
                  <c:v>12.86</c:v>
                </c:pt>
                <c:pt idx="7">
                  <c:v>14.12</c:v>
                </c:pt>
                <c:pt idx="8">
                  <c:v>15.1</c:v>
                </c:pt>
                <c:pt idx="9">
                  <c:v>15.89</c:v>
                </c:pt>
                <c:pt idx="10">
                  <c:v>16.57</c:v>
                </c:pt>
                <c:pt idx="11">
                  <c:v>17.149999999999999</c:v>
                </c:pt>
                <c:pt idx="12">
                  <c:v>17.670000000000002</c:v>
                </c:pt>
                <c:pt idx="13">
                  <c:v>18.13</c:v>
                </c:pt>
                <c:pt idx="14">
                  <c:v>18.55</c:v>
                </c:pt>
                <c:pt idx="15">
                  <c:v>18.93</c:v>
                </c:pt>
                <c:pt idx="16">
                  <c:v>19.91</c:v>
                </c:pt>
                <c:pt idx="17">
                  <c:v>20.71</c:v>
                </c:pt>
                <c:pt idx="18">
                  <c:v>21.38</c:v>
                </c:pt>
                <c:pt idx="19">
                  <c:v>21.97</c:v>
                </c:pt>
                <c:pt idx="20" formatCode="\ 0.00\ ">
                  <c:v>22.13</c:v>
                </c:pt>
                <c:pt idx="21" formatCode="\ 0.00\ ">
                  <c:v>22.279999999999998</c:v>
                </c:pt>
                <c:pt idx="22" formatCode="\ 0.00\ ">
                  <c:v>22.419999999999998</c:v>
                </c:pt>
                <c:pt idx="23" formatCode="\ 0.00\ ">
                  <c:v>22.549999999999997</c:v>
                </c:pt>
                <c:pt idx="24" formatCode="\ 0.00\ ">
                  <c:v>22.679999999999996</c:v>
                </c:pt>
                <c:pt idx="25">
                  <c:v>26.36</c:v>
                </c:pt>
                <c:pt idx="26" formatCode="\ 0.00\ ">
                  <c:v>26.47</c:v>
                </c:pt>
                <c:pt idx="27">
                  <c:v>27.1</c:v>
                </c:pt>
                <c:pt idx="28" formatCode="\ 0.00\ ">
                  <c:v>27.200000000000003</c:v>
                </c:pt>
                <c:pt idx="29">
                  <c:v>27.83</c:v>
                </c:pt>
                <c:pt idx="30" formatCode="\ 0.00\ ">
                  <c:v>27.889999999999997</c:v>
                </c:pt>
                <c:pt idx="31" formatCode="\ 0.00\ ">
                  <c:v>27.939999999999998</c:v>
                </c:pt>
                <c:pt idx="32" formatCode="\ 0.00\ ">
                  <c:v>27.979999999999997</c:v>
                </c:pt>
                <c:pt idx="33" formatCode="\ 0.00\ ">
                  <c:v>28.009999999999998</c:v>
                </c:pt>
                <c:pt idx="34" formatCode="\ 0.00\ ">
                  <c:v>28.029999999999998</c:v>
                </c:pt>
                <c:pt idx="35">
                  <c:v>28.56</c:v>
                </c:pt>
                <c:pt idx="36" formatCode="\ 0.00\ ">
                  <c:v>28.63</c:v>
                </c:pt>
                <c:pt idx="37" formatCode="\ 0.00\ ">
                  <c:v>28.689999999999998</c:v>
                </c:pt>
                <c:pt idx="38" formatCode="\ 0.00\ ">
                  <c:v>28.74</c:v>
                </c:pt>
                <c:pt idx="39">
                  <c:v>29.3</c:v>
                </c:pt>
                <c:pt idx="40" formatCode="\ 0.00\ ">
                  <c:v>29.48</c:v>
                </c:pt>
                <c:pt idx="41" formatCode="\ 0.00\ ">
                  <c:v>29.64</c:v>
                </c:pt>
                <c:pt idx="42" formatCode="\ 0.00\ ">
                  <c:v>29.79</c:v>
                </c:pt>
                <c:pt idx="43" formatCode="\ 0.00\ ">
                  <c:v>29.93</c:v>
                </c:pt>
                <c:pt idx="44" formatCode="\ 0.00\ ">
                  <c:v>30.06</c:v>
                </c:pt>
                <c:pt idx="45">
                  <c:v>34.24</c:v>
                </c:pt>
                <c:pt idx="46" formatCode="\ 0.00\ ">
                  <c:v>34.35</c:v>
                </c:pt>
                <c:pt idx="47">
                  <c:v>35.06</c:v>
                </c:pt>
                <c:pt idx="48" formatCode="\ 0.00\ ">
                  <c:v>35.17</c:v>
                </c:pt>
                <c:pt idx="49">
                  <c:v>35.89</c:v>
                </c:pt>
                <c:pt idx="50" formatCode="\ 0.00\ ">
                  <c:v>35.96</c:v>
                </c:pt>
                <c:pt idx="51" formatCode="\ 0.00\ ">
                  <c:v>36.01</c:v>
                </c:pt>
                <c:pt idx="52" formatCode="\ 0.00\ ">
                  <c:v>36.049999999999997</c:v>
                </c:pt>
                <c:pt idx="53" formatCode="\ 0.00\ ">
                  <c:v>36.08</c:v>
                </c:pt>
                <c:pt idx="54" formatCode="\ 0.00\ ">
                  <c:v>36.1</c:v>
                </c:pt>
                <c:pt idx="55">
                  <c:v>36.71</c:v>
                </c:pt>
                <c:pt idx="56" formatCode="\ 0.00\ ">
                  <c:v>36.79</c:v>
                </c:pt>
                <c:pt idx="57" formatCode="\ 0.00\ ">
                  <c:v>36.85</c:v>
                </c:pt>
                <c:pt idx="58" formatCode="\ 0.00\ ">
                  <c:v>36.9</c:v>
                </c:pt>
                <c:pt idx="59">
                  <c:v>37.54</c:v>
                </c:pt>
                <c:pt idx="60" formatCode="\ 0.00\ ">
                  <c:v>37.729999999999997</c:v>
                </c:pt>
                <c:pt idx="61" formatCode="\ 0.00\ ">
                  <c:v>37.9</c:v>
                </c:pt>
                <c:pt idx="62" formatCode="\ 0.00\ ">
                  <c:v>38.059999999999995</c:v>
                </c:pt>
                <c:pt idx="63" formatCode="\ 0.00\ ">
                  <c:v>38.209999999999994</c:v>
                </c:pt>
                <c:pt idx="64" formatCode="\ 0.00\ ">
                  <c:v>38.349999999999994</c:v>
                </c:pt>
                <c:pt idx="65">
                  <c:v>42.49</c:v>
                </c:pt>
                <c:pt idx="66" formatCode="\ 0.00\ ">
                  <c:v>42.61</c:v>
                </c:pt>
                <c:pt idx="67" formatCode="\ 0.00\ ">
                  <c:v>43.31</c:v>
                </c:pt>
                <c:pt idx="68" formatCode="\ 0.00\ ">
                  <c:v>43.43</c:v>
                </c:pt>
                <c:pt idx="69" formatCode="\ 0.00\ ">
                  <c:v>44.14</c:v>
                </c:pt>
                <c:pt idx="70" formatCode="\ 0.00\ ">
                  <c:v>44.21</c:v>
                </c:pt>
                <c:pt idx="71" formatCode="\ 0.00\ ">
                  <c:v>44.26</c:v>
                </c:pt>
                <c:pt idx="72" formatCode="\ 0.00\ ">
                  <c:v>44.3</c:v>
                </c:pt>
                <c:pt idx="73" formatCode="\ 0.00\ ">
                  <c:v>44.33</c:v>
                </c:pt>
                <c:pt idx="74" formatCode="\ 0.00\ ">
                  <c:v>44.36</c:v>
                </c:pt>
                <c:pt idx="75" formatCode="\ 0.00\ ">
                  <c:v>44.96</c:v>
                </c:pt>
                <c:pt idx="76" formatCode="\ 0.00\ ">
                  <c:v>45.050000000000004</c:v>
                </c:pt>
                <c:pt idx="77" formatCode="\ 0.00\ ">
                  <c:v>45.120000000000005</c:v>
                </c:pt>
                <c:pt idx="78" formatCode="\ 0.00\ ">
                  <c:v>45.17</c:v>
                </c:pt>
                <c:pt idx="79" formatCode="\ 0.00\ ">
                  <c:v>45.79</c:v>
                </c:pt>
                <c:pt idx="80" formatCode="\ 0.00\ ">
                  <c:v>46</c:v>
                </c:pt>
                <c:pt idx="81" formatCode="\ 0.00\ ">
                  <c:v>46.19</c:v>
                </c:pt>
                <c:pt idx="82" formatCode="\ 0.00\ ">
                  <c:v>46.36</c:v>
                </c:pt>
                <c:pt idx="83" formatCode="\ 0.00\ ">
                  <c:v>46.519999999999996</c:v>
                </c:pt>
                <c:pt idx="84" formatCode="\ 0.00\ ">
                  <c:v>46.66</c:v>
                </c:pt>
                <c:pt idx="85" formatCode="\ 0.00\ ">
                  <c:v>51.28</c:v>
                </c:pt>
                <c:pt idx="86" formatCode="\ 0.00\ ">
                  <c:v>51.59</c:v>
                </c:pt>
                <c:pt idx="87" formatCode="\ 0.00\ ">
                  <c:v>53.34</c:v>
                </c:pt>
                <c:pt idx="88" formatCode="\ 0.00\ ">
                  <c:v>53.64</c:v>
                </c:pt>
                <c:pt idx="89" formatCode="\ 0.00\ ">
                  <c:v>55.4</c:v>
                </c:pt>
                <c:pt idx="90" formatCode="\ 0.00\ ">
                  <c:v>55.55</c:v>
                </c:pt>
                <c:pt idx="91" formatCode="\ 0.00\ ">
                  <c:v>55.68</c:v>
                </c:pt>
                <c:pt idx="92" formatCode="\ 0.00\ ">
                  <c:v>55.79</c:v>
                </c:pt>
                <c:pt idx="93" formatCode="\ 0.00\ ">
                  <c:v>55.87</c:v>
                </c:pt>
                <c:pt idx="94" formatCode="\ 0.00\ ">
                  <c:v>55.94</c:v>
                </c:pt>
                <c:pt idx="95" formatCode="\ 0.00\ ">
                  <c:v>57.46</c:v>
                </c:pt>
                <c:pt idx="96" formatCode="\ 0.00\ ">
                  <c:v>57.65</c:v>
                </c:pt>
                <c:pt idx="97" formatCode="\ 0.00\ ">
                  <c:v>57.809999999999995</c:v>
                </c:pt>
                <c:pt idx="98" formatCode="\ 0.00\ ">
                  <c:v>57.949999999999996</c:v>
                </c:pt>
                <c:pt idx="99" formatCode="\ 0.00\ ">
                  <c:v>59.52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85-499B-972E-3AD2A163CF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28-4688-95BE-70C3C14232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84061780339715"/>
          <c:y val="7.7586370189525078E-2"/>
          <c:w val="0.72877994140613156"/>
          <c:h val="0.59913919201911037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입력표!$D$3:$D$7</c:f>
              <c:numCache>
                <c:formatCode>0</c:formatCode>
                <c:ptCount val="5"/>
                <c:pt idx="0">
                  <c:v>324</c:v>
                </c:pt>
                <c:pt idx="1">
                  <c:v>413</c:v>
                </c:pt>
                <c:pt idx="2">
                  <c:v>501.5</c:v>
                </c:pt>
                <c:pt idx="3" formatCode="General">
                  <c:v>590</c:v>
                </c:pt>
                <c:pt idx="4">
                  <c:v>678.5</c:v>
                </c:pt>
              </c:numCache>
            </c:numRef>
          </c:xVal>
          <c:yVal>
            <c:numRef>
              <c:f>입력표!$F$3:$F$7</c:f>
              <c:numCache>
                <c:formatCode>0.000</c:formatCode>
                <c:ptCount val="5"/>
                <c:pt idx="0">
                  <c:v>6.7000000000000004E-2</c:v>
                </c:pt>
                <c:pt idx="1">
                  <c:v>7.0000000000000007E-2</c:v>
                </c:pt>
                <c:pt idx="2">
                  <c:v>7.3999999999999996E-2</c:v>
                </c:pt>
                <c:pt idx="3">
                  <c:v>7.6999999999999999E-2</c:v>
                </c:pt>
                <c:pt idx="4">
                  <c:v>8.6999999999999994E-2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01-4B74-AF59-1EC76E5E6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796.66666666666663"/>
          <c:min val="205.8333333333333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4099465827641104"/>
              <c:y val="0.8017259480495971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59.083333333333329"/>
      </c:valAx>
      <c:valAx>
        <c:axId val="1"/>
        <c:scaling>
          <c:orientation val="minMax"/>
          <c:max val="9.6999999999999989E-2"/>
          <c:min val="5.7000000000000002E-2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</a:p>
            </c:rich>
          </c:tx>
          <c:layout>
            <c:manualLayout>
              <c:xMode val="edge"/>
              <c:yMode val="edge"/>
              <c:x val="2.8985507246376812E-2"/>
              <c:y val="4.7413793103448273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9.9999999999999967E-3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6473707657708431"/>
          <c:y val="0.10794365843711767"/>
          <c:w val="0.77083490160095536"/>
          <c:h val="0.6722702867940166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7.625010063926059E-2"/>
                  <c:y val="-0.32596919408978259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입력표!$D$31:$D$36</c:f>
              <c:numCache>
                <c:formatCode>0</c:formatCode>
                <c:ptCount val="6"/>
                <c:pt idx="0">
                  <c:v>291</c:v>
                </c:pt>
                <c:pt idx="1">
                  <c:v>324</c:v>
                </c:pt>
                <c:pt idx="2">
                  <c:v>413</c:v>
                </c:pt>
                <c:pt idx="3">
                  <c:v>501.5</c:v>
                </c:pt>
                <c:pt idx="4">
                  <c:v>590</c:v>
                </c:pt>
                <c:pt idx="5">
                  <c:v>678.5</c:v>
                </c:pt>
              </c:numCache>
            </c:numRef>
          </c:xVal>
          <c:yVal>
            <c:numRef>
              <c:f>입력표!$F$31:$F$36</c:f>
              <c:numCache>
                <c:formatCode>0.0</c:formatCode>
                <c:ptCount val="6"/>
                <c:pt idx="1">
                  <c:v>82.033925300629136</c:v>
                </c:pt>
                <c:pt idx="2">
                  <c:v>78.175849071453257</c:v>
                </c:pt>
                <c:pt idx="3">
                  <c:v>74.683211200588602</c:v>
                </c:pt>
                <c:pt idx="4">
                  <c:v>71.489305919336218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0EC-4349-BF06-F15E7FE44A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796.66666666666663"/>
          <c:min val="205.8333333333333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822397196"/>
              <c:y val="0.8907580670063299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59.083333333333329"/>
      </c:valAx>
      <c:valAx>
        <c:axId val="1"/>
        <c:scaling>
          <c:orientation val="minMax"/>
          <c:max val="100"/>
          <c:min val="5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1.0416666666666666E-2"/>
              <c:y val="0.23949623944065812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2.5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22518261497582"/>
          <c:y val="0.10389654312323764"/>
          <c:w val="0.82475948989484671"/>
          <c:h val="0.6320373039996956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입력표!$D$20:$D$24</c:f>
              <c:numCache>
                <c:formatCode>0</c:formatCode>
                <c:ptCount val="5"/>
                <c:pt idx="0">
                  <c:v>324</c:v>
                </c:pt>
                <c:pt idx="1">
                  <c:v>413</c:v>
                </c:pt>
                <c:pt idx="2">
                  <c:v>501.5</c:v>
                </c:pt>
                <c:pt idx="3">
                  <c:v>590</c:v>
                </c:pt>
                <c:pt idx="4">
                  <c:v>678.5</c:v>
                </c:pt>
              </c:numCache>
            </c:numRef>
          </c:xVal>
          <c:yVal>
            <c:numRef>
              <c:f>입력표!$B$20:$B$24</c:f>
              <c:numCache>
                <c:formatCode>0.00</c:formatCode>
                <c:ptCount val="5"/>
                <c:pt idx="0">
                  <c:v>21.97</c:v>
                </c:pt>
                <c:pt idx="1">
                  <c:v>29.3</c:v>
                </c:pt>
                <c:pt idx="2">
                  <c:v>37.54</c:v>
                </c:pt>
                <c:pt idx="3">
                  <c:v>45.79</c:v>
                </c:pt>
                <c:pt idx="4">
                  <c:v>59.52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ECD-4C5D-9BCD-A7CDCBD0FD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  <a:endParaRPr lang="ko-KR" altLang="en-US" sz="925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endParaRPr lang="ko-KR" altLang="en-US" sz="925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9517718645297953"/>
              <c:y val="0.8438095238095237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300"/>
          <c:min val="1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925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</a:p>
            </c:rich>
          </c:tx>
          <c:layout>
            <c:manualLayout>
              <c:xMode val="edge"/>
              <c:yMode val="edge"/>
              <c:x val="2.5723472668810289E-2"/>
              <c:y val="0.22078012975650771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63755594457036491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5.6472419475172966E-2"/>
                  <c:y val="-0.15173354422400256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입력표!$D$19:$D$24</c:f>
              <c:numCache>
                <c:formatCode>0</c:formatCode>
                <c:ptCount val="6"/>
                <c:pt idx="0">
                  <c:v>291</c:v>
                </c:pt>
                <c:pt idx="1">
                  <c:v>324</c:v>
                </c:pt>
                <c:pt idx="2">
                  <c:v>413</c:v>
                </c:pt>
                <c:pt idx="3">
                  <c:v>501.5</c:v>
                </c:pt>
                <c:pt idx="4">
                  <c:v>590</c:v>
                </c:pt>
                <c:pt idx="5">
                  <c:v>678.5</c:v>
                </c:pt>
              </c:numCache>
            </c:numRef>
          </c:xVal>
          <c:yVal>
            <c:numRef>
              <c:f>입력표!$F$19:$F$24</c:f>
              <c:numCache>
                <c:formatCode>0.000</c:formatCode>
                <c:ptCount val="6"/>
                <c:pt idx="1">
                  <c:v>6.7808641975308642E-2</c:v>
                </c:pt>
                <c:pt idx="2">
                  <c:v>7.0944309927360782E-2</c:v>
                </c:pt>
                <c:pt idx="3">
                  <c:v>7.4855433698903295E-2</c:v>
                </c:pt>
                <c:pt idx="4">
                  <c:v>7.7610169491525424E-2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7BB-4158-9A8B-8573B8B01E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796.66666666666663"/>
          <c:min val="205.8333333333333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6875087489063866"/>
              <c:y val="0.8296961569760110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59.083333333333329"/>
      </c:valAx>
      <c:valAx>
        <c:axId val="1"/>
        <c:scaling>
          <c:orientation val="minMax"/>
          <c:max val="9.6999999999999989E-2"/>
          <c:min val="5.7000000000000002E-2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</a:p>
            </c:rich>
          </c:tx>
          <c:layout>
            <c:manualLayout>
              <c:xMode val="edge"/>
              <c:yMode val="edge"/>
              <c:x val="5.2083333333333336E-2"/>
              <c:y val="5.2401746724890827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9.9999999999999967E-3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단계양수시험!$D$12:$D$51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단계양수시험!$G$12:$G$51</c:f>
              <c:numCache>
                <c:formatCode>\ 0.00\ </c:formatCode>
                <c:ptCount val="40"/>
                <c:pt idx="0">
                  <c:v>2.08</c:v>
                </c:pt>
                <c:pt idx="1">
                  <c:v>4.04</c:v>
                </c:pt>
                <c:pt idx="2">
                  <c:v>5.81</c:v>
                </c:pt>
                <c:pt idx="3">
                  <c:v>7.07</c:v>
                </c:pt>
                <c:pt idx="4">
                  <c:v>8.0500000000000007</c:v>
                </c:pt>
                <c:pt idx="5">
                  <c:v>11.08</c:v>
                </c:pt>
                <c:pt idx="6">
                  <c:v>12.86</c:v>
                </c:pt>
                <c:pt idx="7">
                  <c:v>14.12</c:v>
                </c:pt>
                <c:pt idx="8">
                  <c:v>15.1</c:v>
                </c:pt>
                <c:pt idx="9">
                  <c:v>15.89</c:v>
                </c:pt>
                <c:pt idx="10">
                  <c:v>16.57</c:v>
                </c:pt>
                <c:pt idx="11">
                  <c:v>17.149999999999999</c:v>
                </c:pt>
                <c:pt idx="12">
                  <c:v>17.670000000000002</c:v>
                </c:pt>
                <c:pt idx="13">
                  <c:v>18.13</c:v>
                </c:pt>
                <c:pt idx="14">
                  <c:v>18.55</c:v>
                </c:pt>
                <c:pt idx="15">
                  <c:v>18.93</c:v>
                </c:pt>
                <c:pt idx="16">
                  <c:v>19.91</c:v>
                </c:pt>
                <c:pt idx="17">
                  <c:v>20.71</c:v>
                </c:pt>
                <c:pt idx="18">
                  <c:v>21.38</c:v>
                </c:pt>
                <c:pt idx="19">
                  <c:v>21.97</c:v>
                </c:pt>
                <c:pt idx="20">
                  <c:v>26.36</c:v>
                </c:pt>
                <c:pt idx="21">
                  <c:v>27.1</c:v>
                </c:pt>
                <c:pt idx="22">
                  <c:v>27.83</c:v>
                </c:pt>
                <c:pt idx="23">
                  <c:v>28.56</c:v>
                </c:pt>
                <c:pt idx="24">
                  <c:v>29.3</c:v>
                </c:pt>
                <c:pt idx="25">
                  <c:v>34.24</c:v>
                </c:pt>
                <c:pt idx="26">
                  <c:v>35.06</c:v>
                </c:pt>
                <c:pt idx="27">
                  <c:v>35.89</c:v>
                </c:pt>
                <c:pt idx="28">
                  <c:v>36.71</c:v>
                </c:pt>
                <c:pt idx="29">
                  <c:v>37.54</c:v>
                </c:pt>
                <c:pt idx="30">
                  <c:v>42.49</c:v>
                </c:pt>
                <c:pt idx="31">
                  <c:v>43.31</c:v>
                </c:pt>
                <c:pt idx="32">
                  <c:v>44.14</c:v>
                </c:pt>
                <c:pt idx="33">
                  <c:v>44.96</c:v>
                </c:pt>
                <c:pt idx="34">
                  <c:v>45.79</c:v>
                </c:pt>
                <c:pt idx="35">
                  <c:v>51.28</c:v>
                </c:pt>
                <c:pt idx="36">
                  <c:v>53.34</c:v>
                </c:pt>
                <c:pt idx="37">
                  <c:v>55.4</c:v>
                </c:pt>
                <c:pt idx="38">
                  <c:v>57.46</c:v>
                </c:pt>
                <c:pt idx="39">
                  <c:v>59.52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B7B-4A59-94BA-30132BCCB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9425930100938835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단계양수시험!$AB$4:$AB$43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단계양수시험!$AC$4:$AC$43</c:f>
              <c:numCache>
                <c:formatCode>0.00</c:formatCode>
                <c:ptCount val="40"/>
                <c:pt idx="0">
                  <c:v>1.0067815449189048</c:v>
                </c:pt>
                <c:pt idx="1">
                  <c:v>4.0418981672105261</c:v>
                </c:pt>
                <c:pt idx="2">
                  <c:v>5.8173275765665764</c:v>
                </c:pt>
                <c:pt idx="3">
                  <c:v>7.0770147895021438</c:v>
                </c:pt>
                <c:pt idx="4">
                  <c:v>8.0541041014774564</c:v>
                </c:pt>
                <c:pt idx="5">
                  <c:v>11.089220723769074</c:v>
                </c:pt>
                <c:pt idx="6">
                  <c:v>12.864650133125132</c:v>
                </c:pt>
                <c:pt idx="7">
                  <c:v>14.124337346060699</c:v>
                </c:pt>
                <c:pt idx="8">
                  <c:v>15.101426658036011</c:v>
                </c:pt>
                <c:pt idx="9">
                  <c:v>15.899766755416756</c:v>
                </c:pt>
                <c:pt idx="10">
                  <c:v>16.574753690086688</c:v>
                </c:pt>
                <c:pt idx="11">
                  <c:v>17.159453968352317</c:v>
                </c:pt>
                <c:pt idx="12">
                  <c:v>17.675196164772814</c:v>
                </c:pt>
                <c:pt idx="13">
                  <c:v>18.136543280327622</c:v>
                </c:pt>
                <c:pt idx="14">
                  <c:v>18.553882510884726</c:v>
                </c:pt>
                <c:pt idx="15">
                  <c:v>18.934883377708374</c:v>
                </c:pt>
                <c:pt idx="16">
                  <c:v>19.91197268968368</c:v>
                </c:pt>
                <c:pt idx="17">
                  <c:v>20.710312787064431</c:v>
                </c:pt>
                <c:pt idx="18">
                  <c:v>21.38529972173437</c:v>
                </c:pt>
                <c:pt idx="19">
                  <c:v>21.97</c:v>
                </c:pt>
                <c:pt idx="20">
                  <c:v>25.877925594183907</c:v>
                </c:pt>
                <c:pt idx="21">
                  <c:v>26.291563083371116</c:v>
                </c:pt>
                <c:pt idx="22">
                  <c:v>26.676650372960992</c:v>
                </c:pt>
                <c:pt idx="23">
                  <c:v>27.694287595856821</c:v>
                </c:pt>
                <c:pt idx="24">
                  <c:v>29.299999999999997</c:v>
                </c:pt>
                <c:pt idx="25">
                  <c:v>35.068595315824417</c:v>
                </c:pt>
                <c:pt idx="26">
                  <c:v>35.334417569397168</c:v>
                </c:pt>
                <c:pt idx="27">
                  <c:v>35.590206366397574</c:v>
                </c:pt>
                <c:pt idx="28">
                  <c:v>36.304297657912194</c:v>
                </c:pt>
                <c:pt idx="29">
                  <c:v>37.54</c:v>
                </c:pt>
                <c:pt idx="30">
                  <c:v>43.714594844237588</c:v>
                </c:pt>
                <c:pt idx="31">
                  <c:v>43.927237992635192</c:v>
                </c:pt>
                <c:pt idx="32">
                  <c:v>44.134357312961363</c:v>
                </c:pt>
                <c:pt idx="33">
                  <c:v>44.725268011800232</c:v>
                </c:pt>
                <c:pt idx="34">
                  <c:v>45.79</c:v>
                </c:pt>
                <c:pt idx="35">
                  <c:v>57.662914809244064</c:v>
                </c:pt>
                <c:pt idx="36">
                  <c:v>57.848167419528274</c:v>
                </c:pt>
                <c:pt idx="37">
                  <c:v>58.029751419110447</c:v>
                </c:pt>
                <c:pt idx="38">
                  <c:v>58.553876487950795</c:v>
                </c:pt>
                <c:pt idx="39">
                  <c:v>59.52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FC6-47E1-828E-027D64A8C5FF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단계양수시험!$AB$4:$AB$43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단계양수시험!$AD$4:$AD$43</c:f>
              <c:numCache>
                <c:formatCode>0.000</c:formatCode>
                <c:ptCount val="40"/>
                <c:pt idx="0">
                  <c:v>2.08</c:v>
                </c:pt>
                <c:pt idx="1">
                  <c:v>4.04</c:v>
                </c:pt>
                <c:pt idx="2">
                  <c:v>5.81</c:v>
                </c:pt>
                <c:pt idx="3">
                  <c:v>7.07</c:v>
                </c:pt>
                <c:pt idx="4">
                  <c:v>8.0500000000000007</c:v>
                </c:pt>
                <c:pt idx="5">
                  <c:v>11.08</c:v>
                </c:pt>
                <c:pt idx="6">
                  <c:v>12.86</c:v>
                </c:pt>
                <c:pt idx="7">
                  <c:v>14.12</c:v>
                </c:pt>
                <c:pt idx="8">
                  <c:v>15.1</c:v>
                </c:pt>
                <c:pt idx="9">
                  <c:v>15.89</c:v>
                </c:pt>
                <c:pt idx="10">
                  <c:v>16.57</c:v>
                </c:pt>
                <c:pt idx="11">
                  <c:v>17.149999999999999</c:v>
                </c:pt>
                <c:pt idx="12">
                  <c:v>17.670000000000002</c:v>
                </c:pt>
                <c:pt idx="13">
                  <c:v>18.13</c:v>
                </c:pt>
                <c:pt idx="14">
                  <c:v>18.55</c:v>
                </c:pt>
                <c:pt idx="15">
                  <c:v>18.93</c:v>
                </c:pt>
                <c:pt idx="16">
                  <c:v>19.91</c:v>
                </c:pt>
                <c:pt idx="17">
                  <c:v>20.71</c:v>
                </c:pt>
                <c:pt idx="18">
                  <c:v>21.38</c:v>
                </c:pt>
                <c:pt idx="19">
                  <c:v>21.97</c:v>
                </c:pt>
                <c:pt idx="20">
                  <c:v>26.36</c:v>
                </c:pt>
                <c:pt idx="21">
                  <c:v>27.1</c:v>
                </c:pt>
                <c:pt idx="22">
                  <c:v>27.83</c:v>
                </c:pt>
                <c:pt idx="23">
                  <c:v>28.56</c:v>
                </c:pt>
                <c:pt idx="24">
                  <c:v>29.3</c:v>
                </c:pt>
                <c:pt idx="25">
                  <c:v>34.24</c:v>
                </c:pt>
                <c:pt idx="26">
                  <c:v>35.06</c:v>
                </c:pt>
                <c:pt idx="27">
                  <c:v>35.89</c:v>
                </c:pt>
                <c:pt idx="28">
                  <c:v>36.71</c:v>
                </c:pt>
                <c:pt idx="29">
                  <c:v>37.54</c:v>
                </c:pt>
                <c:pt idx="30">
                  <c:v>42.49</c:v>
                </c:pt>
                <c:pt idx="31">
                  <c:v>43.31</c:v>
                </c:pt>
                <c:pt idx="32">
                  <c:v>44.14</c:v>
                </c:pt>
                <c:pt idx="33">
                  <c:v>44.96</c:v>
                </c:pt>
                <c:pt idx="34">
                  <c:v>45.79</c:v>
                </c:pt>
                <c:pt idx="35">
                  <c:v>51.28</c:v>
                </c:pt>
                <c:pt idx="36">
                  <c:v>53.34</c:v>
                </c:pt>
                <c:pt idx="37">
                  <c:v>55.4</c:v>
                </c:pt>
                <c:pt idx="38">
                  <c:v>57.46</c:v>
                </c:pt>
                <c:pt idx="39">
                  <c:v>59.52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FC6-47E1-828E-027D64A8C5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장기양수시험!$D$10:$D$77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장기양수시험!$E$10:$E$77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F4-4F16-A6A3-FD92EDB5A30B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장기양수시험!$D$10:$D$77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장기양수시험!$G$10:$G$77</c:f>
              <c:numCache>
                <c:formatCode>\ 0.00</c:formatCode>
                <c:ptCount val="68"/>
                <c:pt idx="0">
                  <c:v>7.3536772940069994</c:v>
                </c:pt>
                <c:pt idx="1">
                  <c:v>11.607483204592533</c:v>
                </c:pt>
                <c:pt idx="2">
                  <c:v>14.095800147631088</c:v>
                </c:pt>
                <c:pt idx="3">
                  <c:v>15.861289115178074</c:v>
                </c:pt>
                <c:pt idx="4">
                  <c:v>17.230708747993482</c:v>
                </c:pt>
                <c:pt idx="5">
                  <c:v>21.484514658579009</c:v>
                </c:pt>
                <c:pt idx="6">
                  <c:v>23.972831601617564</c:v>
                </c:pt>
                <c:pt idx="7">
                  <c:v>25.73832056916455</c:v>
                </c:pt>
                <c:pt idx="8">
                  <c:v>27.107740201979951</c:v>
                </c:pt>
                <c:pt idx="9">
                  <c:v>28.226637512203105</c:v>
                </c:pt>
                <c:pt idx="10">
                  <c:v>29.172651708553509</c:v>
                </c:pt>
                <c:pt idx="11">
                  <c:v>29.992126479750084</c:v>
                </c:pt>
                <c:pt idx="12">
                  <c:v>30.714954455241653</c:v>
                </c:pt>
                <c:pt idx="13">
                  <c:v>31.361546112565492</c:v>
                </c:pt>
                <c:pt idx="14">
                  <c:v>31.897379414619298</c:v>
                </c:pt>
                <c:pt idx="15">
                  <c:v>32.480443422788639</c:v>
                </c:pt>
                <c:pt idx="16">
                  <c:v>33.849863055604047</c:v>
                </c:pt>
                <c:pt idx="17">
                  <c:v>34.968760365827194</c:v>
                </c:pt>
                <c:pt idx="18">
                  <c:v>35.914774562177598</c:v>
                </c:pt>
                <c:pt idx="19">
                  <c:v>36.73424933337418</c:v>
                </c:pt>
                <c:pt idx="20">
                  <c:v>37.680263529724584</c:v>
                </c:pt>
                <c:pt idx="21">
                  <c:v>38.499738300921166</c:v>
                </c:pt>
                <c:pt idx="22">
                  <c:v>39.222566276412735</c:v>
                </c:pt>
                <c:pt idx="23">
                  <c:v>40.988055243959707</c:v>
                </c:pt>
                <c:pt idx="24">
                  <c:v>42.357474876775115</c:v>
                </c:pt>
                <c:pt idx="25">
                  <c:v>43.476372186998262</c:v>
                </c:pt>
                <c:pt idx="26">
                  <c:v>44.42238638334868</c:v>
                </c:pt>
                <c:pt idx="27">
                  <c:v>45.241861154545248</c:v>
                </c:pt>
                <c:pt idx="28">
                  <c:v>45.964689130036817</c:v>
                </c:pt>
                <c:pt idx="29">
                  <c:v>46.611280787360656</c:v>
                </c:pt>
                <c:pt idx="30">
                  <c:v>47.196194089414462</c:v>
                </c:pt>
                <c:pt idx="31">
                  <c:v>47.730178097583803</c:v>
                </c:pt>
                <c:pt idx="32">
                  <c:v>48.221395767582692</c:v>
                </c:pt>
                <c:pt idx="33">
                  <c:v>48.676192293934207</c:v>
                </c:pt>
                <c:pt idx="34">
                  <c:v>49.099597730399211</c:v>
                </c:pt>
                <c:pt idx="35">
                  <c:v>49.495667065130789</c:v>
                </c:pt>
                <c:pt idx="36">
                  <c:v>49.867717016198085</c:v>
                </c:pt>
                <c:pt idx="37">
                  <c:v>50.218495040622358</c:v>
                </c:pt>
                <c:pt idx="38">
                  <c:v>50.550302587213878</c:v>
                </c:pt>
                <c:pt idx="39">
                  <c:v>50.865086697946182</c:v>
                </c:pt>
                <c:pt idx="40">
                  <c:v>51.164509236972762</c:v>
                </c:pt>
                <c:pt idx="41">
                  <c:v>51.45</c:v>
                </c:pt>
                <c:pt idx="42">
                  <c:v>51.45</c:v>
                </c:pt>
                <c:pt idx="43">
                  <c:v>51.45</c:v>
                </c:pt>
                <c:pt idx="44">
                  <c:v>51.45</c:v>
                </c:pt>
                <c:pt idx="45">
                  <c:v>51.45</c:v>
                </c:pt>
                <c:pt idx="46">
                  <c:v>51.45</c:v>
                </c:pt>
                <c:pt idx="47">
                  <c:v>51.45</c:v>
                </c:pt>
                <c:pt idx="48">
                  <c:v>51.45</c:v>
                </c:pt>
                <c:pt idx="49">
                  <c:v>51.45</c:v>
                </c:pt>
                <c:pt idx="50">
                  <c:v>51.45</c:v>
                </c:pt>
                <c:pt idx="51">
                  <c:v>51.45</c:v>
                </c:pt>
                <c:pt idx="52">
                  <c:v>51.45</c:v>
                </c:pt>
                <c:pt idx="53">
                  <c:v>51.45</c:v>
                </c:pt>
                <c:pt idx="54">
                  <c:v>51.45</c:v>
                </c:pt>
                <c:pt idx="55">
                  <c:v>51.45</c:v>
                </c:pt>
                <c:pt idx="56">
                  <c:v>51.45</c:v>
                </c:pt>
                <c:pt idx="57">
                  <c:v>51.45</c:v>
                </c:pt>
                <c:pt idx="58">
                  <c:v>51.45</c:v>
                </c:pt>
                <c:pt idx="59">
                  <c:v>51.45</c:v>
                </c:pt>
                <c:pt idx="60">
                  <c:v>51.45</c:v>
                </c:pt>
                <c:pt idx="61">
                  <c:v>51.45</c:v>
                </c:pt>
                <c:pt idx="62">
                  <c:v>51.45</c:v>
                </c:pt>
                <c:pt idx="63">
                  <c:v>51.45</c:v>
                </c:pt>
                <c:pt idx="64">
                  <c:v>51.45</c:v>
                </c:pt>
                <c:pt idx="65">
                  <c:v>51.45</c:v>
                </c:pt>
                <c:pt idx="66">
                  <c:v>51.45</c:v>
                </c:pt>
                <c:pt idx="67">
                  <c:v>51.45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6F4-4F16-A6A3-FD92EDB5A30B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장기양수시험!$D$10:$D$77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장기양수시험!$H$10:$H$77</c:f>
              <c:numCache>
                <c:formatCode>yyyy"년"\ m"월"\ d"일";@</c:formatCode>
                <c:ptCount val="68"/>
                <c:pt idx="0">
                  <c:v>43836.375694444447</c:v>
                </c:pt>
                <c:pt idx="34">
                  <c:v>43837</c:v>
                </c:pt>
                <c:pt idx="58">
                  <c:v>43838</c:v>
                </c:pt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6F4-4F16-A6A3-FD92EDB5A3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520626762628315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장기양수시험!$AE$1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장기양수시험!$Z$2:$Z$83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장기양수시험!$AE$2:$AE$83</c:f>
              <c:numCache>
                <c:formatCode>0.00</c:formatCode>
                <c:ptCount val="82"/>
                <c:pt idx="0">
                  <c:v>7.3536772940069994</c:v>
                </c:pt>
                <c:pt idx="1">
                  <c:v>11.607483204592533</c:v>
                </c:pt>
                <c:pt idx="2">
                  <c:v>14.095800147631088</c:v>
                </c:pt>
                <c:pt idx="3">
                  <c:v>15.861289115178074</c:v>
                </c:pt>
                <c:pt idx="4">
                  <c:v>17.230708747993482</c:v>
                </c:pt>
                <c:pt idx="5">
                  <c:v>21.484514658579009</c:v>
                </c:pt>
                <c:pt idx="6">
                  <c:v>23.972831601617564</c:v>
                </c:pt>
                <c:pt idx="7">
                  <c:v>25.73832056916455</c:v>
                </c:pt>
                <c:pt idx="8">
                  <c:v>27.107740201979951</c:v>
                </c:pt>
                <c:pt idx="9">
                  <c:v>28.226637512203105</c:v>
                </c:pt>
                <c:pt idx="10">
                  <c:v>29.172651708553509</c:v>
                </c:pt>
                <c:pt idx="11">
                  <c:v>29.992126479750084</c:v>
                </c:pt>
                <c:pt idx="12">
                  <c:v>30.714954455241653</c:v>
                </c:pt>
                <c:pt idx="13">
                  <c:v>31.361546112565492</c:v>
                </c:pt>
                <c:pt idx="14">
                  <c:v>31.897379414619298</c:v>
                </c:pt>
                <c:pt idx="15">
                  <c:v>32.480443422788639</c:v>
                </c:pt>
                <c:pt idx="16">
                  <c:v>33.849863055604047</c:v>
                </c:pt>
                <c:pt idx="17">
                  <c:v>34.968760365827194</c:v>
                </c:pt>
                <c:pt idx="18">
                  <c:v>35.914774562177598</c:v>
                </c:pt>
                <c:pt idx="19">
                  <c:v>36.73424933337418</c:v>
                </c:pt>
                <c:pt idx="20">
                  <c:v>37.680263529724584</c:v>
                </c:pt>
                <c:pt idx="21">
                  <c:v>38.499738300921166</c:v>
                </c:pt>
                <c:pt idx="22">
                  <c:v>39.222566276412735</c:v>
                </c:pt>
                <c:pt idx="23">
                  <c:v>40.988055243959707</c:v>
                </c:pt>
                <c:pt idx="24">
                  <c:v>42.357474876775115</c:v>
                </c:pt>
                <c:pt idx="25">
                  <c:v>43.476372186998262</c:v>
                </c:pt>
                <c:pt idx="26">
                  <c:v>44.42238638334868</c:v>
                </c:pt>
                <c:pt idx="27">
                  <c:v>45.241861154545248</c:v>
                </c:pt>
                <c:pt idx="28">
                  <c:v>45.964689130036817</c:v>
                </c:pt>
                <c:pt idx="29">
                  <c:v>46.611280787360656</c:v>
                </c:pt>
                <c:pt idx="30">
                  <c:v>47.196194089414462</c:v>
                </c:pt>
                <c:pt idx="31">
                  <c:v>47.730178097583803</c:v>
                </c:pt>
                <c:pt idx="32">
                  <c:v>48.221395767582692</c:v>
                </c:pt>
                <c:pt idx="33">
                  <c:v>48.676192293934207</c:v>
                </c:pt>
                <c:pt idx="34">
                  <c:v>49.099597730399211</c:v>
                </c:pt>
                <c:pt idx="35">
                  <c:v>49.495667065130789</c:v>
                </c:pt>
                <c:pt idx="36">
                  <c:v>49.867717016198085</c:v>
                </c:pt>
                <c:pt idx="37">
                  <c:v>50.218495040622358</c:v>
                </c:pt>
                <c:pt idx="38">
                  <c:v>50.550302587213878</c:v>
                </c:pt>
                <c:pt idx="39">
                  <c:v>50.865086697946182</c:v>
                </c:pt>
                <c:pt idx="40">
                  <c:v>51.164509236972762</c:v>
                </c:pt>
                <c:pt idx="41">
                  <c:v>51.45</c:v>
                </c:pt>
                <c:pt idx="42">
                  <c:v>51.45</c:v>
                </c:pt>
                <c:pt idx="43">
                  <c:v>51.45</c:v>
                </c:pt>
                <c:pt idx="44">
                  <c:v>51.45</c:v>
                </c:pt>
                <c:pt idx="45">
                  <c:v>51.45</c:v>
                </c:pt>
                <c:pt idx="46">
                  <c:v>51.45</c:v>
                </c:pt>
                <c:pt idx="47">
                  <c:v>51.45</c:v>
                </c:pt>
                <c:pt idx="48">
                  <c:v>51.45</c:v>
                </c:pt>
                <c:pt idx="49">
                  <c:v>51.45</c:v>
                </c:pt>
                <c:pt idx="50">
                  <c:v>51.45</c:v>
                </c:pt>
                <c:pt idx="51">
                  <c:v>51.45</c:v>
                </c:pt>
                <c:pt idx="52">
                  <c:v>51.45</c:v>
                </c:pt>
                <c:pt idx="53">
                  <c:v>51.45</c:v>
                </c:pt>
                <c:pt idx="54">
                  <c:v>51.45</c:v>
                </c:pt>
                <c:pt idx="55">
                  <c:v>51.45</c:v>
                </c:pt>
                <c:pt idx="56">
                  <c:v>51.45</c:v>
                </c:pt>
                <c:pt idx="57">
                  <c:v>51.45</c:v>
                </c:pt>
                <c:pt idx="58">
                  <c:v>51.45</c:v>
                </c:pt>
                <c:pt idx="59">
                  <c:v>51.45</c:v>
                </c:pt>
                <c:pt idx="60">
                  <c:v>51.45</c:v>
                </c:pt>
                <c:pt idx="61">
                  <c:v>51.45</c:v>
                </c:pt>
                <c:pt idx="62">
                  <c:v>51.45</c:v>
                </c:pt>
                <c:pt idx="63">
                  <c:v>51.45</c:v>
                </c:pt>
                <c:pt idx="64">
                  <c:v>51.45</c:v>
                </c:pt>
                <c:pt idx="65">
                  <c:v>51.45</c:v>
                </c:pt>
                <c:pt idx="66">
                  <c:v>51.45</c:v>
                </c:pt>
                <c:pt idx="67">
                  <c:v>51.45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22-489E-AC3F-9D146E6BA0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장기양수시험!$D$78:$D$101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장기양수시험!$G$78:$G$101</c:f>
              <c:numCache>
                <c:formatCode>\ 0.00</c:formatCode>
                <c:ptCount val="24"/>
                <c:pt idx="0">
                  <c:v>29.634078434613624</c:v>
                </c:pt>
                <c:pt idx="1">
                  <c:v>26.329939709219818</c:v>
                </c:pt>
                <c:pt idx="2">
                  <c:v>23.394205648095749</c:v>
                </c:pt>
                <c:pt idx="3">
                  <c:v>20.785799889764039</c:v>
                </c:pt>
                <c:pt idx="4">
                  <c:v>18.468226002470946</c:v>
                </c:pt>
                <c:pt idx="5">
                  <c:v>12.953898696505998</c:v>
                </c:pt>
                <c:pt idx="6">
                  <c:v>11.972167624090394</c:v>
                </c:pt>
                <c:pt idx="7">
                  <c:v>9.4512590317066216</c:v>
                </c:pt>
                <c:pt idx="8">
                  <c:v>8.3974631109293441</c:v>
                </c:pt>
                <c:pt idx="9">
                  <c:v>7.4611632654285316</c:v>
                </c:pt>
                <c:pt idx="10">
                  <c:v>7.1728655361717193</c:v>
                </c:pt>
                <c:pt idx="11">
                  <c:v>6.8957075686032399</c:v>
                </c:pt>
                <c:pt idx="12">
                  <c:v>6.6292589247491565</c:v>
                </c:pt>
                <c:pt idx="13">
                  <c:v>6.3731057986654207</c:v>
                </c:pt>
                <c:pt idx="14">
                  <c:v>6.1268503737798561</c:v>
                </c:pt>
                <c:pt idx="15">
                  <c:v>5.8901102050662937</c:v>
                </c:pt>
                <c:pt idx="16">
                  <c:v>5.66251762509137</c:v>
                </c:pt>
                <c:pt idx="17">
                  <c:v>5.4437191730115568</c:v>
                </c:pt>
                <c:pt idx="18">
                  <c:v>5.2333750456336032</c:v>
                </c:pt>
                <c:pt idx="19">
                  <c:v>4.6498645041824416</c:v>
                </c:pt>
                <c:pt idx="20">
                  <c:v>4.4701947489153095</c:v>
                </c:pt>
                <c:pt idx="21">
                  <c:v>3.5289322552717999</c:v>
                </c:pt>
                <c:pt idx="22">
                  <c:v>2.7858658429410745</c:v>
                </c:pt>
                <c:pt idx="23">
                  <c:v>2.1992625342330419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28B-40B8-9660-280F5E45AF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.0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solidFill>
          <a:srgbClr val="FFFFFF"/>
        </a:solidFill>
        <a:ln w="12700">
          <a:solidFill>
            <a:srgbClr val="FFFFFF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2" Type="http://schemas.openxmlformats.org/officeDocument/2006/relationships/image" Target="../media/image9.png"/><Relationship Id="rId1" Type="http://schemas.openxmlformats.org/officeDocument/2006/relationships/image" Target="../media/image8.png"/><Relationship Id="rId5" Type="http://schemas.openxmlformats.org/officeDocument/2006/relationships/image" Target="../media/image12.PNG"/><Relationship Id="rId4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1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6.emf"/></Relationships>
</file>

<file path=xl/drawings/_rels/vmlDrawing5.vml.rels><?xml version="1.0" encoding="UTF-8" standalone="yes"?>
<Relationships xmlns="http://schemas.openxmlformats.org/package/2006/relationships"><Relationship Id="rId8" Type="http://schemas.openxmlformats.org/officeDocument/2006/relationships/image" Target="../media/image17.emf"/><Relationship Id="rId3" Type="http://schemas.openxmlformats.org/officeDocument/2006/relationships/image" Target="../media/image19.emf"/><Relationship Id="rId7" Type="http://schemas.openxmlformats.org/officeDocument/2006/relationships/image" Target="../media/image24.emf"/><Relationship Id="rId2" Type="http://schemas.openxmlformats.org/officeDocument/2006/relationships/image" Target="../media/image20.emf"/><Relationship Id="rId1" Type="http://schemas.openxmlformats.org/officeDocument/2006/relationships/image" Target="../media/image21.emf"/><Relationship Id="rId6" Type="http://schemas.openxmlformats.org/officeDocument/2006/relationships/image" Target="../media/image23.emf"/><Relationship Id="rId5" Type="http://schemas.openxmlformats.org/officeDocument/2006/relationships/image" Target="../media/image22.emf"/><Relationship Id="rId4" Type="http://schemas.openxmlformats.org/officeDocument/2006/relationships/image" Target="../media/image18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25.emf"/><Relationship Id="rId1" Type="http://schemas.openxmlformats.org/officeDocument/2006/relationships/image" Target="../media/image26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27.emf"/><Relationship Id="rId2" Type="http://schemas.openxmlformats.org/officeDocument/2006/relationships/image" Target="../media/image28.emf"/><Relationship Id="rId1" Type="http://schemas.openxmlformats.org/officeDocument/2006/relationships/image" Target="../media/image29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30.emf"/><Relationship Id="rId1" Type="http://schemas.openxmlformats.org/officeDocument/2006/relationships/image" Target="../media/image3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6240" name="Chart 2">
          <a:extLst>
            <a:ext uri="{FF2B5EF4-FFF2-40B4-BE49-F238E27FC236}">
              <a16:creationId xmlns:a16="http://schemas.microsoft.com/office/drawing/2014/main" id="{00000000-0008-0000-0100-0000601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1687" name="Chart 4">
          <a:extLst>
            <a:ext uri="{FF2B5EF4-FFF2-40B4-BE49-F238E27FC236}">
              <a16:creationId xmlns:a16="http://schemas.microsoft.com/office/drawing/2014/main" id="{00000000-0008-0000-0200-000097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9525</xdr:rowOff>
    </xdr:from>
    <xdr:to>
      <xdr:col>12</xdr:col>
      <xdr:colOff>685800</xdr:colOff>
      <xdr:row>13</xdr:row>
      <xdr:rowOff>161925</xdr:rowOff>
    </xdr:to>
    <xdr:graphicFrame macro="">
      <xdr:nvGraphicFramePr>
        <xdr:cNvPr id="1688" name="Chart 5">
          <a:extLst>
            <a:ext uri="{FF2B5EF4-FFF2-40B4-BE49-F238E27FC236}">
              <a16:creationId xmlns:a16="http://schemas.microsoft.com/office/drawing/2014/main" id="{00000000-0008-0000-0200-000098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28</xdr:row>
      <xdr:rowOff>57149</xdr:rowOff>
    </xdr:from>
    <xdr:to>
      <xdr:col>12</xdr:col>
      <xdr:colOff>685800</xdr:colOff>
      <xdr:row>42</xdr:row>
      <xdr:rowOff>47624</xdr:rowOff>
    </xdr:to>
    <xdr:graphicFrame macro="">
      <xdr:nvGraphicFramePr>
        <xdr:cNvPr id="1690" name="Chart 8">
          <a:extLst>
            <a:ext uri="{FF2B5EF4-FFF2-40B4-BE49-F238E27FC236}">
              <a16:creationId xmlns:a16="http://schemas.microsoft.com/office/drawing/2014/main" id="{00000000-0008-0000-0200-00009A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1</xdr:row>
      <xdr:rowOff>0</xdr:rowOff>
    </xdr:from>
    <xdr:to>
      <xdr:col>20</xdr:col>
      <xdr:colOff>619125</xdr:colOff>
      <xdr:row>13</xdr:row>
      <xdr:rowOff>142875</xdr:rowOff>
    </xdr:to>
    <xdr:graphicFrame macro="">
      <xdr:nvGraphicFramePr>
        <xdr:cNvPr id="1691" name="Chart 9">
          <a:extLst>
            <a:ext uri="{FF2B5EF4-FFF2-40B4-BE49-F238E27FC236}">
              <a16:creationId xmlns:a16="http://schemas.microsoft.com/office/drawing/2014/main" id="{00000000-0008-0000-0200-00009B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685800</xdr:colOff>
          <xdr:row>38</xdr:row>
          <xdr:rowOff>95250</xdr:rowOff>
        </xdr:from>
        <xdr:to>
          <xdr:col>19</xdr:col>
          <xdr:colOff>381000</xdr:colOff>
          <xdr:row>40</xdr:row>
          <xdr:rowOff>161925</xdr:rowOff>
        </xdr:to>
        <xdr:sp macro="" textlink="">
          <xdr:nvSpPr>
            <xdr:cNvPr id="2052" name="CommandButton1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66675</xdr:colOff>
      <xdr:row>14</xdr:row>
      <xdr:rowOff>38100</xdr:rowOff>
    </xdr:from>
    <xdr:to>
      <xdr:col>12</xdr:col>
      <xdr:colOff>714375</xdr:colOff>
      <xdr:row>26</xdr:row>
      <xdr:rowOff>161925</xdr:rowOff>
    </xdr:to>
    <xdr:graphicFrame macro="">
      <xdr:nvGraphicFramePr>
        <xdr:cNvPr id="10" name="Chart 7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247650</xdr:colOff>
          <xdr:row>38</xdr:row>
          <xdr:rowOff>104775</xdr:rowOff>
        </xdr:from>
        <xdr:to>
          <xdr:col>16</xdr:col>
          <xdr:colOff>409575</xdr:colOff>
          <xdr:row>41</xdr:row>
          <xdr:rowOff>0</xdr:rowOff>
        </xdr:to>
        <xdr:sp macro="" textlink="">
          <xdr:nvSpPr>
            <xdr:cNvPr id="2053" name="CommandButton2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514350</xdr:colOff>
          <xdr:row>38</xdr:row>
          <xdr:rowOff>104775</xdr:rowOff>
        </xdr:from>
        <xdr:to>
          <xdr:col>17</xdr:col>
          <xdr:colOff>552450</xdr:colOff>
          <xdr:row>40</xdr:row>
          <xdr:rowOff>161925</xdr:rowOff>
        </xdr:to>
        <xdr:sp macro="" textlink="">
          <xdr:nvSpPr>
            <xdr:cNvPr id="2054" name="CommandButton3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628650</xdr:colOff>
          <xdr:row>49</xdr:row>
          <xdr:rowOff>152400</xdr:rowOff>
        </xdr:from>
        <xdr:to>
          <xdr:col>20</xdr:col>
          <xdr:colOff>123825</xdr:colOff>
          <xdr:row>51</xdr:row>
          <xdr:rowOff>171450</xdr:rowOff>
        </xdr:to>
        <xdr:sp macro="" textlink="">
          <xdr:nvSpPr>
            <xdr:cNvPr id="2055" name="CommandButton4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2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657225</xdr:colOff>
          <xdr:row>52</xdr:row>
          <xdr:rowOff>57150</xdr:rowOff>
        </xdr:from>
        <xdr:to>
          <xdr:col>20</xdr:col>
          <xdr:colOff>123825</xdr:colOff>
          <xdr:row>54</xdr:row>
          <xdr:rowOff>47625</xdr:rowOff>
        </xdr:to>
        <xdr:sp macro="" textlink="">
          <xdr:nvSpPr>
            <xdr:cNvPr id="2057" name="CommandButton5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2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542925</xdr:colOff>
          <xdr:row>14</xdr:row>
          <xdr:rowOff>95250</xdr:rowOff>
        </xdr:from>
        <xdr:to>
          <xdr:col>14</xdr:col>
          <xdr:colOff>704850</xdr:colOff>
          <xdr:row>16</xdr:row>
          <xdr:rowOff>161925</xdr:rowOff>
        </xdr:to>
        <xdr:sp macro="" textlink="">
          <xdr:nvSpPr>
            <xdr:cNvPr id="2064" name="CommandButton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2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666750</xdr:colOff>
      <xdr:row>27</xdr:row>
      <xdr:rowOff>238125</xdr:rowOff>
    </xdr:from>
    <xdr:to>
      <xdr:col>9</xdr:col>
      <xdr:colOff>37683</xdr:colOff>
      <xdr:row>36</xdr:row>
      <xdr:rowOff>152089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67400" y="7953375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9</xdr:col>
      <xdr:colOff>400050</xdr:colOff>
      <xdr:row>12</xdr:row>
      <xdr:rowOff>276225</xdr:rowOff>
    </xdr:from>
    <xdr:to>
      <xdr:col>11</xdr:col>
      <xdr:colOff>1018907</xdr:colOff>
      <xdr:row>16</xdr:row>
      <xdr:rowOff>85606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363075" y="370522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9</xdr:col>
      <xdr:colOff>333375</xdr:colOff>
      <xdr:row>18</xdr:row>
      <xdr:rowOff>190500</xdr:rowOff>
    </xdr:from>
    <xdr:to>
      <xdr:col>11</xdr:col>
      <xdr:colOff>1009375</xdr:colOff>
      <xdr:row>21</xdr:row>
      <xdr:rowOff>133250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296400" y="5334000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9</xdr:col>
      <xdr:colOff>457200</xdr:colOff>
      <xdr:row>24</xdr:row>
      <xdr:rowOff>114300</xdr:rowOff>
    </xdr:from>
    <xdr:to>
      <xdr:col>11</xdr:col>
      <xdr:colOff>714152</xdr:colOff>
      <xdr:row>26</xdr:row>
      <xdr:rowOff>218990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420225" y="6972300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5</xdr:col>
      <xdr:colOff>0</xdr:colOff>
      <xdr:row>0</xdr:row>
      <xdr:rowOff>0</xdr:rowOff>
    </xdr:from>
    <xdr:to>
      <xdr:col>8</xdr:col>
      <xdr:colOff>324249</xdr:colOff>
      <xdr:row>2</xdr:row>
      <xdr:rowOff>228712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00625" y="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438150</xdr:colOff>
          <xdr:row>5</xdr:row>
          <xdr:rowOff>19050</xdr:rowOff>
        </xdr:from>
        <xdr:to>
          <xdr:col>11</xdr:col>
          <xdr:colOff>552450</xdr:colOff>
          <xdr:row>7</xdr:row>
          <xdr:rowOff>47625</xdr:rowOff>
        </xdr:to>
        <xdr:sp macro="" textlink="">
          <xdr:nvSpPr>
            <xdr:cNvPr id="12301" name="CommandButton1" hidden="1">
              <a:extLst>
                <a:ext uri="{63B3BB69-23CF-44E3-9099-C40C66FF867C}">
                  <a14:compatExt spid="_x0000_s12301"/>
                </a:ext>
                <a:ext uri="{FF2B5EF4-FFF2-40B4-BE49-F238E27FC236}">
                  <a16:creationId xmlns:a16="http://schemas.microsoft.com/office/drawing/2014/main" id="{00000000-0008-0000-0400-00000D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714375</xdr:colOff>
      <xdr:row>2</xdr:row>
      <xdr:rowOff>133350</xdr:rowOff>
    </xdr:from>
    <xdr:to>
      <xdr:col>5</xdr:col>
      <xdr:colOff>180756</xdr:colOff>
      <xdr:row>5</xdr:row>
      <xdr:rowOff>95162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943225" y="628650"/>
          <a:ext cx="1752381" cy="70476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571500</xdr:colOff>
          <xdr:row>8</xdr:row>
          <xdr:rowOff>219075</xdr:rowOff>
        </xdr:from>
        <xdr:to>
          <xdr:col>5</xdr:col>
          <xdr:colOff>647700</xdr:colOff>
          <xdr:row>10</xdr:row>
          <xdr:rowOff>104775</xdr:rowOff>
        </xdr:to>
        <xdr:sp macro="" textlink="">
          <xdr:nvSpPr>
            <xdr:cNvPr id="13313" name="CommandButton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533400</xdr:colOff>
      <xdr:row>1</xdr:row>
      <xdr:rowOff>0</xdr:rowOff>
    </xdr:from>
    <xdr:to>
      <xdr:col>15</xdr:col>
      <xdr:colOff>342900</xdr:colOff>
      <xdr:row>13</xdr:row>
      <xdr:rowOff>104775</xdr:rowOff>
    </xdr:to>
    <xdr:graphicFrame macro="">
      <xdr:nvGraphicFramePr>
        <xdr:cNvPr id="2294" name="Chart 5">
          <a:extLst>
            <a:ext uri="{FF2B5EF4-FFF2-40B4-BE49-F238E27FC236}">
              <a16:creationId xmlns:a16="http://schemas.microsoft.com/office/drawing/2014/main" id="{00000000-0008-0000-0600-0000F6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66675</xdr:colOff>
      <xdr:row>17</xdr:row>
      <xdr:rowOff>76200</xdr:rowOff>
    </xdr:from>
    <xdr:to>
      <xdr:col>38</xdr:col>
      <xdr:colOff>590550</xdr:colOff>
      <xdr:row>32</xdr:row>
      <xdr:rowOff>57150</xdr:rowOff>
    </xdr:to>
    <xdr:graphicFrame macro="">
      <xdr:nvGraphicFramePr>
        <xdr:cNvPr id="2295" name="Chart 36">
          <a:extLst>
            <a:ext uri="{FF2B5EF4-FFF2-40B4-BE49-F238E27FC236}">
              <a16:creationId xmlns:a16="http://schemas.microsoft.com/office/drawing/2014/main" id="{00000000-0008-0000-0600-0000F7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171450</xdr:colOff>
          <xdr:row>16</xdr:row>
          <xdr:rowOff>0</xdr:rowOff>
        </xdr:from>
        <xdr:to>
          <xdr:col>17</xdr:col>
          <xdr:colOff>638175</xdr:colOff>
          <xdr:row>17</xdr:row>
          <xdr:rowOff>104775</xdr:rowOff>
        </xdr:to>
        <xdr:sp macro="" textlink="">
          <xdr:nvSpPr>
            <xdr:cNvPr id="14337" name="CommandButton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180975</xdr:colOff>
          <xdr:row>17</xdr:row>
          <xdr:rowOff>209550</xdr:rowOff>
        </xdr:from>
        <xdr:to>
          <xdr:col>17</xdr:col>
          <xdr:colOff>647700</xdr:colOff>
          <xdr:row>19</xdr:row>
          <xdr:rowOff>28575</xdr:rowOff>
        </xdr:to>
        <xdr:sp macro="" textlink="">
          <xdr:nvSpPr>
            <xdr:cNvPr id="14339" name="CommandButton2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6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91</xdr:col>
      <xdr:colOff>647700</xdr:colOff>
      <xdr:row>0</xdr:row>
      <xdr:rowOff>0</xdr:rowOff>
    </xdr:from>
    <xdr:to>
      <xdr:col>97</xdr:col>
      <xdr:colOff>381000</xdr:colOff>
      <xdr:row>18</xdr:row>
      <xdr:rowOff>76200</xdr:rowOff>
    </xdr:to>
    <xdr:graphicFrame macro="">
      <xdr:nvGraphicFramePr>
        <xdr:cNvPr id="3400" name="Chart 4">
          <a:extLst>
            <a:ext uri="{FF2B5EF4-FFF2-40B4-BE49-F238E27FC236}">
              <a16:creationId xmlns:a16="http://schemas.microsoft.com/office/drawing/2014/main" id="{00000000-0008-0000-0700-0000480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9525</xdr:colOff>
      <xdr:row>2</xdr:row>
      <xdr:rowOff>19050</xdr:rowOff>
    </xdr:from>
    <xdr:to>
      <xdr:col>20</xdr:col>
      <xdr:colOff>0</xdr:colOff>
      <xdr:row>15</xdr:row>
      <xdr:rowOff>180975</xdr:rowOff>
    </xdr:to>
    <xdr:graphicFrame macro="">
      <xdr:nvGraphicFramePr>
        <xdr:cNvPr id="3401" name="Chart 9">
          <a:extLst>
            <a:ext uri="{FF2B5EF4-FFF2-40B4-BE49-F238E27FC236}">
              <a16:creationId xmlns:a16="http://schemas.microsoft.com/office/drawing/2014/main" id="{00000000-0008-0000-0700-0000490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295275</xdr:colOff>
      <xdr:row>106</xdr:row>
      <xdr:rowOff>47625</xdr:rowOff>
    </xdr:from>
    <xdr:to>
      <xdr:col>14</xdr:col>
      <xdr:colOff>647700</xdr:colOff>
      <xdr:row>128</xdr:row>
      <xdr:rowOff>104775</xdr:rowOff>
    </xdr:to>
    <xdr:graphicFrame macro="">
      <xdr:nvGraphicFramePr>
        <xdr:cNvPr id="3402" name="Chart 16">
          <a:extLst>
            <a:ext uri="{FF2B5EF4-FFF2-40B4-BE49-F238E27FC236}">
              <a16:creationId xmlns:a16="http://schemas.microsoft.com/office/drawing/2014/main" id="{00000000-0008-0000-0700-00004A0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352425</xdr:colOff>
          <xdr:row>32</xdr:row>
          <xdr:rowOff>104775</xdr:rowOff>
        </xdr:from>
        <xdr:to>
          <xdr:col>19</xdr:col>
          <xdr:colOff>723900</xdr:colOff>
          <xdr:row>33</xdr:row>
          <xdr:rowOff>257175</xdr:rowOff>
        </xdr:to>
        <xdr:sp macro="" textlink="">
          <xdr:nvSpPr>
            <xdr:cNvPr id="10254" name="CommandButton1" hidden="1">
              <a:extLst>
                <a:ext uri="{63B3BB69-23CF-44E3-9099-C40C66FF867C}">
                  <a14:compatExt spid="_x0000_s10254"/>
                </a:ext>
                <a:ext uri="{FF2B5EF4-FFF2-40B4-BE49-F238E27FC236}">
                  <a16:creationId xmlns:a16="http://schemas.microsoft.com/office/drawing/2014/main" id="{00000000-0008-0000-0700-00000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352425</xdr:colOff>
          <xdr:row>30</xdr:row>
          <xdr:rowOff>114300</xdr:rowOff>
        </xdr:from>
        <xdr:to>
          <xdr:col>19</xdr:col>
          <xdr:colOff>723900</xdr:colOff>
          <xdr:row>32</xdr:row>
          <xdr:rowOff>0</xdr:rowOff>
        </xdr:to>
        <xdr:sp macro="" textlink="">
          <xdr:nvSpPr>
            <xdr:cNvPr id="10263" name="CommandButton2" hidden="1">
              <a:extLst>
                <a:ext uri="{63B3BB69-23CF-44E3-9099-C40C66FF867C}">
                  <a14:compatExt spid="_x0000_s10263"/>
                </a:ext>
                <a:ext uri="{FF2B5EF4-FFF2-40B4-BE49-F238E27FC236}">
                  <a16:creationId xmlns:a16="http://schemas.microsoft.com/office/drawing/2014/main" id="{00000000-0008-0000-0700-00001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276225</xdr:colOff>
          <xdr:row>18</xdr:row>
          <xdr:rowOff>28575</xdr:rowOff>
        </xdr:from>
        <xdr:to>
          <xdr:col>19</xdr:col>
          <xdr:colOff>647700</xdr:colOff>
          <xdr:row>19</xdr:row>
          <xdr:rowOff>180975</xdr:rowOff>
        </xdr:to>
        <xdr:sp macro="" textlink="">
          <xdr:nvSpPr>
            <xdr:cNvPr id="10266" name="CommandButton4" hidden="1">
              <a:extLst>
                <a:ext uri="{63B3BB69-23CF-44E3-9099-C40C66FF867C}">
                  <a14:compatExt spid="_x0000_s10266"/>
                </a:ext>
                <a:ext uri="{FF2B5EF4-FFF2-40B4-BE49-F238E27FC236}">
                  <a16:creationId xmlns:a16="http://schemas.microsoft.com/office/drawing/2014/main" id="{00000000-0008-0000-0700-00001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276225</xdr:colOff>
          <xdr:row>16</xdr:row>
          <xdr:rowOff>66675</xdr:rowOff>
        </xdr:from>
        <xdr:to>
          <xdr:col>19</xdr:col>
          <xdr:colOff>647700</xdr:colOff>
          <xdr:row>17</xdr:row>
          <xdr:rowOff>219075</xdr:rowOff>
        </xdr:to>
        <xdr:sp macro="" textlink="">
          <xdr:nvSpPr>
            <xdr:cNvPr id="10267" name="CommandButton5" hidden="1">
              <a:extLst>
                <a:ext uri="{63B3BB69-23CF-44E3-9099-C40C66FF867C}">
                  <a14:compatExt spid="_x0000_s10267"/>
                </a:ext>
                <a:ext uri="{FF2B5EF4-FFF2-40B4-BE49-F238E27FC236}">
                  <a16:creationId xmlns:a16="http://schemas.microsoft.com/office/drawing/2014/main" id="{00000000-0008-0000-0700-00001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666750</xdr:colOff>
          <xdr:row>22</xdr:row>
          <xdr:rowOff>257175</xdr:rowOff>
        </xdr:from>
        <xdr:to>
          <xdr:col>19</xdr:col>
          <xdr:colOff>352425</xdr:colOff>
          <xdr:row>29</xdr:row>
          <xdr:rowOff>238125</xdr:rowOff>
        </xdr:to>
        <xdr:sp macro="" textlink="">
          <xdr:nvSpPr>
            <xdr:cNvPr id="10268" name="Frame1" hidden="1">
              <a:extLst>
                <a:ext uri="{63B3BB69-23CF-44E3-9099-C40C66FF867C}">
                  <a14:compatExt spid="_x0000_s10268"/>
                </a:ext>
                <a:ext uri="{FF2B5EF4-FFF2-40B4-BE49-F238E27FC236}">
                  <a16:creationId xmlns:a16="http://schemas.microsoft.com/office/drawing/2014/main" id="{00000000-0008-0000-0700-00001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13</xdr:row>
          <xdr:rowOff>238125</xdr:rowOff>
        </xdr:from>
        <xdr:to>
          <xdr:col>12</xdr:col>
          <xdr:colOff>133350</xdr:colOff>
          <xdr:row>15</xdr:row>
          <xdr:rowOff>123825</xdr:rowOff>
        </xdr:to>
        <xdr:sp macro="" textlink="">
          <xdr:nvSpPr>
            <xdr:cNvPr id="10269" name="CommandButton3" hidden="1">
              <a:extLst>
                <a:ext uri="{63B3BB69-23CF-44E3-9099-C40C66FF867C}">
                  <a14:compatExt spid="_x0000_s10269"/>
                </a:ext>
                <a:ext uri="{FF2B5EF4-FFF2-40B4-BE49-F238E27FC236}">
                  <a16:creationId xmlns:a16="http://schemas.microsoft.com/office/drawing/2014/main" id="{00000000-0008-0000-0700-00001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104775</xdr:colOff>
          <xdr:row>11</xdr:row>
          <xdr:rowOff>247650</xdr:rowOff>
        </xdr:from>
        <xdr:to>
          <xdr:col>12</xdr:col>
          <xdr:colOff>133350</xdr:colOff>
          <xdr:row>13</xdr:row>
          <xdr:rowOff>133350</xdr:rowOff>
        </xdr:to>
        <xdr:sp macro="" textlink="">
          <xdr:nvSpPr>
            <xdr:cNvPr id="10270" name="CommandButton6" hidden="1">
              <a:extLst>
                <a:ext uri="{63B3BB69-23CF-44E3-9099-C40C66FF867C}">
                  <a14:compatExt spid="_x0000_s10270"/>
                </a:ext>
                <a:ext uri="{FF2B5EF4-FFF2-40B4-BE49-F238E27FC236}">
                  <a16:creationId xmlns:a16="http://schemas.microsoft.com/office/drawing/2014/main" id="{00000000-0008-0000-0700-00001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276225</xdr:colOff>
          <xdr:row>19</xdr:row>
          <xdr:rowOff>247650</xdr:rowOff>
        </xdr:from>
        <xdr:to>
          <xdr:col>19</xdr:col>
          <xdr:colOff>647700</xdr:colOff>
          <xdr:row>21</xdr:row>
          <xdr:rowOff>133350</xdr:rowOff>
        </xdr:to>
        <xdr:sp macro="" textlink="">
          <xdr:nvSpPr>
            <xdr:cNvPr id="10272" name="CommandButton7" hidden="1">
              <a:extLst>
                <a:ext uri="{63B3BB69-23CF-44E3-9099-C40C66FF867C}">
                  <a14:compatExt spid="_x0000_s10272"/>
                </a:ext>
                <a:ext uri="{FF2B5EF4-FFF2-40B4-BE49-F238E27FC236}">
                  <a16:creationId xmlns:a16="http://schemas.microsoft.com/office/drawing/2014/main" id="{00000000-0008-0000-0700-000020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12</xdr:row>
          <xdr:rowOff>19050</xdr:rowOff>
        </xdr:from>
        <xdr:to>
          <xdr:col>10</xdr:col>
          <xdr:colOff>333375</xdr:colOff>
          <xdr:row>14</xdr:row>
          <xdr:rowOff>57150</xdr:rowOff>
        </xdr:to>
        <xdr:sp macro="" textlink="">
          <xdr:nvSpPr>
            <xdr:cNvPr id="19457" name="CommandButton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9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14</xdr:row>
          <xdr:rowOff>133350</xdr:rowOff>
        </xdr:from>
        <xdr:to>
          <xdr:col>10</xdr:col>
          <xdr:colOff>333375</xdr:colOff>
          <xdr:row>17</xdr:row>
          <xdr:rowOff>0</xdr:rowOff>
        </xdr:to>
        <xdr:sp macro="" textlink="">
          <xdr:nvSpPr>
            <xdr:cNvPr id="19458" name="CommandButton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9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9</xdr:row>
          <xdr:rowOff>142875</xdr:rowOff>
        </xdr:from>
        <xdr:to>
          <xdr:col>10</xdr:col>
          <xdr:colOff>323850</xdr:colOff>
          <xdr:row>12</xdr:row>
          <xdr:rowOff>9525</xdr:rowOff>
        </xdr:to>
        <xdr:sp macro="" textlink="">
          <xdr:nvSpPr>
            <xdr:cNvPr id="20481" name="CommandButton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A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752475</xdr:colOff>
          <xdr:row>13</xdr:row>
          <xdr:rowOff>9525</xdr:rowOff>
        </xdr:from>
        <xdr:to>
          <xdr:col>10</xdr:col>
          <xdr:colOff>304800</xdr:colOff>
          <xdr:row>15</xdr:row>
          <xdr:rowOff>47625</xdr:rowOff>
        </xdr:to>
        <xdr:sp macro="" textlink="">
          <xdr:nvSpPr>
            <xdr:cNvPr id="20482" name="CommandButton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A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752475</xdr:colOff>
          <xdr:row>16</xdr:row>
          <xdr:rowOff>47625</xdr:rowOff>
        </xdr:from>
        <xdr:to>
          <xdr:col>10</xdr:col>
          <xdr:colOff>304800</xdr:colOff>
          <xdr:row>18</xdr:row>
          <xdr:rowOff>85725</xdr:rowOff>
        </xdr:to>
        <xdr:sp macro="" textlink="">
          <xdr:nvSpPr>
            <xdr:cNvPr id="20484" name="CommandButton3" hidden="1">
              <a:extLst>
                <a:ext uri="{63B3BB69-23CF-44E3-9099-C40C66FF867C}">
                  <a14:compatExt spid="_x0000_s20484"/>
                </a:ext>
                <a:ext uri="{FF2B5EF4-FFF2-40B4-BE49-F238E27FC236}">
                  <a16:creationId xmlns:a16="http://schemas.microsoft.com/office/drawing/2014/main" id="{00000000-0008-0000-0A00-00000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647700</xdr:colOff>
          <xdr:row>14</xdr:row>
          <xdr:rowOff>28575</xdr:rowOff>
        </xdr:from>
        <xdr:to>
          <xdr:col>10</xdr:col>
          <xdr:colOff>200025</xdr:colOff>
          <xdr:row>16</xdr:row>
          <xdr:rowOff>66675</xdr:rowOff>
        </xdr:to>
        <xdr:sp macro="" textlink="">
          <xdr:nvSpPr>
            <xdr:cNvPr id="21505" name="CommandButton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B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657225</xdr:colOff>
          <xdr:row>17</xdr:row>
          <xdr:rowOff>19050</xdr:rowOff>
        </xdr:from>
        <xdr:to>
          <xdr:col>10</xdr:col>
          <xdr:colOff>209550</xdr:colOff>
          <xdr:row>19</xdr:row>
          <xdr:rowOff>57150</xdr:rowOff>
        </xdr:to>
        <xdr:sp macro="" textlink="">
          <xdr:nvSpPr>
            <xdr:cNvPr id="21506" name="CommandButton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B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8</xdr:row>
      <xdr:rowOff>285750</xdr:rowOff>
    </xdr:from>
    <xdr:to>
      <xdr:col>6</xdr:col>
      <xdr:colOff>800100</xdr:colOff>
      <xdr:row>11</xdr:row>
      <xdr:rowOff>0</xdr:rowOff>
    </xdr:to>
    <xdr:sp macro="" textlink="">
      <xdr:nvSpPr>
        <xdr:cNvPr id="903961" name="Rectangle 1">
          <a:extLst>
            <a:ext uri="{FF2B5EF4-FFF2-40B4-BE49-F238E27FC236}">
              <a16:creationId xmlns:a16="http://schemas.microsoft.com/office/drawing/2014/main" id="{00000000-0008-0000-0C00-000019CB0D00}"/>
            </a:ext>
          </a:extLst>
        </xdr:cNvPr>
        <xdr:cNvSpPr>
          <a:spLocks noChangeArrowheads="1"/>
        </xdr:cNvSpPr>
      </xdr:nvSpPr>
      <xdr:spPr bwMode="auto">
        <a:xfrm>
          <a:off x="3657600" y="2828925"/>
          <a:ext cx="800100" cy="733425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171450</xdr:colOff>
      <xdr:row>13</xdr:row>
      <xdr:rowOff>0</xdr:rowOff>
    </xdr:from>
    <xdr:to>
      <xdr:col>6</xdr:col>
      <xdr:colOff>638175</xdr:colOff>
      <xdr:row>13</xdr:row>
      <xdr:rowOff>0</xdr:rowOff>
    </xdr:to>
    <xdr:sp macro="" textlink="">
      <xdr:nvSpPr>
        <xdr:cNvPr id="903962" name="Line 2">
          <a:extLst>
            <a:ext uri="{FF2B5EF4-FFF2-40B4-BE49-F238E27FC236}">
              <a16:creationId xmlns:a16="http://schemas.microsoft.com/office/drawing/2014/main" id="{00000000-0008-0000-0C00-00001ACB0D00}"/>
            </a:ext>
          </a:extLst>
        </xdr:cNvPr>
        <xdr:cNvSpPr>
          <a:spLocks noChangeShapeType="1"/>
        </xdr:cNvSpPr>
      </xdr:nvSpPr>
      <xdr:spPr bwMode="auto">
        <a:xfrm>
          <a:off x="3829050" y="8601075"/>
          <a:ext cx="4667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12</xdr:row>
      <xdr:rowOff>0</xdr:rowOff>
    </xdr:from>
    <xdr:to>
      <xdr:col>6</xdr:col>
      <xdr:colOff>171450</xdr:colOff>
      <xdr:row>12</xdr:row>
      <xdr:rowOff>0</xdr:rowOff>
    </xdr:to>
    <xdr:sp macro="" textlink="">
      <xdr:nvSpPr>
        <xdr:cNvPr id="903963" name="Line 3">
          <a:extLst>
            <a:ext uri="{FF2B5EF4-FFF2-40B4-BE49-F238E27FC236}">
              <a16:creationId xmlns:a16="http://schemas.microsoft.com/office/drawing/2014/main" id="{00000000-0008-0000-0C00-00001BCB0D00}"/>
            </a:ext>
          </a:extLst>
        </xdr:cNvPr>
        <xdr:cNvSpPr>
          <a:spLocks noChangeShapeType="1"/>
        </xdr:cNvSpPr>
      </xdr:nvSpPr>
      <xdr:spPr bwMode="auto">
        <a:xfrm>
          <a:off x="3657600" y="6657975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638175</xdr:colOff>
      <xdr:row>12</xdr:row>
      <xdr:rowOff>0</xdr:rowOff>
    </xdr:from>
    <xdr:to>
      <xdr:col>7</xdr:col>
      <xdr:colOff>0</xdr:colOff>
      <xdr:row>12</xdr:row>
      <xdr:rowOff>0</xdr:rowOff>
    </xdr:to>
    <xdr:sp macro="" textlink="">
      <xdr:nvSpPr>
        <xdr:cNvPr id="903964" name="Line 4">
          <a:extLst>
            <a:ext uri="{FF2B5EF4-FFF2-40B4-BE49-F238E27FC236}">
              <a16:creationId xmlns:a16="http://schemas.microsoft.com/office/drawing/2014/main" id="{00000000-0008-0000-0C00-00001CCB0D00}"/>
            </a:ext>
          </a:extLst>
        </xdr:cNvPr>
        <xdr:cNvSpPr>
          <a:spLocks noChangeShapeType="1"/>
        </xdr:cNvSpPr>
      </xdr:nvSpPr>
      <xdr:spPr bwMode="auto">
        <a:xfrm flipH="1">
          <a:off x="4295775" y="6657975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638175</xdr:colOff>
      <xdr:row>12</xdr:row>
      <xdr:rowOff>981075</xdr:rowOff>
    </xdr:from>
    <xdr:to>
      <xdr:col>8</xdr:col>
      <xdr:colOff>209550</xdr:colOff>
      <xdr:row>12</xdr:row>
      <xdr:rowOff>981075</xdr:rowOff>
    </xdr:to>
    <xdr:sp macro="" textlink="">
      <xdr:nvSpPr>
        <xdr:cNvPr id="903965" name="Line 5">
          <a:extLst>
            <a:ext uri="{FF2B5EF4-FFF2-40B4-BE49-F238E27FC236}">
              <a16:creationId xmlns:a16="http://schemas.microsoft.com/office/drawing/2014/main" id="{00000000-0008-0000-0C00-00001DCB0D00}"/>
            </a:ext>
          </a:extLst>
        </xdr:cNvPr>
        <xdr:cNvSpPr>
          <a:spLocks noChangeShapeType="1"/>
        </xdr:cNvSpPr>
      </xdr:nvSpPr>
      <xdr:spPr bwMode="auto">
        <a:xfrm>
          <a:off x="4295775" y="7639050"/>
          <a:ext cx="5810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7</xdr:row>
      <xdr:rowOff>66675</xdr:rowOff>
    </xdr:from>
    <xdr:to>
      <xdr:col>6</xdr:col>
      <xdr:colOff>800100</xdr:colOff>
      <xdr:row>7</xdr:row>
      <xdr:rowOff>152400</xdr:rowOff>
    </xdr:to>
    <xdr:sp macro="" textlink="">
      <xdr:nvSpPr>
        <xdr:cNvPr id="903966" name="Oval 6">
          <a:extLst>
            <a:ext uri="{FF2B5EF4-FFF2-40B4-BE49-F238E27FC236}">
              <a16:creationId xmlns:a16="http://schemas.microsoft.com/office/drawing/2014/main" id="{00000000-0008-0000-0C00-00001ECB0D00}"/>
            </a:ext>
          </a:extLst>
        </xdr:cNvPr>
        <xdr:cNvSpPr>
          <a:spLocks noChangeArrowheads="1"/>
        </xdr:cNvSpPr>
      </xdr:nvSpPr>
      <xdr:spPr bwMode="auto">
        <a:xfrm>
          <a:off x="3657600" y="2419350"/>
          <a:ext cx="800100" cy="85725"/>
        </a:xfrm>
        <a:prstGeom prst="ellipse">
          <a:avLst/>
        </a:prstGeom>
        <a:solidFill>
          <a:srgbClr val="FFFFFF"/>
        </a:solidFill>
        <a:ln w="1714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0</xdr:colOff>
      <xdr:row>6</xdr:row>
      <xdr:rowOff>133350</xdr:rowOff>
    </xdr:from>
    <xdr:to>
      <xdr:col>6</xdr:col>
      <xdr:colOff>0</xdr:colOff>
      <xdr:row>6</xdr:row>
      <xdr:rowOff>219075</xdr:rowOff>
    </xdr:to>
    <xdr:sp macro="" textlink="">
      <xdr:nvSpPr>
        <xdr:cNvPr id="903967" name="Line 7">
          <a:extLst>
            <a:ext uri="{FF2B5EF4-FFF2-40B4-BE49-F238E27FC236}">
              <a16:creationId xmlns:a16="http://schemas.microsoft.com/office/drawing/2014/main" id="{00000000-0008-0000-0C00-00001FCB0D00}"/>
            </a:ext>
          </a:extLst>
        </xdr:cNvPr>
        <xdr:cNvSpPr>
          <a:spLocks noChangeShapeType="1"/>
        </xdr:cNvSpPr>
      </xdr:nvSpPr>
      <xdr:spPr bwMode="auto">
        <a:xfrm flipV="1">
          <a:off x="3657600" y="2171700"/>
          <a:ext cx="0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6</xdr:row>
      <xdr:rowOff>133350</xdr:rowOff>
    </xdr:from>
    <xdr:to>
      <xdr:col>7</xdr:col>
      <xdr:colOff>0</xdr:colOff>
      <xdr:row>6</xdr:row>
      <xdr:rowOff>219075</xdr:rowOff>
    </xdr:to>
    <xdr:sp macro="" textlink="">
      <xdr:nvSpPr>
        <xdr:cNvPr id="903968" name="Line 8">
          <a:extLst>
            <a:ext uri="{FF2B5EF4-FFF2-40B4-BE49-F238E27FC236}">
              <a16:creationId xmlns:a16="http://schemas.microsoft.com/office/drawing/2014/main" id="{00000000-0008-0000-0C00-000020CB0D00}"/>
            </a:ext>
          </a:extLst>
        </xdr:cNvPr>
        <xdr:cNvSpPr>
          <a:spLocks noChangeShapeType="1"/>
        </xdr:cNvSpPr>
      </xdr:nvSpPr>
      <xdr:spPr bwMode="auto">
        <a:xfrm flipV="1">
          <a:off x="4467225" y="2171700"/>
          <a:ext cx="0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381000</xdr:colOff>
      <xdr:row>11</xdr:row>
      <xdr:rowOff>2209800</xdr:rowOff>
    </xdr:from>
    <xdr:to>
      <xdr:col>6</xdr:col>
      <xdr:colOff>161925</xdr:colOff>
      <xdr:row>11</xdr:row>
      <xdr:rowOff>2505075</xdr:rowOff>
    </xdr:to>
    <xdr:sp macro="" textlink="">
      <xdr:nvSpPr>
        <xdr:cNvPr id="903969" name="Drawing 11">
          <a:extLst>
            <a:ext uri="{FF2B5EF4-FFF2-40B4-BE49-F238E27FC236}">
              <a16:creationId xmlns:a16="http://schemas.microsoft.com/office/drawing/2014/main" id="{00000000-0008-0000-0C00-000021CB0D00}"/>
            </a:ext>
          </a:extLst>
        </xdr:cNvPr>
        <xdr:cNvSpPr>
          <a:spLocks/>
        </xdr:cNvSpPr>
      </xdr:nvSpPr>
      <xdr:spPr bwMode="auto">
        <a:xfrm>
          <a:off x="3181350" y="5772150"/>
          <a:ext cx="638175" cy="295275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0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2147483646 h 16384"/>
            <a:gd name="T32" fmla="*/ 2147483646 w 16384"/>
            <a:gd name="T33" fmla="*/ 2147483646 h 16384"/>
            <a:gd name="T34" fmla="*/ 2147483646 w 16384"/>
            <a:gd name="T35" fmla="*/ 2147483646 h 16384"/>
            <a:gd name="T36" fmla="*/ 2147483646 w 16384"/>
            <a:gd name="T37" fmla="*/ 2147483646 h 16384"/>
            <a:gd name="T38" fmla="*/ 0 w 16384"/>
            <a:gd name="T39" fmla="*/ 2147483646 h 16384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60000 65536"/>
            <a:gd name="T52" fmla="*/ 0 60000 65536"/>
            <a:gd name="T53" fmla="*/ 0 60000 65536"/>
            <a:gd name="T54" fmla="*/ 0 60000 65536"/>
            <a:gd name="T55" fmla="*/ 0 60000 65536"/>
            <a:gd name="T56" fmla="*/ 0 60000 65536"/>
            <a:gd name="T57" fmla="*/ 0 60000 65536"/>
            <a:gd name="T58" fmla="*/ 0 60000 65536"/>
            <a:gd name="T59" fmla="*/ 0 60000 65536"/>
            <a:gd name="T60" fmla="*/ 0 w 16384"/>
            <a:gd name="T61" fmla="*/ 0 h 16384"/>
            <a:gd name="T62" fmla="*/ 16384 w 16384"/>
            <a:gd name="T63" fmla="*/ 16384 h 16384"/>
          </a:gdLst>
          <a:ahLst/>
          <a:cxnLst>
            <a:cxn ang="T40">
              <a:pos x="T0" y="T1"/>
            </a:cxn>
            <a:cxn ang="T41">
              <a:pos x="T2" y="T3"/>
            </a:cxn>
            <a:cxn ang="T42">
              <a:pos x="T4" y="T5"/>
            </a:cxn>
            <a:cxn ang="T43">
              <a:pos x="T6" y="T7"/>
            </a:cxn>
            <a:cxn ang="T44">
              <a:pos x="T8" y="T9"/>
            </a:cxn>
            <a:cxn ang="T45">
              <a:pos x="T10" y="T11"/>
            </a:cxn>
            <a:cxn ang="T46">
              <a:pos x="T12" y="T13"/>
            </a:cxn>
            <a:cxn ang="T47">
              <a:pos x="T14" y="T15"/>
            </a:cxn>
            <a:cxn ang="T48">
              <a:pos x="T16" y="T17"/>
            </a:cxn>
            <a:cxn ang="T49">
              <a:pos x="T18" y="T19"/>
            </a:cxn>
            <a:cxn ang="T50">
              <a:pos x="T20" y="T21"/>
            </a:cxn>
            <a:cxn ang="T51">
              <a:pos x="T22" y="T23"/>
            </a:cxn>
            <a:cxn ang="T52">
              <a:pos x="T24" y="T25"/>
            </a:cxn>
            <a:cxn ang="T53">
              <a:pos x="T26" y="T27"/>
            </a:cxn>
            <a:cxn ang="T54">
              <a:pos x="T28" y="T29"/>
            </a:cxn>
            <a:cxn ang="T55">
              <a:pos x="T30" y="T31"/>
            </a:cxn>
            <a:cxn ang="T56">
              <a:pos x="T32" y="T33"/>
            </a:cxn>
            <a:cxn ang="T57">
              <a:pos x="T34" y="T35"/>
            </a:cxn>
            <a:cxn ang="T58">
              <a:pos x="T36" y="T37"/>
            </a:cxn>
            <a:cxn ang="T59">
              <a:pos x="T38" y="T39"/>
            </a:cxn>
          </a:cxnLst>
          <a:rect l="T60" t="T61" r="T62" b="T63"/>
          <a:pathLst>
            <a:path w="16384" h="16384">
              <a:moveTo>
                <a:pt x="16384" y="4228"/>
              </a:moveTo>
              <a:lnTo>
                <a:pt x="15650" y="2643"/>
              </a:lnTo>
              <a:lnTo>
                <a:pt x="14917" y="2114"/>
              </a:lnTo>
              <a:lnTo>
                <a:pt x="13450" y="0"/>
              </a:lnTo>
              <a:lnTo>
                <a:pt x="11982" y="1057"/>
              </a:lnTo>
              <a:lnTo>
                <a:pt x="11004" y="1057"/>
              </a:lnTo>
              <a:lnTo>
                <a:pt x="10271" y="3171"/>
              </a:lnTo>
              <a:lnTo>
                <a:pt x="10026" y="4757"/>
              </a:lnTo>
              <a:lnTo>
                <a:pt x="10026" y="6342"/>
              </a:lnTo>
              <a:lnTo>
                <a:pt x="9537" y="9513"/>
              </a:lnTo>
              <a:lnTo>
                <a:pt x="9048" y="11099"/>
              </a:lnTo>
              <a:lnTo>
                <a:pt x="8314" y="11627"/>
              </a:lnTo>
              <a:lnTo>
                <a:pt x="7336" y="12156"/>
              </a:lnTo>
              <a:lnTo>
                <a:pt x="6603" y="12156"/>
              </a:lnTo>
              <a:lnTo>
                <a:pt x="5624" y="11099"/>
              </a:lnTo>
              <a:lnTo>
                <a:pt x="3913" y="11099"/>
              </a:lnTo>
              <a:lnTo>
                <a:pt x="1956" y="11627"/>
              </a:lnTo>
              <a:lnTo>
                <a:pt x="1223" y="13213"/>
              </a:lnTo>
              <a:lnTo>
                <a:pt x="734" y="16384"/>
              </a:lnTo>
              <a:lnTo>
                <a:pt x="0" y="15327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171450</xdr:colOff>
      <xdr:row>11</xdr:row>
      <xdr:rowOff>676275</xdr:rowOff>
    </xdr:from>
    <xdr:to>
      <xdr:col>12</xdr:col>
      <xdr:colOff>333375</xdr:colOff>
      <xdr:row>11</xdr:row>
      <xdr:rowOff>809625</xdr:rowOff>
    </xdr:to>
    <xdr:sp macro="" textlink="">
      <xdr:nvSpPr>
        <xdr:cNvPr id="903970" name="Drawing 13">
          <a:extLst>
            <a:ext uri="{FF2B5EF4-FFF2-40B4-BE49-F238E27FC236}">
              <a16:creationId xmlns:a16="http://schemas.microsoft.com/office/drawing/2014/main" id="{00000000-0008-0000-0C00-000022CB0D00}"/>
            </a:ext>
          </a:extLst>
        </xdr:cNvPr>
        <xdr:cNvSpPr>
          <a:spLocks/>
        </xdr:cNvSpPr>
      </xdr:nvSpPr>
      <xdr:spPr bwMode="auto">
        <a:xfrm>
          <a:off x="6953250" y="4238625"/>
          <a:ext cx="847725" cy="133350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0 h 16384"/>
            <a:gd name="T12" fmla="*/ 2147483646 w 16384"/>
            <a:gd name="T13" fmla="*/ 0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2147483646 h 16384"/>
            <a:gd name="T32" fmla="*/ 0 w 16384"/>
            <a:gd name="T33" fmla="*/ 2147483646 h 1638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6384"/>
            <a:gd name="T52" fmla="*/ 0 h 16384"/>
            <a:gd name="T53" fmla="*/ 16384 w 16384"/>
            <a:gd name="T54" fmla="*/ 16384 h 1638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6384" h="16384">
              <a:moveTo>
                <a:pt x="16384" y="15124"/>
              </a:moveTo>
              <a:lnTo>
                <a:pt x="15648" y="12603"/>
              </a:lnTo>
              <a:lnTo>
                <a:pt x="14359" y="10082"/>
              </a:lnTo>
              <a:lnTo>
                <a:pt x="13623" y="6302"/>
              </a:lnTo>
              <a:lnTo>
                <a:pt x="13070" y="2521"/>
              </a:lnTo>
              <a:lnTo>
                <a:pt x="11966" y="0"/>
              </a:lnTo>
              <a:lnTo>
                <a:pt x="11414" y="0"/>
              </a:lnTo>
              <a:lnTo>
                <a:pt x="10309" y="1260"/>
              </a:lnTo>
              <a:lnTo>
                <a:pt x="9204" y="3781"/>
              </a:lnTo>
              <a:lnTo>
                <a:pt x="8652" y="3781"/>
              </a:lnTo>
              <a:lnTo>
                <a:pt x="7548" y="1260"/>
              </a:lnTo>
              <a:lnTo>
                <a:pt x="6811" y="1260"/>
              </a:lnTo>
              <a:lnTo>
                <a:pt x="4602" y="6302"/>
              </a:lnTo>
              <a:lnTo>
                <a:pt x="4050" y="10082"/>
              </a:lnTo>
              <a:lnTo>
                <a:pt x="1289" y="16384"/>
              </a:lnTo>
              <a:lnTo>
                <a:pt x="736" y="16384"/>
              </a:lnTo>
              <a:lnTo>
                <a:pt x="0" y="12603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76200</xdr:colOff>
      <xdr:row>10</xdr:row>
      <xdr:rowOff>114300</xdr:rowOff>
    </xdr:from>
    <xdr:to>
      <xdr:col>2</xdr:col>
      <xdr:colOff>114300</xdr:colOff>
      <xdr:row>10</xdr:row>
      <xdr:rowOff>238125</xdr:rowOff>
    </xdr:to>
    <xdr:sp macro="" textlink="">
      <xdr:nvSpPr>
        <xdr:cNvPr id="903971" name="Line 11">
          <a:extLst>
            <a:ext uri="{FF2B5EF4-FFF2-40B4-BE49-F238E27FC236}">
              <a16:creationId xmlns:a16="http://schemas.microsoft.com/office/drawing/2014/main" id="{00000000-0008-0000-0C00-000023CB0D00}"/>
            </a:ext>
          </a:extLst>
        </xdr:cNvPr>
        <xdr:cNvSpPr>
          <a:spLocks noChangeShapeType="1"/>
        </xdr:cNvSpPr>
      </xdr:nvSpPr>
      <xdr:spPr bwMode="auto">
        <a:xfrm>
          <a:off x="1457325" y="3324225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123825</xdr:colOff>
      <xdr:row>10</xdr:row>
      <xdr:rowOff>104775</xdr:rowOff>
    </xdr:from>
    <xdr:to>
      <xdr:col>2</xdr:col>
      <xdr:colOff>180975</xdr:colOff>
      <xdr:row>10</xdr:row>
      <xdr:rowOff>228600</xdr:rowOff>
    </xdr:to>
    <xdr:sp macro="" textlink="">
      <xdr:nvSpPr>
        <xdr:cNvPr id="903972" name="Line 12">
          <a:extLst>
            <a:ext uri="{FF2B5EF4-FFF2-40B4-BE49-F238E27FC236}">
              <a16:creationId xmlns:a16="http://schemas.microsoft.com/office/drawing/2014/main" id="{00000000-0008-0000-0C00-000024CB0D00}"/>
            </a:ext>
          </a:extLst>
        </xdr:cNvPr>
        <xdr:cNvSpPr>
          <a:spLocks noChangeShapeType="1"/>
        </xdr:cNvSpPr>
      </xdr:nvSpPr>
      <xdr:spPr bwMode="auto">
        <a:xfrm flipV="1">
          <a:off x="1504950" y="3314700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276225</xdr:colOff>
      <xdr:row>10</xdr:row>
      <xdr:rowOff>123825</xdr:rowOff>
    </xdr:from>
    <xdr:to>
      <xdr:col>2</xdr:col>
      <xdr:colOff>314325</xdr:colOff>
      <xdr:row>10</xdr:row>
      <xdr:rowOff>247650</xdr:rowOff>
    </xdr:to>
    <xdr:sp macro="" textlink="">
      <xdr:nvSpPr>
        <xdr:cNvPr id="903973" name="Line 13">
          <a:extLst>
            <a:ext uri="{FF2B5EF4-FFF2-40B4-BE49-F238E27FC236}">
              <a16:creationId xmlns:a16="http://schemas.microsoft.com/office/drawing/2014/main" id="{00000000-0008-0000-0C00-000025CB0D00}"/>
            </a:ext>
          </a:extLst>
        </xdr:cNvPr>
        <xdr:cNvSpPr>
          <a:spLocks noChangeShapeType="1"/>
        </xdr:cNvSpPr>
      </xdr:nvSpPr>
      <xdr:spPr bwMode="auto">
        <a:xfrm>
          <a:off x="1657350" y="3333750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323850</xdr:colOff>
      <xdr:row>10</xdr:row>
      <xdr:rowOff>114300</xdr:rowOff>
    </xdr:from>
    <xdr:to>
      <xdr:col>2</xdr:col>
      <xdr:colOff>381000</xdr:colOff>
      <xdr:row>10</xdr:row>
      <xdr:rowOff>238125</xdr:rowOff>
    </xdr:to>
    <xdr:sp macro="" textlink="">
      <xdr:nvSpPr>
        <xdr:cNvPr id="903974" name="Line 14">
          <a:extLst>
            <a:ext uri="{FF2B5EF4-FFF2-40B4-BE49-F238E27FC236}">
              <a16:creationId xmlns:a16="http://schemas.microsoft.com/office/drawing/2014/main" id="{00000000-0008-0000-0C00-000026CB0D00}"/>
            </a:ext>
          </a:extLst>
        </xdr:cNvPr>
        <xdr:cNvSpPr>
          <a:spLocks noChangeShapeType="1"/>
        </xdr:cNvSpPr>
      </xdr:nvSpPr>
      <xdr:spPr bwMode="auto">
        <a:xfrm flipV="1">
          <a:off x="1704975" y="3324225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495300</xdr:colOff>
      <xdr:row>10</xdr:row>
      <xdr:rowOff>114300</xdr:rowOff>
    </xdr:from>
    <xdr:to>
      <xdr:col>2</xdr:col>
      <xdr:colOff>533400</xdr:colOff>
      <xdr:row>10</xdr:row>
      <xdr:rowOff>238125</xdr:rowOff>
    </xdr:to>
    <xdr:sp macro="" textlink="">
      <xdr:nvSpPr>
        <xdr:cNvPr id="903975" name="Line 15">
          <a:extLst>
            <a:ext uri="{FF2B5EF4-FFF2-40B4-BE49-F238E27FC236}">
              <a16:creationId xmlns:a16="http://schemas.microsoft.com/office/drawing/2014/main" id="{00000000-0008-0000-0C00-000027CB0D00}"/>
            </a:ext>
          </a:extLst>
        </xdr:cNvPr>
        <xdr:cNvSpPr>
          <a:spLocks noChangeShapeType="1"/>
        </xdr:cNvSpPr>
      </xdr:nvSpPr>
      <xdr:spPr bwMode="auto">
        <a:xfrm>
          <a:off x="1876425" y="3324225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542925</xdr:colOff>
      <xdr:row>10</xdr:row>
      <xdr:rowOff>104775</xdr:rowOff>
    </xdr:from>
    <xdr:to>
      <xdr:col>2</xdr:col>
      <xdr:colOff>600075</xdr:colOff>
      <xdr:row>10</xdr:row>
      <xdr:rowOff>228600</xdr:rowOff>
    </xdr:to>
    <xdr:sp macro="" textlink="">
      <xdr:nvSpPr>
        <xdr:cNvPr id="903976" name="Line 16">
          <a:extLst>
            <a:ext uri="{FF2B5EF4-FFF2-40B4-BE49-F238E27FC236}">
              <a16:creationId xmlns:a16="http://schemas.microsoft.com/office/drawing/2014/main" id="{00000000-0008-0000-0C00-000028CB0D00}"/>
            </a:ext>
          </a:extLst>
        </xdr:cNvPr>
        <xdr:cNvSpPr>
          <a:spLocks noChangeShapeType="1"/>
        </xdr:cNvSpPr>
      </xdr:nvSpPr>
      <xdr:spPr bwMode="auto">
        <a:xfrm flipV="1">
          <a:off x="1924050" y="3314700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85725</xdr:colOff>
      <xdr:row>8</xdr:row>
      <xdr:rowOff>104775</xdr:rowOff>
    </xdr:from>
    <xdr:to>
      <xdr:col>2</xdr:col>
      <xdr:colOff>142875</xdr:colOff>
      <xdr:row>8</xdr:row>
      <xdr:rowOff>104775</xdr:rowOff>
    </xdr:to>
    <xdr:sp macro="" textlink="">
      <xdr:nvSpPr>
        <xdr:cNvPr id="903977" name="Drawing 20">
          <a:extLst>
            <a:ext uri="{FF2B5EF4-FFF2-40B4-BE49-F238E27FC236}">
              <a16:creationId xmlns:a16="http://schemas.microsoft.com/office/drawing/2014/main" id="{00000000-0008-0000-0C00-000029CB0D00}"/>
            </a:ext>
          </a:extLst>
        </xdr:cNvPr>
        <xdr:cNvSpPr>
          <a:spLocks/>
        </xdr:cNvSpPr>
      </xdr:nvSpPr>
      <xdr:spPr bwMode="auto">
        <a:xfrm>
          <a:off x="1466850" y="2647950"/>
          <a:ext cx="57150" cy="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0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266700</xdr:colOff>
      <xdr:row>8</xdr:row>
      <xdr:rowOff>104775</xdr:rowOff>
    </xdr:from>
    <xdr:to>
      <xdr:col>2</xdr:col>
      <xdr:colOff>381000</xdr:colOff>
      <xdr:row>8</xdr:row>
      <xdr:rowOff>123825</xdr:rowOff>
    </xdr:to>
    <xdr:sp macro="" textlink="">
      <xdr:nvSpPr>
        <xdr:cNvPr id="903978" name="Drawing 21">
          <a:extLst>
            <a:ext uri="{FF2B5EF4-FFF2-40B4-BE49-F238E27FC236}">
              <a16:creationId xmlns:a16="http://schemas.microsoft.com/office/drawing/2014/main" id="{00000000-0008-0000-0C00-00002ACB0D00}"/>
            </a:ext>
          </a:extLst>
        </xdr:cNvPr>
        <xdr:cNvSpPr>
          <a:spLocks/>
        </xdr:cNvSpPr>
      </xdr:nvSpPr>
      <xdr:spPr bwMode="auto">
        <a:xfrm>
          <a:off x="1647825" y="2647950"/>
          <a:ext cx="114300" cy="1905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2147483646 w 16384"/>
            <a:gd name="T5" fmla="*/ 5040666 h 16384"/>
            <a:gd name="T6" fmla="*/ 2147483646 w 16384"/>
            <a:gd name="T7" fmla="*/ 5040666 h 16384"/>
            <a:gd name="T8" fmla="*/ 0 60000 65536"/>
            <a:gd name="T9" fmla="*/ 0 60000 65536"/>
            <a:gd name="T10" fmla="*/ 0 60000 65536"/>
            <a:gd name="T11" fmla="*/ 0 60000 65536"/>
            <a:gd name="T12" fmla="*/ 0 w 16384"/>
            <a:gd name="T13" fmla="*/ 0 h 16384"/>
            <a:gd name="T14" fmla="*/ 16384 w 16384"/>
            <a:gd name="T15" fmla="*/ 16384 h 1638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384" h="16384">
              <a:moveTo>
                <a:pt x="0" y="0"/>
              </a:moveTo>
              <a:lnTo>
                <a:pt x="4096" y="0"/>
              </a:lnTo>
              <a:lnTo>
                <a:pt x="12288" y="16384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133350</xdr:colOff>
      <xdr:row>8</xdr:row>
      <xdr:rowOff>180975</xdr:rowOff>
    </xdr:from>
    <xdr:to>
      <xdr:col>2</xdr:col>
      <xdr:colOff>190500</xdr:colOff>
      <xdr:row>8</xdr:row>
      <xdr:rowOff>180975</xdr:rowOff>
    </xdr:to>
    <xdr:sp macro="" textlink="">
      <xdr:nvSpPr>
        <xdr:cNvPr id="903979" name="Drawing 22">
          <a:extLst>
            <a:ext uri="{FF2B5EF4-FFF2-40B4-BE49-F238E27FC236}">
              <a16:creationId xmlns:a16="http://schemas.microsoft.com/office/drawing/2014/main" id="{00000000-0008-0000-0C00-00002BCB0D00}"/>
            </a:ext>
          </a:extLst>
        </xdr:cNvPr>
        <xdr:cNvSpPr>
          <a:spLocks/>
        </xdr:cNvSpPr>
      </xdr:nvSpPr>
      <xdr:spPr bwMode="auto">
        <a:xfrm>
          <a:off x="1514475" y="2724150"/>
          <a:ext cx="57150" cy="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0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390525</xdr:colOff>
      <xdr:row>8</xdr:row>
      <xdr:rowOff>180975</xdr:rowOff>
    </xdr:from>
    <xdr:to>
      <xdr:col>2</xdr:col>
      <xdr:colOff>457200</xdr:colOff>
      <xdr:row>8</xdr:row>
      <xdr:rowOff>190500</xdr:rowOff>
    </xdr:to>
    <xdr:sp macro="" textlink="">
      <xdr:nvSpPr>
        <xdr:cNvPr id="903980" name="Drawing 23">
          <a:extLst>
            <a:ext uri="{FF2B5EF4-FFF2-40B4-BE49-F238E27FC236}">
              <a16:creationId xmlns:a16="http://schemas.microsoft.com/office/drawing/2014/main" id="{00000000-0008-0000-0C00-00002CCB0D00}"/>
            </a:ext>
          </a:extLst>
        </xdr:cNvPr>
        <xdr:cNvSpPr>
          <a:spLocks/>
        </xdr:cNvSpPr>
      </xdr:nvSpPr>
      <xdr:spPr bwMode="auto">
        <a:xfrm>
          <a:off x="1771650" y="2724150"/>
          <a:ext cx="66675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2147483646 w 16384"/>
            <a:gd name="T5" fmla="*/ 1 h 16384"/>
            <a:gd name="T6" fmla="*/ 0 60000 65536"/>
            <a:gd name="T7" fmla="*/ 0 60000 65536"/>
            <a:gd name="T8" fmla="*/ 0 60000 65536"/>
            <a:gd name="T9" fmla="*/ 0 w 16384"/>
            <a:gd name="T10" fmla="*/ 0 h 16384"/>
            <a:gd name="T11" fmla="*/ 16384 w 16384"/>
            <a:gd name="T12" fmla="*/ 16384 h 16384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6384" h="16384">
              <a:moveTo>
                <a:pt x="0" y="0"/>
              </a:moveTo>
              <a:lnTo>
                <a:pt x="9362" y="0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523875</xdr:colOff>
      <xdr:row>8</xdr:row>
      <xdr:rowOff>76200</xdr:rowOff>
    </xdr:from>
    <xdr:to>
      <xdr:col>2</xdr:col>
      <xdr:colOff>581025</xdr:colOff>
      <xdr:row>8</xdr:row>
      <xdr:rowOff>76200</xdr:rowOff>
    </xdr:to>
    <xdr:sp macro="" textlink="">
      <xdr:nvSpPr>
        <xdr:cNvPr id="903981" name="Drawing 24">
          <a:extLst>
            <a:ext uri="{FF2B5EF4-FFF2-40B4-BE49-F238E27FC236}">
              <a16:creationId xmlns:a16="http://schemas.microsoft.com/office/drawing/2014/main" id="{00000000-0008-0000-0C00-00002DCB0D00}"/>
            </a:ext>
          </a:extLst>
        </xdr:cNvPr>
        <xdr:cNvSpPr>
          <a:spLocks/>
        </xdr:cNvSpPr>
      </xdr:nvSpPr>
      <xdr:spPr bwMode="auto">
        <a:xfrm>
          <a:off x="1905000" y="2619375"/>
          <a:ext cx="57150" cy="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0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609600</xdr:colOff>
      <xdr:row>8</xdr:row>
      <xdr:rowOff>209550</xdr:rowOff>
    </xdr:from>
    <xdr:to>
      <xdr:col>2</xdr:col>
      <xdr:colOff>638175</xdr:colOff>
      <xdr:row>8</xdr:row>
      <xdr:rowOff>219075</xdr:rowOff>
    </xdr:to>
    <xdr:sp macro="" textlink="">
      <xdr:nvSpPr>
        <xdr:cNvPr id="903982" name="Drawing 25">
          <a:extLst>
            <a:ext uri="{FF2B5EF4-FFF2-40B4-BE49-F238E27FC236}">
              <a16:creationId xmlns:a16="http://schemas.microsoft.com/office/drawing/2014/main" id="{00000000-0008-0000-0C00-00002ECB0D00}"/>
            </a:ext>
          </a:extLst>
        </xdr:cNvPr>
        <xdr:cNvSpPr>
          <a:spLocks/>
        </xdr:cNvSpPr>
      </xdr:nvSpPr>
      <xdr:spPr bwMode="auto">
        <a:xfrm>
          <a:off x="1990725" y="2752725"/>
          <a:ext cx="28575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1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16384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104775</xdr:colOff>
      <xdr:row>8</xdr:row>
      <xdr:rowOff>295275</xdr:rowOff>
    </xdr:from>
    <xdr:to>
      <xdr:col>2</xdr:col>
      <xdr:colOff>161925</xdr:colOff>
      <xdr:row>8</xdr:row>
      <xdr:rowOff>304800</xdr:rowOff>
    </xdr:to>
    <xdr:sp macro="" textlink="">
      <xdr:nvSpPr>
        <xdr:cNvPr id="903983" name="Drawing 26">
          <a:extLst>
            <a:ext uri="{FF2B5EF4-FFF2-40B4-BE49-F238E27FC236}">
              <a16:creationId xmlns:a16="http://schemas.microsoft.com/office/drawing/2014/main" id="{00000000-0008-0000-0C00-00002FCB0D00}"/>
            </a:ext>
          </a:extLst>
        </xdr:cNvPr>
        <xdr:cNvSpPr>
          <a:spLocks/>
        </xdr:cNvSpPr>
      </xdr:nvSpPr>
      <xdr:spPr bwMode="auto">
        <a:xfrm>
          <a:off x="1485900" y="2838450"/>
          <a:ext cx="57150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1 h 16384"/>
            <a:gd name="T4" fmla="*/ 2147483646 w 16384"/>
            <a:gd name="T5" fmla="*/ 1 h 16384"/>
            <a:gd name="T6" fmla="*/ 0 60000 65536"/>
            <a:gd name="T7" fmla="*/ 0 60000 65536"/>
            <a:gd name="T8" fmla="*/ 0 60000 65536"/>
            <a:gd name="T9" fmla="*/ 0 w 16384"/>
            <a:gd name="T10" fmla="*/ 0 h 16384"/>
            <a:gd name="T11" fmla="*/ 16384 w 16384"/>
            <a:gd name="T12" fmla="*/ 16384 h 16384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6384" h="16384">
              <a:moveTo>
                <a:pt x="0" y="0"/>
              </a:moveTo>
              <a:lnTo>
                <a:pt x="8192" y="16384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295275</xdr:colOff>
      <xdr:row>8</xdr:row>
      <xdr:rowOff>238125</xdr:rowOff>
    </xdr:from>
    <xdr:to>
      <xdr:col>2</xdr:col>
      <xdr:colOff>323850</xdr:colOff>
      <xdr:row>8</xdr:row>
      <xdr:rowOff>247650</xdr:rowOff>
    </xdr:to>
    <xdr:sp macro="" textlink="">
      <xdr:nvSpPr>
        <xdr:cNvPr id="903984" name="Drawing 27">
          <a:extLst>
            <a:ext uri="{FF2B5EF4-FFF2-40B4-BE49-F238E27FC236}">
              <a16:creationId xmlns:a16="http://schemas.microsoft.com/office/drawing/2014/main" id="{00000000-0008-0000-0C00-000030CB0D00}"/>
            </a:ext>
          </a:extLst>
        </xdr:cNvPr>
        <xdr:cNvSpPr>
          <a:spLocks/>
        </xdr:cNvSpPr>
      </xdr:nvSpPr>
      <xdr:spPr bwMode="auto">
        <a:xfrm>
          <a:off x="1676400" y="2781300"/>
          <a:ext cx="28575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1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16384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457200</xdr:colOff>
      <xdr:row>8</xdr:row>
      <xdr:rowOff>285750</xdr:rowOff>
    </xdr:from>
    <xdr:to>
      <xdr:col>2</xdr:col>
      <xdr:colOff>581025</xdr:colOff>
      <xdr:row>8</xdr:row>
      <xdr:rowOff>295275</xdr:rowOff>
    </xdr:to>
    <xdr:sp macro="" textlink="">
      <xdr:nvSpPr>
        <xdr:cNvPr id="903985" name="Drawing 28">
          <a:extLst>
            <a:ext uri="{FF2B5EF4-FFF2-40B4-BE49-F238E27FC236}">
              <a16:creationId xmlns:a16="http://schemas.microsoft.com/office/drawing/2014/main" id="{00000000-0008-0000-0C00-000031CB0D00}"/>
            </a:ext>
          </a:extLst>
        </xdr:cNvPr>
        <xdr:cNvSpPr>
          <a:spLocks/>
        </xdr:cNvSpPr>
      </xdr:nvSpPr>
      <xdr:spPr bwMode="auto">
        <a:xfrm>
          <a:off x="1838325" y="2828925"/>
          <a:ext cx="123825" cy="9525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2147483646 w 16384"/>
            <a:gd name="T5" fmla="*/ 1 h 16384"/>
            <a:gd name="T6" fmla="*/ 2147483646 w 16384"/>
            <a:gd name="T7" fmla="*/ 1 h 16384"/>
            <a:gd name="T8" fmla="*/ 0 60000 65536"/>
            <a:gd name="T9" fmla="*/ 0 60000 65536"/>
            <a:gd name="T10" fmla="*/ 0 60000 65536"/>
            <a:gd name="T11" fmla="*/ 0 60000 65536"/>
            <a:gd name="T12" fmla="*/ 0 w 16384"/>
            <a:gd name="T13" fmla="*/ 0 h 16384"/>
            <a:gd name="T14" fmla="*/ 16384 w 16384"/>
            <a:gd name="T15" fmla="*/ 16384 h 1638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384" h="16384">
              <a:moveTo>
                <a:pt x="0" y="0"/>
              </a:moveTo>
              <a:lnTo>
                <a:pt x="5041" y="0"/>
              </a:lnTo>
              <a:lnTo>
                <a:pt x="8822" y="16384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190500</xdr:colOff>
      <xdr:row>8</xdr:row>
      <xdr:rowOff>38100</xdr:rowOff>
    </xdr:from>
    <xdr:to>
      <xdr:col>2</xdr:col>
      <xdr:colOff>219075</xdr:colOff>
      <xdr:row>8</xdr:row>
      <xdr:rowOff>38100</xdr:rowOff>
    </xdr:to>
    <xdr:sp macro="" textlink="">
      <xdr:nvSpPr>
        <xdr:cNvPr id="903986" name="Drawing 29">
          <a:extLst>
            <a:ext uri="{FF2B5EF4-FFF2-40B4-BE49-F238E27FC236}">
              <a16:creationId xmlns:a16="http://schemas.microsoft.com/office/drawing/2014/main" id="{00000000-0008-0000-0C00-000032CB0D00}"/>
            </a:ext>
          </a:extLst>
        </xdr:cNvPr>
        <xdr:cNvSpPr>
          <a:spLocks/>
        </xdr:cNvSpPr>
      </xdr:nvSpPr>
      <xdr:spPr bwMode="auto">
        <a:xfrm>
          <a:off x="1571625" y="2581275"/>
          <a:ext cx="28575" cy="0"/>
        </a:xfrm>
        <a:custGeom>
          <a:avLst/>
          <a:gdLst>
            <a:gd name="T0" fmla="*/ 0 w 16384"/>
            <a:gd name="T1" fmla="*/ 0 h 16384"/>
            <a:gd name="T2" fmla="*/ 2147483646 w 16384"/>
            <a:gd name="T3" fmla="*/ 0 h 16384"/>
            <a:gd name="T4" fmla="*/ 0 60000 65536"/>
            <a:gd name="T5" fmla="*/ 0 60000 65536"/>
            <a:gd name="T6" fmla="*/ 0 w 16384"/>
            <a:gd name="T7" fmla="*/ 0 h 16384"/>
            <a:gd name="T8" fmla="*/ 16384 w 16384"/>
            <a:gd name="T9" fmla="*/ 0 h 16384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6384" h="16384">
              <a:moveTo>
                <a:pt x="0" y="0"/>
              </a:move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266700</xdr:colOff>
      <xdr:row>11</xdr:row>
      <xdr:rowOff>2438400</xdr:rowOff>
    </xdr:from>
    <xdr:to>
      <xdr:col>6</xdr:col>
      <xdr:colOff>171450</xdr:colOff>
      <xdr:row>11</xdr:row>
      <xdr:rowOff>2571750</xdr:rowOff>
    </xdr:to>
    <xdr:sp macro="" textlink="">
      <xdr:nvSpPr>
        <xdr:cNvPr id="903987" name="Drawing 34">
          <a:extLst>
            <a:ext uri="{FF2B5EF4-FFF2-40B4-BE49-F238E27FC236}">
              <a16:creationId xmlns:a16="http://schemas.microsoft.com/office/drawing/2014/main" id="{00000000-0008-0000-0C00-000033CB0D00}"/>
            </a:ext>
          </a:extLst>
        </xdr:cNvPr>
        <xdr:cNvSpPr>
          <a:spLocks/>
        </xdr:cNvSpPr>
      </xdr:nvSpPr>
      <xdr:spPr bwMode="auto">
        <a:xfrm>
          <a:off x="3067050" y="6000750"/>
          <a:ext cx="762000" cy="133350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0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0 w 16384"/>
            <a:gd name="T29" fmla="*/ 2147483646 h 16384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16384"/>
            <a:gd name="T46" fmla="*/ 0 h 16384"/>
            <a:gd name="T47" fmla="*/ 16384 w 16384"/>
            <a:gd name="T48" fmla="*/ 16384 h 16384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16384" h="16384">
              <a:moveTo>
                <a:pt x="16384" y="5461"/>
              </a:moveTo>
              <a:lnTo>
                <a:pt x="14950" y="3277"/>
              </a:lnTo>
              <a:lnTo>
                <a:pt x="13722" y="2185"/>
              </a:lnTo>
              <a:lnTo>
                <a:pt x="12083" y="1092"/>
              </a:lnTo>
              <a:lnTo>
                <a:pt x="11469" y="0"/>
              </a:lnTo>
              <a:lnTo>
                <a:pt x="10854" y="3277"/>
              </a:lnTo>
              <a:lnTo>
                <a:pt x="10445" y="6554"/>
              </a:lnTo>
              <a:lnTo>
                <a:pt x="9216" y="13107"/>
              </a:lnTo>
              <a:lnTo>
                <a:pt x="8602" y="15292"/>
              </a:lnTo>
              <a:lnTo>
                <a:pt x="7168" y="15292"/>
              </a:lnTo>
              <a:lnTo>
                <a:pt x="6554" y="16384"/>
              </a:lnTo>
              <a:lnTo>
                <a:pt x="4915" y="15292"/>
              </a:lnTo>
              <a:lnTo>
                <a:pt x="2458" y="14199"/>
              </a:lnTo>
              <a:lnTo>
                <a:pt x="1229" y="14199"/>
              </a:lnTo>
              <a:lnTo>
                <a:pt x="0" y="983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381000</xdr:colOff>
      <xdr:row>11</xdr:row>
      <xdr:rowOff>2028825</xdr:rowOff>
    </xdr:from>
    <xdr:to>
      <xdr:col>5</xdr:col>
      <xdr:colOff>95250</xdr:colOff>
      <xdr:row>11</xdr:row>
      <xdr:rowOff>2305050</xdr:rowOff>
    </xdr:to>
    <xdr:sp macro="" textlink="">
      <xdr:nvSpPr>
        <xdr:cNvPr id="903988" name="Drawing 35">
          <a:extLst>
            <a:ext uri="{FF2B5EF4-FFF2-40B4-BE49-F238E27FC236}">
              <a16:creationId xmlns:a16="http://schemas.microsoft.com/office/drawing/2014/main" id="{00000000-0008-0000-0C00-000034CB0D00}"/>
            </a:ext>
          </a:extLst>
        </xdr:cNvPr>
        <xdr:cNvSpPr>
          <a:spLocks/>
        </xdr:cNvSpPr>
      </xdr:nvSpPr>
      <xdr:spPr bwMode="auto">
        <a:xfrm>
          <a:off x="3181350" y="5591175"/>
          <a:ext cx="371475" cy="276225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0 w 16384"/>
            <a:gd name="T23" fmla="*/ 0 h 16384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w 16384"/>
            <a:gd name="T37" fmla="*/ 0 h 16384"/>
            <a:gd name="T38" fmla="*/ 16384 w 16384"/>
            <a:gd name="T39" fmla="*/ 16384 h 16384"/>
          </a:gdLst>
          <a:ahLst/>
          <a:cxnLst>
            <a:cxn ang="T24">
              <a:pos x="T0" y="T1"/>
            </a:cxn>
            <a:cxn ang="T25">
              <a:pos x="T2" y="T3"/>
            </a:cxn>
            <a:cxn ang="T26">
              <a:pos x="T4" y="T5"/>
            </a:cxn>
            <a:cxn ang="T27">
              <a:pos x="T6" y="T7"/>
            </a:cxn>
            <a:cxn ang="T28">
              <a:pos x="T8" y="T9"/>
            </a:cxn>
            <a:cxn ang="T29">
              <a:pos x="T10" y="T11"/>
            </a:cxn>
            <a:cxn ang="T30">
              <a:pos x="T12" y="T13"/>
            </a:cxn>
            <a:cxn ang="T31">
              <a:pos x="T14" y="T15"/>
            </a:cxn>
            <a:cxn ang="T32">
              <a:pos x="T16" y="T17"/>
            </a:cxn>
            <a:cxn ang="T33">
              <a:pos x="T18" y="T19"/>
            </a:cxn>
            <a:cxn ang="T34">
              <a:pos x="T20" y="T21"/>
            </a:cxn>
            <a:cxn ang="T35">
              <a:pos x="T22" y="T23"/>
            </a:cxn>
          </a:cxnLst>
          <a:rect l="T36" t="T37" r="T38" b="T39"/>
          <a:pathLst>
            <a:path w="16384" h="16384">
              <a:moveTo>
                <a:pt x="16384" y="16384"/>
              </a:moveTo>
              <a:lnTo>
                <a:pt x="15124" y="14746"/>
              </a:lnTo>
              <a:lnTo>
                <a:pt x="11763" y="13653"/>
              </a:lnTo>
              <a:lnTo>
                <a:pt x="9242" y="11469"/>
              </a:lnTo>
              <a:lnTo>
                <a:pt x="7982" y="10923"/>
              </a:lnTo>
              <a:lnTo>
                <a:pt x="5461" y="10923"/>
              </a:lnTo>
              <a:lnTo>
                <a:pt x="2941" y="10377"/>
              </a:lnTo>
              <a:lnTo>
                <a:pt x="1680" y="9284"/>
              </a:lnTo>
              <a:lnTo>
                <a:pt x="1260" y="7646"/>
              </a:lnTo>
              <a:lnTo>
                <a:pt x="1260" y="6007"/>
              </a:lnTo>
              <a:lnTo>
                <a:pt x="840" y="4369"/>
              </a:lnTo>
              <a:lnTo>
                <a:pt x="0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5</xdr:row>
      <xdr:rowOff>152400</xdr:rowOff>
    </xdr:from>
    <xdr:to>
      <xdr:col>5</xdr:col>
      <xdr:colOff>0</xdr:colOff>
      <xdr:row>5</xdr:row>
      <xdr:rowOff>285750</xdr:rowOff>
    </xdr:to>
    <xdr:sp macro="" textlink="">
      <xdr:nvSpPr>
        <xdr:cNvPr id="903989" name="Line 29">
          <a:extLst>
            <a:ext uri="{FF2B5EF4-FFF2-40B4-BE49-F238E27FC236}">
              <a16:creationId xmlns:a16="http://schemas.microsoft.com/office/drawing/2014/main" id="{00000000-0008-0000-0C00-000035CB0D00}"/>
            </a:ext>
          </a:extLst>
        </xdr:cNvPr>
        <xdr:cNvSpPr>
          <a:spLocks noChangeShapeType="1"/>
        </xdr:cNvSpPr>
      </xdr:nvSpPr>
      <xdr:spPr bwMode="auto">
        <a:xfrm flipH="1" flipV="1">
          <a:off x="3457575" y="1876425"/>
          <a:ext cx="0" cy="1333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5</xdr:row>
      <xdr:rowOff>171450</xdr:rowOff>
    </xdr:from>
    <xdr:to>
      <xdr:col>8</xdr:col>
      <xdr:colOff>0</xdr:colOff>
      <xdr:row>5</xdr:row>
      <xdr:rowOff>266700</xdr:rowOff>
    </xdr:to>
    <xdr:sp macro="" textlink="">
      <xdr:nvSpPr>
        <xdr:cNvPr id="903990" name="Line 30">
          <a:extLst>
            <a:ext uri="{FF2B5EF4-FFF2-40B4-BE49-F238E27FC236}">
              <a16:creationId xmlns:a16="http://schemas.microsoft.com/office/drawing/2014/main" id="{00000000-0008-0000-0C00-000036CB0D00}"/>
            </a:ext>
          </a:extLst>
        </xdr:cNvPr>
        <xdr:cNvSpPr>
          <a:spLocks noChangeShapeType="1"/>
        </xdr:cNvSpPr>
      </xdr:nvSpPr>
      <xdr:spPr bwMode="auto">
        <a:xfrm flipV="1">
          <a:off x="4667250" y="1895475"/>
          <a:ext cx="0" cy="952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11</xdr:row>
      <xdr:rowOff>0</xdr:rowOff>
    </xdr:from>
    <xdr:to>
      <xdr:col>6</xdr:col>
      <xdr:colOff>171450</xdr:colOff>
      <xdr:row>11</xdr:row>
      <xdr:rowOff>0</xdr:rowOff>
    </xdr:to>
    <xdr:sp macro="" textlink="">
      <xdr:nvSpPr>
        <xdr:cNvPr id="903991" name="Line 31">
          <a:extLst>
            <a:ext uri="{FF2B5EF4-FFF2-40B4-BE49-F238E27FC236}">
              <a16:creationId xmlns:a16="http://schemas.microsoft.com/office/drawing/2014/main" id="{00000000-0008-0000-0C00-000037CB0D00}"/>
            </a:ext>
          </a:extLst>
        </xdr:cNvPr>
        <xdr:cNvSpPr>
          <a:spLocks noChangeShapeType="1"/>
        </xdr:cNvSpPr>
      </xdr:nvSpPr>
      <xdr:spPr bwMode="auto">
        <a:xfrm>
          <a:off x="3657600" y="3562350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171450</xdr:colOff>
      <xdr:row>11</xdr:row>
      <xdr:rowOff>0</xdr:rowOff>
    </xdr:from>
    <xdr:to>
      <xdr:col>6</xdr:col>
      <xdr:colOff>171450</xdr:colOff>
      <xdr:row>11</xdr:row>
      <xdr:rowOff>2095500</xdr:rowOff>
    </xdr:to>
    <xdr:sp macro="" textlink="">
      <xdr:nvSpPr>
        <xdr:cNvPr id="903992" name="Line 32">
          <a:extLst>
            <a:ext uri="{FF2B5EF4-FFF2-40B4-BE49-F238E27FC236}">
              <a16:creationId xmlns:a16="http://schemas.microsoft.com/office/drawing/2014/main" id="{00000000-0008-0000-0C00-000038CB0D00}"/>
            </a:ext>
          </a:extLst>
        </xdr:cNvPr>
        <xdr:cNvSpPr>
          <a:spLocks noChangeShapeType="1"/>
        </xdr:cNvSpPr>
      </xdr:nvSpPr>
      <xdr:spPr bwMode="auto">
        <a:xfrm>
          <a:off x="3829050" y="3562350"/>
          <a:ext cx="0" cy="2095500"/>
        </a:xfrm>
        <a:prstGeom prst="line">
          <a:avLst/>
        </a:prstGeom>
        <a:noFill/>
        <a:ln w="1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638175</xdr:colOff>
      <xdr:row>11</xdr:row>
      <xdr:rowOff>0</xdr:rowOff>
    </xdr:from>
    <xdr:to>
      <xdr:col>7</xdr:col>
      <xdr:colOff>0</xdr:colOff>
      <xdr:row>11</xdr:row>
      <xdr:rowOff>0</xdr:rowOff>
    </xdr:to>
    <xdr:sp macro="" textlink="">
      <xdr:nvSpPr>
        <xdr:cNvPr id="903993" name="Line 33">
          <a:extLst>
            <a:ext uri="{FF2B5EF4-FFF2-40B4-BE49-F238E27FC236}">
              <a16:creationId xmlns:a16="http://schemas.microsoft.com/office/drawing/2014/main" id="{00000000-0008-0000-0C00-000039CB0D00}"/>
            </a:ext>
          </a:extLst>
        </xdr:cNvPr>
        <xdr:cNvSpPr>
          <a:spLocks noChangeShapeType="1"/>
        </xdr:cNvSpPr>
      </xdr:nvSpPr>
      <xdr:spPr bwMode="auto">
        <a:xfrm flipH="1">
          <a:off x="4295775" y="3562350"/>
          <a:ext cx="1714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238125</xdr:colOff>
      <xdr:row>11</xdr:row>
      <xdr:rowOff>571500</xdr:rowOff>
    </xdr:from>
    <xdr:to>
      <xdr:col>11</xdr:col>
      <xdr:colOff>628650</xdr:colOff>
      <xdr:row>11</xdr:row>
      <xdr:rowOff>781050</xdr:rowOff>
    </xdr:to>
    <xdr:sp macro="" textlink="">
      <xdr:nvSpPr>
        <xdr:cNvPr id="903994" name="Drawing 47">
          <a:extLst>
            <a:ext uri="{FF2B5EF4-FFF2-40B4-BE49-F238E27FC236}">
              <a16:creationId xmlns:a16="http://schemas.microsoft.com/office/drawing/2014/main" id="{00000000-0008-0000-0C00-00003ACB0D00}"/>
            </a:ext>
          </a:extLst>
        </xdr:cNvPr>
        <xdr:cNvSpPr>
          <a:spLocks/>
        </xdr:cNvSpPr>
      </xdr:nvSpPr>
      <xdr:spPr bwMode="auto">
        <a:xfrm>
          <a:off x="7019925" y="4133850"/>
          <a:ext cx="390525" cy="209550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0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0 60000 65536"/>
            <a:gd name="T25" fmla="*/ 0 60000 65536"/>
            <a:gd name="T26" fmla="*/ 0 60000 65536"/>
            <a:gd name="T27" fmla="*/ 0 60000 65536"/>
            <a:gd name="T28" fmla="*/ 0 60000 65536"/>
            <a:gd name="T29" fmla="*/ 0 60000 65536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w 16384"/>
            <a:gd name="T37" fmla="*/ 0 h 16384"/>
            <a:gd name="T38" fmla="*/ 16384 w 16384"/>
            <a:gd name="T39" fmla="*/ 16384 h 16384"/>
          </a:gdLst>
          <a:ahLst/>
          <a:cxnLst>
            <a:cxn ang="T24">
              <a:pos x="T0" y="T1"/>
            </a:cxn>
            <a:cxn ang="T25">
              <a:pos x="T2" y="T3"/>
            </a:cxn>
            <a:cxn ang="T26">
              <a:pos x="T4" y="T5"/>
            </a:cxn>
            <a:cxn ang="T27">
              <a:pos x="T6" y="T7"/>
            </a:cxn>
            <a:cxn ang="T28">
              <a:pos x="T8" y="T9"/>
            </a:cxn>
            <a:cxn ang="T29">
              <a:pos x="T10" y="T11"/>
            </a:cxn>
            <a:cxn ang="T30">
              <a:pos x="T12" y="T13"/>
            </a:cxn>
            <a:cxn ang="T31">
              <a:pos x="T14" y="T15"/>
            </a:cxn>
            <a:cxn ang="T32">
              <a:pos x="T16" y="T17"/>
            </a:cxn>
            <a:cxn ang="T33">
              <a:pos x="T18" y="T19"/>
            </a:cxn>
            <a:cxn ang="T34">
              <a:pos x="T20" y="T21"/>
            </a:cxn>
            <a:cxn ang="T35">
              <a:pos x="T22" y="T23"/>
            </a:cxn>
          </a:cxnLst>
          <a:rect l="T36" t="T37" r="T38" b="T39"/>
          <a:pathLst>
            <a:path w="16384" h="16384">
              <a:moveTo>
                <a:pt x="0" y="3562"/>
              </a:moveTo>
              <a:lnTo>
                <a:pt x="1199" y="2137"/>
              </a:lnTo>
              <a:lnTo>
                <a:pt x="2398" y="2137"/>
              </a:lnTo>
              <a:lnTo>
                <a:pt x="3596" y="712"/>
              </a:lnTo>
              <a:lnTo>
                <a:pt x="4795" y="0"/>
              </a:lnTo>
              <a:lnTo>
                <a:pt x="7193" y="1425"/>
              </a:lnTo>
              <a:lnTo>
                <a:pt x="8392" y="2849"/>
              </a:lnTo>
              <a:lnTo>
                <a:pt x="9191" y="4986"/>
              </a:lnTo>
              <a:lnTo>
                <a:pt x="11589" y="9261"/>
              </a:lnTo>
              <a:lnTo>
                <a:pt x="12388" y="11398"/>
              </a:lnTo>
              <a:lnTo>
                <a:pt x="14786" y="12110"/>
              </a:lnTo>
              <a:lnTo>
                <a:pt x="16384" y="16384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180975</xdr:colOff>
      <xdr:row>11</xdr:row>
      <xdr:rowOff>866775</xdr:rowOff>
    </xdr:from>
    <xdr:to>
      <xdr:col>12</xdr:col>
      <xdr:colOff>276225</xdr:colOff>
      <xdr:row>11</xdr:row>
      <xdr:rowOff>942975</xdr:rowOff>
    </xdr:to>
    <xdr:sp macro="" textlink="">
      <xdr:nvSpPr>
        <xdr:cNvPr id="903995" name="Drawing 48">
          <a:extLst>
            <a:ext uri="{FF2B5EF4-FFF2-40B4-BE49-F238E27FC236}">
              <a16:creationId xmlns:a16="http://schemas.microsoft.com/office/drawing/2014/main" id="{00000000-0008-0000-0C00-00003BCB0D00}"/>
            </a:ext>
          </a:extLst>
        </xdr:cNvPr>
        <xdr:cNvSpPr>
          <a:spLocks/>
        </xdr:cNvSpPr>
      </xdr:nvSpPr>
      <xdr:spPr bwMode="auto">
        <a:xfrm>
          <a:off x="6962775" y="4429125"/>
          <a:ext cx="781050" cy="76200"/>
        </a:xfrm>
        <a:custGeom>
          <a:avLst/>
          <a:gdLst>
            <a:gd name="T0" fmla="*/ 2147483646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2147483646 h 16384"/>
            <a:gd name="T32" fmla="*/ 0 w 16384"/>
            <a:gd name="T33" fmla="*/ 0 h 1638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6384"/>
            <a:gd name="T52" fmla="*/ 0 h 16384"/>
            <a:gd name="T53" fmla="*/ 16384 w 16384"/>
            <a:gd name="T54" fmla="*/ 16384 h 1638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6384" h="16384">
              <a:moveTo>
                <a:pt x="16384" y="6144"/>
              </a:moveTo>
              <a:lnTo>
                <a:pt x="14985" y="6144"/>
              </a:lnTo>
              <a:lnTo>
                <a:pt x="13787" y="14336"/>
              </a:lnTo>
              <a:lnTo>
                <a:pt x="13187" y="16384"/>
              </a:lnTo>
              <a:lnTo>
                <a:pt x="11988" y="16384"/>
              </a:lnTo>
              <a:lnTo>
                <a:pt x="10590" y="10240"/>
              </a:lnTo>
              <a:lnTo>
                <a:pt x="9790" y="6144"/>
              </a:lnTo>
              <a:lnTo>
                <a:pt x="8991" y="4096"/>
              </a:lnTo>
              <a:lnTo>
                <a:pt x="8392" y="4096"/>
              </a:lnTo>
              <a:lnTo>
                <a:pt x="7593" y="2048"/>
              </a:lnTo>
              <a:lnTo>
                <a:pt x="6993" y="2048"/>
              </a:lnTo>
              <a:lnTo>
                <a:pt x="6394" y="6144"/>
              </a:lnTo>
              <a:lnTo>
                <a:pt x="5595" y="8192"/>
              </a:lnTo>
              <a:lnTo>
                <a:pt x="4196" y="8192"/>
              </a:lnTo>
              <a:lnTo>
                <a:pt x="2997" y="6144"/>
              </a:lnTo>
              <a:lnTo>
                <a:pt x="2398" y="4096"/>
              </a:lnTo>
              <a:lnTo>
                <a:pt x="0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0</xdr:colOff>
      <xdr:row>5</xdr:row>
      <xdr:rowOff>219075</xdr:rowOff>
    </xdr:from>
    <xdr:to>
      <xdr:col>8</xdr:col>
      <xdr:colOff>0</xdr:colOff>
      <xdr:row>5</xdr:row>
      <xdr:rowOff>219075</xdr:rowOff>
    </xdr:to>
    <xdr:sp macro="" textlink="">
      <xdr:nvSpPr>
        <xdr:cNvPr id="903996" name="Line 36">
          <a:extLst>
            <a:ext uri="{FF2B5EF4-FFF2-40B4-BE49-F238E27FC236}">
              <a16:creationId xmlns:a16="http://schemas.microsoft.com/office/drawing/2014/main" id="{00000000-0008-0000-0C00-00003CCB0D00}"/>
            </a:ext>
          </a:extLst>
        </xdr:cNvPr>
        <xdr:cNvSpPr>
          <a:spLocks noChangeShapeType="1"/>
        </xdr:cNvSpPr>
      </xdr:nvSpPr>
      <xdr:spPr bwMode="auto">
        <a:xfrm>
          <a:off x="3457575" y="1943100"/>
          <a:ext cx="12096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6</xdr:row>
      <xdr:rowOff>171450</xdr:rowOff>
    </xdr:from>
    <xdr:to>
      <xdr:col>7</xdr:col>
      <xdr:colOff>0</xdr:colOff>
      <xdr:row>6</xdr:row>
      <xdr:rowOff>171450</xdr:rowOff>
    </xdr:to>
    <xdr:sp macro="" textlink="">
      <xdr:nvSpPr>
        <xdr:cNvPr id="903997" name="Line 37">
          <a:extLst>
            <a:ext uri="{FF2B5EF4-FFF2-40B4-BE49-F238E27FC236}">
              <a16:creationId xmlns:a16="http://schemas.microsoft.com/office/drawing/2014/main" id="{00000000-0008-0000-0C00-00003DCB0D00}"/>
            </a:ext>
          </a:extLst>
        </xdr:cNvPr>
        <xdr:cNvSpPr>
          <a:spLocks noChangeShapeType="1"/>
        </xdr:cNvSpPr>
      </xdr:nvSpPr>
      <xdr:spPr bwMode="auto">
        <a:xfrm>
          <a:off x="3657600" y="2209800"/>
          <a:ext cx="8096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7</xdr:row>
      <xdr:rowOff>104775</xdr:rowOff>
    </xdr:from>
    <xdr:to>
      <xdr:col>6</xdr:col>
      <xdr:colOff>0</xdr:colOff>
      <xdr:row>11</xdr:row>
      <xdr:rowOff>0</xdr:rowOff>
    </xdr:to>
    <xdr:sp macro="" textlink="">
      <xdr:nvSpPr>
        <xdr:cNvPr id="903998" name="Line 38">
          <a:extLst>
            <a:ext uri="{FF2B5EF4-FFF2-40B4-BE49-F238E27FC236}">
              <a16:creationId xmlns:a16="http://schemas.microsoft.com/office/drawing/2014/main" id="{00000000-0008-0000-0C00-00003ECB0D00}"/>
            </a:ext>
          </a:extLst>
        </xdr:cNvPr>
        <xdr:cNvSpPr>
          <a:spLocks noChangeShapeType="1"/>
        </xdr:cNvSpPr>
      </xdr:nvSpPr>
      <xdr:spPr bwMode="auto">
        <a:xfrm flipV="1">
          <a:off x="3657600" y="2457450"/>
          <a:ext cx="0" cy="1104900"/>
        </a:xfrm>
        <a:prstGeom prst="line">
          <a:avLst/>
        </a:prstGeom>
        <a:noFill/>
        <a:ln w="2476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7</xdr:row>
      <xdr:rowOff>123825</xdr:rowOff>
    </xdr:from>
    <xdr:to>
      <xdr:col>7</xdr:col>
      <xdr:colOff>0</xdr:colOff>
      <xdr:row>11</xdr:row>
      <xdr:rowOff>28575</xdr:rowOff>
    </xdr:to>
    <xdr:sp macro="" textlink="">
      <xdr:nvSpPr>
        <xdr:cNvPr id="903999" name="Line 39">
          <a:extLst>
            <a:ext uri="{FF2B5EF4-FFF2-40B4-BE49-F238E27FC236}">
              <a16:creationId xmlns:a16="http://schemas.microsoft.com/office/drawing/2014/main" id="{00000000-0008-0000-0C00-00003FCB0D00}"/>
            </a:ext>
          </a:extLst>
        </xdr:cNvPr>
        <xdr:cNvSpPr>
          <a:spLocks noChangeShapeType="1"/>
        </xdr:cNvSpPr>
      </xdr:nvSpPr>
      <xdr:spPr bwMode="auto">
        <a:xfrm flipH="1" flipV="1">
          <a:off x="4467225" y="2476500"/>
          <a:ext cx="0" cy="1114425"/>
        </a:xfrm>
        <a:prstGeom prst="line">
          <a:avLst/>
        </a:prstGeom>
        <a:noFill/>
        <a:ln w="2476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0</xdr:colOff>
      <xdr:row>8</xdr:row>
      <xdr:rowOff>0</xdr:rowOff>
    </xdr:from>
    <xdr:to>
      <xdr:col>5</xdr:col>
      <xdr:colOff>190500</xdr:colOff>
      <xdr:row>11</xdr:row>
      <xdr:rowOff>0</xdr:rowOff>
    </xdr:to>
    <xdr:sp macro="" textlink="">
      <xdr:nvSpPr>
        <xdr:cNvPr id="904000" name="Rectangle 40">
          <a:extLst>
            <a:ext uri="{FF2B5EF4-FFF2-40B4-BE49-F238E27FC236}">
              <a16:creationId xmlns:a16="http://schemas.microsoft.com/office/drawing/2014/main" id="{00000000-0008-0000-0C00-000040CB0D00}"/>
            </a:ext>
          </a:extLst>
        </xdr:cNvPr>
        <xdr:cNvSpPr>
          <a:spLocks noChangeArrowheads="1"/>
        </xdr:cNvSpPr>
      </xdr:nvSpPr>
      <xdr:spPr bwMode="auto">
        <a:xfrm>
          <a:off x="3457575" y="2543175"/>
          <a:ext cx="190500" cy="10191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9525</xdr:colOff>
      <xdr:row>8</xdr:row>
      <xdr:rowOff>0</xdr:rowOff>
    </xdr:from>
    <xdr:to>
      <xdr:col>8</xdr:col>
      <xdr:colOff>0</xdr:colOff>
      <xdr:row>11</xdr:row>
      <xdr:rowOff>0</xdr:rowOff>
    </xdr:to>
    <xdr:sp macro="" textlink="">
      <xdr:nvSpPr>
        <xdr:cNvPr id="904001" name="Rectangle 41">
          <a:extLst>
            <a:ext uri="{FF2B5EF4-FFF2-40B4-BE49-F238E27FC236}">
              <a16:creationId xmlns:a16="http://schemas.microsoft.com/office/drawing/2014/main" id="{00000000-0008-0000-0C00-000041CB0D00}"/>
            </a:ext>
          </a:extLst>
        </xdr:cNvPr>
        <xdr:cNvSpPr>
          <a:spLocks noChangeArrowheads="1"/>
        </xdr:cNvSpPr>
      </xdr:nvSpPr>
      <xdr:spPr bwMode="auto">
        <a:xfrm>
          <a:off x="4476750" y="2543175"/>
          <a:ext cx="190500" cy="10191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9525</xdr:colOff>
      <xdr:row>9</xdr:row>
      <xdr:rowOff>161925</xdr:rowOff>
    </xdr:from>
    <xdr:to>
      <xdr:col>9</xdr:col>
      <xdr:colOff>133350</xdr:colOff>
      <xdr:row>9</xdr:row>
      <xdr:rowOff>161925</xdr:rowOff>
    </xdr:to>
    <xdr:sp macro="" textlink="">
      <xdr:nvSpPr>
        <xdr:cNvPr id="904002" name="Line 42">
          <a:extLst>
            <a:ext uri="{FF2B5EF4-FFF2-40B4-BE49-F238E27FC236}">
              <a16:creationId xmlns:a16="http://schemas.microsoft.com/office/drawing/2014/main" id="{00000000-0008-0000-0C00-000042CB0D00}"/>
            </a:ext>
          </a:extLst>
        </xdr:cNvPr>
        <xdr:cNvSpPr>
          <a:spLocks noChangeShapeType="1"/>
        </xdr:cNvSpPr>
      </xdr:nvSpPr>
      <xdr:spPr bwMode="auto">
        <a:xfrm>
          <a:off x="4476750" y="3057525"/>
          <a:ext cx="9810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638175</xdr:colOff>
      <xdr:row>11</xdr:row>
      <xdr:rowOff>1943100</xdr:rowOff>
    </xdr:from>
    <xdr:to>
      <xdr:col>8</xdr:col>
      <xdr:colOff>304800</xdr:colOff>
      <xdr:row>11</xdr:row>
      <xdr:rowOff>2057400</xdr:rowOff>
    </xdr:to>
    <xdr:sp macro="" textlink="">
      <xdr:nvSpPr>
        <xdr:cNvPr id="904003" name="Drawing 70">
          <a:extLst>
            <a:ext uri="{FF2B5EF4-FFF2-40B4-BE49-F238E27FC236}">
              <a16:creationId xmlns:a16="http://schemas.microsoft.com/office/drawing/2014/main" id="{00000000-0008-0000-0C00-000043CB0D00}"/>
            </a:ext>
          </a:extLst>
        </xdr:cNvPr>
        <xdr:cNvSpPr>
          <a:spLocks/>
        </xdr:cNvSpPr>
      </xdr:nvSpPr>
      <xdr:spPr bwMode="auto">
        <a:xfrm>
          <a:off x="4295775" y="5505450"/>
          <a:ext cx="676275" cy="114300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0 h 16384"/>
            <a:gd name="T32" fmla="*/ 2147483646 w 16384"/>
            <a:gd name="T33" fmla="*/ 0 h 16384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60000 65536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w 16384"/>
            <a:gd name="T52" fmla="*/ 0 h 16384"/>
            <a:gd name="T53" fmla="*/ 16384 w 16384"/>
            <a:gd name="T54" fmla="*/ 16384 h 16384"/>
          </a:gdLst>
          <a:ahLst/>
          <a:cxnLst>
            <a:cxn ang="T34">
              <a:pos x="T0" y="T1"/>
            </a:cxn>
            <a:cxn ang="T35">
              <a:pos x="T2" y="T3"/>
            </a:cxn>
            <a:cxn ang="T36">
              <a:pos x="T4" y="T5"/>
            </a:cxn>
            <a:cxn ang="T37">
              <a:pos x="T6" y="T7"/>
            </a:cxn>
            <a:cxn ang="T38">
              <a:pos x="T8" y="T9"/>
            </a:cxn>
            <a:cxn ang="T39">
              <a:pos x="T10" y="T11"/>
            </a:cxn>
            <a:cxn ang="T40">
              <a:pos x="T12" y="T13"/>
            </a:cxn>
            <a:cxn ang="T41">
              <a:pos x="T14" y="T15"/>
            </a:cxn>
            <a:cxn ang="T42">
              <a:pos x="T16" y="T17"/>
            </a:cxn>
            <a:cxn ang="T43">
              <a:pos x="T18" y="T19"/>
            </a:cxn>
            <a:cxn ang="T44">
              <a:pos x="T20" y="T21"/>
            </a:cxn>
            <a:cxn ang="T45">
              <a:pos x="T22" y="T23"/>
            </a:cxn>
            <a:cxn ang="T46">
              <a:pos x="T24" y="T25"/>
            </a:cxn>
            <a:cxn ang="T47">
              <a:pos x="T26" y="T27"/>
            </a:cxn>
            <a:cxn ang="T48">
              <a:pos x="T28" y="T29"/>
            </a:cxn>
            <a:cxn ang="T49">
              <a:pos x="T30" y="T31"/>
            </a:cxn>
            <a:cxn ang="T50">
              <a:pos x="T32" y="T33"/>
            </a:cxn>
          </a:cxnLst>
          <a:rect l="T51" t="T52" r="T53" b="T54"/>
          <a:pathLst>
            <a:path w="16384" h="16384">
              <a:moveTo>
                <a:pt x="0" y="16384"/>
              </a:moveTo>
              <a:lnTo>
                <a:pt x="462" y="8822"/>
              </a:lnTo>
              <a:lnTo>
                <a:pt x="1154" y="6302"/>
              </a:lnTo>
              <a:lnTo>
                <a:pt x="1846" y="6302"/>
              </a:lnTo>
              <a:lnTo>
                <a:pt x="2538" y="7562"/>
              </a:lnTo>
              <a:lnTo>
                <a:pt x="4615" y="7562"/>
              </a:lnTo>
              <a:lnTo>
                <a:pt x="6000" y="8822"/>
              </a:lnTo>
              <a:lnTo>
                <a:pt x="6692" y="8822"/>
              </a:lnTo>
              <a:lnTo>
                <a:pt x="8538" y="10082"/>
              </a:lnTo>
              <a:lnTo>
                <a:pt x="9923" y="11343"/>
              </a:lnTo>
              <a:lnTo>
                <a:pt x="10615" y="11343"/>
              </a:lnTo>
              <a:lnTo>
                <a:pt x="11538" y="10082"/>
              </a:lnTo>
              <a:lnTo>
                <a:pt x="12230" y="8822"/>
              </a:lnTo>
              <a:lnTo>
                <a:pt x="12923" y="6302"/>
              </a:lnTo>
              <a:lnTo>
                <a:pt x="13615" y="5041"/>
              </a:lnTo>
              <a:lnTo>
                <a:pt x="14999" y="0"/>
              </a:ln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790575</xdr:colOff>
      <xdr:row>11</xdr:row>
      <xdr:rowOff>1619250</xdr:rowOff>
    </xdr:from>
    <xdr:to>
      <xdr:col>8</xdr:col>
      <xdr:colOff>266700</xdr:colOff>
      <xdr:row>11</xdr:row>
      <xdr:rowOff>1866900</xdr:rowOff>
    </xdr:to>
    <xdr:sp macro="" textlink="">
      <xdr:nvSpPr>
        <xdr:cNvPr id="904004" name="Drawing 71">
          <a:extLst>
            <a:ext uri="{FF2B5EF4-FFF2-40B4-BE49-F238E27FC236}">
              <a16:creationId xmlns:a16="http://schemas.microsoft.com/office/drawing/2014/main" id="{00000000-0008-0000-0C00-000044CB0D00}"/>
            </a:ext>
          </a:extLst>
        </xdr:cNvPr>
        <xdr:cNvSpPr>
          <a:spLocks/>
        </xdr:cNvSpPr>
      </xdr:nvSpPr>
      <xdr:spPr bwMode="auto">
        <a:xfrm>
          <a:off x="4448175" y="5181600"/>
          <a:ext cx="485775" cy="247650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0 h 16384"/>
            <a:gd name="T30" fmla="*/ 0 60000 65536"/>
            <a:gd name="T31" fmla="*/ 0 60000 65536"/>
            <a:gd name="T32" fmla="*/ 0 60000 65536"/>
            <a:gd name="T33" fmla="*/ 0 60000 65536"/>
            <a:gd name="T34" fmla="*/ 0 60000 65536"/>
            <a:gd name="T35" fmla="*/ 0 60000 65536"/>
            <a:gd name="T36" fmla="*/ 0 60000 65536"/>
            <a:gd name="T37" fmla="*/ 0 60000 65536"/>
            <a:gd name="T38" fmla="*/ 0 60000 65536"/>
            <a:gd name="T39" fmla="*/ 0 60000 65536"/>
            <a:gd name="T40" fmla="*/ 0 60000 65536"/>
            <a:gd name="T41" fmla="*/ 0 60000 65536"/>
            <a:gd name="T42" fmla="*/ 0 60000 65536"/>
            <a:gd name="T43" fmla="*/ 0 60000 65536"/>
            <a:gd name="T44" fmla="*/ 0 60000 65536"/>
            <a:gd name="T45" fmla="*/ 0 w 16384"/>
            <a:gd name="T46" fmla="*/ 0 h 16384"/>
            <a:gd name="T47" fmla="*/ 16384 w 16384"/>
            <a:gd name="T48" fmla="*/ 16384 h 16384"/>
          </a:gdLst>
          <a:ahLst/>
          <a:cxnLst>
            <a:cxn ang="T30">
              <a:pos x="T0" y="T1"/>
            </a:cxn>
            <a:cxn ang="T31">
              <a:pos x="T2" y="T3"/>
            </a:cxn>
            <a:cxn ang="T32">
              <a:pos x="T4" y="T5"/>
            </a:cxn>
            <a:cxn ang="T33">
              <a:pos x="T6" y="T7"/>
            </a:cxn>
            <a:cxn ang="T34">
              <a:pos x="T8" y="T9"/>
            </a:cxn>
            <a:cxn ang="T35">
              <a:pos x="T10" y="T11"/>
            </a:cxn>
            <a:cxn ang="T36">
              <a:pos x="T12" y="T13"/>
            </a:cxn>
            <a:cxn ang="T37">
              <a:pos x="T14" y="T15"/>
            </a:cxn>
            <a:cxn ang="T38">
              <a:pos x="T16" y="T17"/>
            </a:cxn>
            <a:cxn ang="T39">
              <a:pos x="T18" y="T19"/>
            </a:cxn>
            <a:cxn ang="T40">
              <a:pos x="T20" y="T21"/>
            </a:cxn>
            <a:cxn ang="T41">
              <a:pos x="T22" y="T23"/>
            </a:cxn>
            <a:cxn ang="T42">
              <a:pos x="T24" y="T25"/>
            </a:cxn>
            <a:cxn ang="T43">
              <a:pos x="T26" y="T27"/>
            </a:cxn>
            <a:cxn ang="T44">
              <a:pos x="T28" y="T29"/>
            </a:cxn>
          </a:cxnLst>
          <a:rect l="T45" t="T46" r="T47" b="T48"/>
          <a:pathLst>
            <a:path w="16384" h="16384">
              <a:moveTo>
                <a:pt x="0" y="16384"/>
              </a:moveTo>
              <a:lnTo>
                <a:pt x="643" y="14336"/>
              </a:lnTo>
              <a:lnTo>
                <a:pt x="964" y="12288"/>
              </a:lnTo>
              <a:lnTo>
                <a:pt x="1928" y="11605"/>
              </a:lnTo>
              <a:lnTo>
                <a:pt x="3213" y="11605"/>
              </a:lnTo>
              <a:lnTo>
                <a:pt x="5783" y="10240"/>
              </a:lnTo>
              <a:lnTo>
                <a:pt x="6746" y="8875"/>
              </a:lnTo>
              <a:lnTo>
                <a:pt x="8031" y="7509"/>
              </a:lnTo>
              <a:lnTo>
                <a:pt x="8995" y="5461"/>
              </a:lnTo>
              <a:lnTo>
                <a:pt x="9959" y="4779"/>
              </a:lnTo>
              <a:lnTo>
                <a:pt x="11244" y="4096"/>
              </a:lnTo>
              <a:lnTo>
                <a:pt x="13171" y="4096"/>
              </a:lnTo>
              <a:lnTo>
                <a:pt x="14135" y="3413"/>
              </a:lnTo>
              <a:lnTo>
                <a:pt x="15420" y="1365"/>
              </a:lnTo>
              <a:lnTo>
                <a:pt x="16384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638175</xdr:colOff>
      <xdr:row>11</xdr:row>
      <xdr:rowOff>1809750</xdr:rowOff>
    </xdr:from>
    <xdr:to>
      <xdr:col>8</xdr:col>
      <xdr:colOff>485775</xdr:colOff>
      <xdr:row>11</xdr:row>
      <xdr:rowOff>1924050</xdr:rowOff>
    </xdr:to>
    <xdr:sp macro="" textlink="">
      <xdr:nvSpPr>
        <xdr:cNvPr id="904005" name="Drawing 72">
          <a:extLst>
            <a:ext uri="{FF2B5EF4-FFF2-40B4-BE49-F238E27FC236}">
              <a16:creationId xmlns:a16="http://schemas.microsoft.com/office/drawing/2014/main" id="{00000000-0008-0000-0C00-000045CB0D00}"/>
            </a:ext>
          </a:extLst>
        </xdr:cNvPr>
        <xdr:cNvSpPr>
          <a:spLocks/>
        </xdr:cNvSpPr>
      </xdr:nvSpPr>
      <xdr:spPr bwMode="auto">
        <a:xfrm>
          <a:off x="4295775" y="5372100"/>
          <a:ext cx="857250" cy="114300"/>
        </a:xfrm>
        <a:custGeom>
          <a:avLst/>
          <a:gdLst>
            <a:gd name="T0" fmla="*/ 0 w 16384"/>
            <a:gd name="T1" fmla="*/ 2147483646 h 16384"/>
            <a:gd name="T2" fmla="*/ 2147483646 w 16384"/>
            <a:gd name="T3" fmla="*/ 2147483646 h 16384"/>
            <a:gd name="T4" fmla="*/ 2147483646 w 16384"/>
            <a:gd name="T5" fmla="*/ 2147483646 h 16384"/>
            <a:gd name="T6" fmla="*/ 2147483646 w 16384"/>
            <a:gd name="T7" fmla="*/ 2147483646 h 16384"/>
            <a:gd name="T8" fmla="*/ 2147483646 w 16384"/>
            <a:gd name="T9" fmla="*/ 2147483646 h 16384"/>
            <a:gd name="T10" fmla="*/ 2147483646 w 16384"/>
            <a:gd name="T11" fmla="*/ 2147483646 h 16384"/>
            <a:gd name="T12" fmla="*/ 2147483646 w 16384"/>
            <a:gd name="T13" fmla="*/ 2147483646 h 16384"/>
            <a:gd name="T14" fmla="*/ 2147483646 w 16384"/>
            <a:gd name="T15" fmla="*/ 2147483646 h 16384"/>
            <a:gd name="T16" fmla="*/ 2147483646 w 16384"/>
            <a:gd name="T17" fmla="*/ 2147483646 h 16384"/>
            <a:gd name="T18" fmla="*/ 2147483646 w 16384"/>
            <a:gd name="T19" fmla="*/ 2147483646 h 16384"/>
            <a:gd name="T20" fmla="*/ 2147483646 w 16384"/>
            <a:gd name="T21" fmla="*/ 2147483646 h 16384"/>
            <a:gd name="T22" fmla="*/ 2147483646 w 16384"/>
            <a:gd name="T23" fmla="*/ 2147483646 h 16384"/>
            <a:gd name="T24" fmla="*/ 2147483646 w 16384"/>
            <a:gd name="T25" fmla="*/ 2147483646 h 16384"/>
            <a:gd name="T26" fmla="*/ 2147483646 w 16384"/>
            <a:gd name="T27" fmla="*/ 2147483646 h 16384"/>
            <a:gd name="T28" fmla="*/ 2147483646 w 16384"/>
            <a:gd name="T29" fmla="*/ 2147483646 h 16384"/>
            <a:gd name="T30" fmla="*/ 2147483646 w 16384"/>
            <a:gd name="T31" fmla="*/ 2147483646 h 16384"/>
            <a:gd name="T32" fmla="*/ 2147483646 w 16384"/>
            <a:gd name="T33" fmla="*/ 2147483646 h 16384"/>
            <a:gd name="T34" fmla="*/ 2147483646 w 16384"/>
            <a:gd name="T35" fmla="*/ 0 h 16384"/>
            <a:gd name="T36" fmla="*/ 2147483646 w 16384"/>
            <a:gd name="T37" fmla="*/ 0 h 16384"/>
            <a:gd name="T38" fmla="*/ 2147483646 w 16384"/>
            <a:gd name="T39" fmla="*/ 2147483646 h 16384"/>
            <a:gd name="T40" fmla="*/ 2147483646 w 16384"/>
            <a:gd name="T41" fmla="*/ 2147483646 h 16384"/>
            <a:gd name="T42" fmla="*/ 2147483646 w 16384"/>
            <a:gd name="T43" fmla="*/ 2147483646 h 16384"/>
            <a:gd name="T44" fmla="*/ 2147483646 w 16384"/>
            <a:gd name="T45" fmla="*/ 2147483646 h 16384"/>
            <a:gd name="T46" fmla="*/ 0 60000 65536"/>
            <a:gd name="T47" fmla="*/ 0 60000 65536"/>
            <a:gd name="T48" fmla="*/ 0 60000 65536"/>
            <a:gd name="T49" fmla="*/ 0 60000 65536"/>
            <a:gd name="T50" fmla="*/ 0 60000 65536"/>
            <a:gd name="T51" fmla="*/ 0 60000 65536"/>
            <a:gd name="T52" fmla="*/ 0 60000 65536"/>
            <a:gd name="T53" fmla="*/ 0 60000 65536"/>
            <a:gd name="T54" fmla="*/ 0 60000 65536"/>
            <a:gd name="T55" fmla="*/ 0 60000 65536"/>
            <a:gd name="T56" fmla="*/ 0 60000 65536"/>
            <a:gd name="T57" fmla="*/ 0 60000 65536"/>
            <a:gd name="T58" fmla="*/ 0 60000 65536"/>
            <a:gd name="T59" fmla="*/ 0 60000 65536"/>
            <a:gd name="T60" fmla="*/ 0 60000 65536"/>
            <a:gd name="T61" fmla="*/ 0 60000 65536"/>
            <a:gd name="T62" fmla="*/ 0 60000 65536"/>
            <a:gd name="T63" fmla="*/ 0 60000 65536"/>
            <a:gd name="T64" fmla="*/ 0 60000 65536"/>
            <a:gd name="T65" fmla="*/ 0 60000 65536"/>
            <a:gd name="T66" fmla="*/ 0 60000 65536"/>
            <a:gd name="T67" fmla="*/ 0 60000 65536"/>
            <a:gd name="T68" fmla="*/ 0 60000 65536"/>
            <a:gd name="T69" fmla="*/ 0 w 16384"/>
            <a:gd name="T70" fmla="*/ 0 h 16384"/>
            <a:gd name="T71" fmla="*/ 16384 w 16384"/>
            <a:gd name="T72" fmla="*/ 16384 h 16384"/>
          </a:gdLst>
          <a:ahLst/>
          <a:cxnLst>
            <a:cxn ang="T46">
              <a:pos x="T0" y="T1"/>
            </a:cxn>
            <a:cxn ang="T47">
              <a:pos x="T2" y="T3"/>
            </a:cxn>
            <a:cxn ang="T48">
              <a:pos x="T4" y="T5"/>
            </a:cxn>
            <a:cxn ang="T49">
              <a:pos x="T6" y="T7"/>
            </a:cxn>
            <a:cxn ang="T50">
              <a:pos x="T8" y="T9"/>
            </a:cxn>
            <a:cxn ang="T51">
              <a:pos x="T10" y="T11"/>
            </a:cxn>
            <a:cxn ang="T52">
              <a:pos x="T12" y="T13"/>
            </a:cxn>
            <a:cxn ang="T53">
              <a:pos x="T14" y="T15"/>
            </a:cxn>
            <a:cxn ang="T54">
              <a:pos x="T16" y="T17"/>
            </a:cxn>
            <a:cxn ang="T55">
              <a:pos x="T18" y="T19"/>
            </a:cxn>
            <a:cxn ang="T56">
              <a:pos x="T20" y="T21"/>
            </a:cxn>
            <a:cxn ang="T57">
              <a:pos x="T22" y="T23"/>
            </a:cxn>
            <a:cxn ang="T58">
              <a:pos x="T24" y="T25"/>
            </a:cxn>
            <a:cxn ang="T59">
              <a:pos x="T26" y="T27"/>
            </a:cxn>
            <a:cxn ang="T60">
              <a:pos x="T28" y="T29"/>
            </a:cxn>
            <a:cxn ang="T61">
              <a:pos x="T30" y="T31"/>
            </a:cxn>
            <a:cxn ang="T62">
              <a:pos x="T32" y="T33"/>
            </a:cxn>
            <a:cxn ang="T63">
              <a:pos x="T34" y="T35"/>
            </a:cxn>
            <a:cxn ang="T64">
              <a:pos x="T36" y="T37"/>
            </a:cxn>
            <a:cxn ang="T65">
              <a:pos x="T38" y="T39"/>
            </a:cxn>
            <a:cxn ang="T66">
              <a:pos x="T40" y="T41"/>
            </a:cxn>
            <a:cxn ang="T67">
              <a:pos x="T42" y="T43"/>
            </a:cxn>
            <a:cxn ang="T68">
              <a:pos x="T44" y="T45"/>
            </a:cxn>
          </a:cxnLst>
          <a:rect l="T69" t="T70" r="T71" b="T72"/>
          <a:pathLst>
            <a:path w="16384" h="16384">
              <a:moveTo>
                <a:pt x="0" y="6703"/>
              </a:moveTo>
              <a:lnTo>
                <a:pt x="1092" y="6703"/>
              </a:lnTo>
              <a:lnTo>
                <a:pt x="1638" y="5958"/>
              </a:lnTo>
              <a:lnTo>
                <a:pt x="2185" y="7447"/>
              </a:lnTo>
              <a:lnTo>
                <a:pt x="2731" y="9681"/>
              </a:lnTo>
              <a:lnTo>
                <a:pt x="3277" y="11171"/>
              </a:lnTo>
              <a:lnTo>
                <a:pt x="4551" y="12660"/>
              </a:lnTo>
              <a:lnTo>
                <a:pt x="5279" y="14150"/>
              </a:lnTo>
              <a:lnTo>
                <a:pt x="5825" y="16384"/>
              </a:lnTo>
              <a:lnTo>
                <a:pt x="6372" y="16384"/>
              </a:lnTo>
              <a:lnTo>
                <a:pt x="6918" y="15639"/>
              </a:lnTo>
              <a:lnTo>
                <a:pt x="8010" y="12660"/>
              </a:lnTo>
              <a:lnTo>
                <a:pt x="8374" y="10426"/>
              </a:lnTo>
              <a:lnTo>
                <a:pt x="8920" y="8937"/>
              </a:lnTo>
              <a:lnTo>
                <a:pt x="9466" y="6703"/>
              </a:lnTo>
              <a:lnTo>
                <a:pt x="10559" y="3724"/>
              </a:lnTo>
              <a:lnTo>
                <a:pt x="11651" y="2234"/>
              </a:lnTo>
              <a:lnTo>
                <a:pt x="12197" y="0"/>
              </a:lnTo>
              <a:lnTo>
                <a:pt x="12743" y="0"/>
              </a:lnTo>
              <a:lnTo>
                <a:pt x="13289" y="745"/>
              </a:lnTo>
              <a:lnTo>
                <a:pt x="13835" y="2979"/>
              </a:lnTo>
              <a:lnTo>
                <a:pt x="14928" y="3724"/>
              </a:lnTo>
              <a:lnTo>
                <a:pt x="16384" y="5213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171450</xdr:colOff>
      <xdr:row>11</xdr:row>
      <xdr:rowOff>0</xdr:rowOff>
    </xdr:from>
    <xdr:to>
      <xdr:col>6</xdr:col>
      <xdr:colOff>638175</xdr:colOff>
      <xdr:row>13</xdr:row>
      <xdr:rowOff>0</xdr:rowOff>
    </xdr:to>
    <xdr:sp macro="" textlink="">
      <xdr:nvSpPr>
        <xdr:cNvPr id="904006" name="Rectangle 46">
          <a:extLst>
            <a:ext uri="{FF2B5EF4-FFF2-40B4-BE49-F238E27FC236}">
              <a16:creationId xmlns:a16="http://schemas.microsoft.com/office/drawing/2014/main" id="{00000000-0008-0000-0C00-000046CB0D00}"/>
            </a:ext>
          </a:extLst>
        </xdr:cNvPr>
        <xdr:cNvSpPr>
          <a:spLocks noChangeArrowheads="1"/>
        </xdr:cNvSpPr>
      </xdr:nvSpPr>
      <xdr:spPr bwMode="auto">
        <a:xfrm>
          <a:off x="3829050" y="3562350"/>
          <a:ext cx="466725" cy="5038725"/>
        </a:xfrm>
        <a:prstGeom prst="rect">
          <a:avLst/>
        </a:prstGeom>
        <a:solidFill>
          <a:srgbClr val="FFFFFF"/>
        </a:solidFill>
        <a:ln w="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76200</xdr:colOff>
      <xdr:row>9</xdr:row>
      <xdr:rowOff>114300</xdr:rowOff>
    </xdr:from>
    <xdr:to>
      <xdr:col>2</xdr:col>
      <xdr:colOff>114300</xdr:colOff>
      <xdr:row>9</xdr:row>
      <xdr:rowOff>238125</xdr:rowOff>
    </xdr:to>
    <xdr:sp macro="" textlink="">
      <xdr:nvSpPr>
        <xdr:cNvPr id="904007" name="Line 47">
          <a:extLst>
            <a:ext uri="{FF2B5EF4-FFF2-40B4-BE49-F238E27FC236}">
              <a16:creationId xmlns:a16="http://schemas.microsoft.com/office/drawing/2014/main" id="{00000000-0008-0000-0C00-000047CB0D00}"/>
            </a:ext>
          </a:extLst>
        </xdr:cNvPr>
        <xdr:cNvSpPr>
          <a:spLocks noChangeShapeType="1"/>
        </xdr:cNvSpPr>
      </xdr:nvSpPr>
      <xdr:spPr bwMode="auto">
        <a:xfrm>
          <a:off x="1457325" y="3009900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123825</xdr:colOff>
      <xdr:row>9</xdr:row>
      <xdr:rowOff>104775</xdr:rowOff>
    </xdr:from>
    <xdr:to>
      <xdr:col>2</xdr:col>
      <xdr:colOff>180975</xdr:colOff>
      <xdr:row>9</xdr:row>
      <xdr:rowOff>228600</xdr:rowOff>
    </xdr:to>
    <xdr:sp macro="" textlink="">
      <xdr:nvSpPr>
        <xdr:cNvPr id="904008" name="Line 48">
          <a:extLst>
            <a:ext uri="{FF2B5EF4-FFF2-40B4-BE49-F238E27FC236}">
              <a16:creationId xmlns:a16="http://schemas.microsoft.com/office/drawing/2014/main" id="{00000000-0008-0000-0C00-000048CB0D00}"/>
            </a:ext>
          </a:extLst>
        </xdr:cNvPr>
        <xdr:cNvSpPr>
          <a:spLocks noChangeShapeType="1"/>
        </xdr:cNvSpPr>
      </xdr:nvSpPr>
      <xdr:spPr bwMode="auto">
        <a:xfrm flipV="1">
          <a:off x="1504950" y="3000375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276225</xdr:colOff>
      <xdr:row>9</xdr:row>
      <xdr:rowOff>123825</xdr:rowOff>
    </xdr:from>
    <xdr:to>
      <xdr:col>2</xdr:col>
      <xdr:colOff>314325</xdr:colOff>
      <xdr:row>9</xdr:row>
      <xdr:rowOff>247650</xdr:rowOff>
    </xdr:to>
    <xdr:sp macro="" textlink="">
      <xdr:nvSpPr>
        <xdr:cNvPr id="904009" name="Line 49">
          <a:extLst>
            <a:ext uri="{FF2B5EF4-FFF2-40B4-BE49-F238E27FC236}">
              <a16:creationId xmlns:a16="http://schemas.microsoft.com/office/drawing/2014/main" id="{00000000-0008-0000-0C00-000049CB0D00}"/>
            </a:ext>
          </a:extLst>
        </xdr:cNvPr>
        <xdr:cNvSpPr>
          <a:spLocks noChangeShapeType="1"/>
        </xdr:cNvSpPr>
      </xdr:nvSpPr>
      <xdr:spPr bwMode="auto">
        <a:xfrm>
          <a:off x="1657350" y="3019425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323850</xdr:colOff>
      <xdr:row>9</xdr:row>
      <xdr:rowOff>114300</xdr:rowOff>
    </xdr:from>
    <xdr:to>
      <xdr:col>2</xdr:col>
      <xdr:colOff>381000</xdr:colOff>
      <xdr:row>9</xdr:row>
      <xdr:rowOff>238125</xdr:rowOff>
    </xdr:to>
    <xdr:sp macro="" textlink="">
      <xdr:nvSpPr>
        <xdr:cNvPr id="904010" name="Line 50">
          <a:extLst>
            <a:ext uri="{FF2B5EF4-FFF2-40B4-BE49-F238E27FC236}">
              <a16:creationId xmlns:a16="http://schemas.microsoft.com/office/drawing/2014/main" id="{00000000-0008-0000-0C00-00004ACB0D00}"/>
            </a:ext>
          </a:extLst>
        </xdr:cNvPr>
        <xdr:cNvSpPr>
          <a:spLocks noChangeShapeType="1"/>
        </xdr:cNvSpPr>
      </xdr:nvSpPr>
      <xdr:spPr bwMode="auto">
        <a:xfrm flipV="1">
          <a:off x="1704975" y="3009900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495300</xdr:colOff>
      <xdr:row>9</xdr:row>
      <xdr:rowOff>114300</xdr:rowOff>
    </xdr:from>
    <xdr:to>
      <xdr:col>2</xdr:col>
      <xdr:colOff>533400</xdr:colOff>
      <xdr:row>9</xdr:row>
      <xdr:rowOff>238125</xdr:rowOff>
    </xdr:to>
    <xdr:sp macro="" textlink="">
      <xdr:nvSpPr>
        <xdr:cNvPr id="904011" name="Line 51">
          <a:extLst>
            <a:ext uri="{FF2B5EF4-FFF2-40B4-BE49-F238E27FC236}">
              <a16:creationId xmlns:a16="http://schemas.microsoft.com/office/drawing/2014/main" id="{00000000-0008-0000-0C00-00004BCB0D00}"/>
            </a:ext>
          </a:extLst>
        </xdr:cNvPr>
        <xdr:cNvSpPr>
          <a:spLocks noChangeShapeType="1"/>
        </xdr:cNvSpPr>
      </xdr:nvSpPr>
      <xdr:spPr bwMode="auto">
        <a:xfrm>
          <a:off x="1876425" y="3009900"/>
          <a:ext cx="3810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542925</xdr:colOff>
      <xdr:row>9</xdr:row>
      <xdr:rowOff>104775</xdr:rowOff>
    </xdr:from>
    <xdr:to>
      <xdr:col>2</xdr:col>
      <xdr:colOff>600075</xdr:colOff>
      <xdr:row>9</xdr:row>
      <xdr:rowOff>228600</xdr:rowOff>
    </xdr:to>
    <xdr:sp macro="" textlink="">
      <xdr:nvSpPr>
        <xdr:cNvPr id="904012" name="Line 52">
          <a:extLst>
            <a:ext uri="{FF2B5EF4-FFF2-40B4-BE49-F238E27FC236}">
              <a16:creationId xmlns:a16="http://schemas.microsoft.com/office/drawing/2014/main" id="{00000000-0008-0000-0C00-00004CCB0D00}"/>
            </a:ext>
          </a:extLst>
        </xdr:cNvPr>
        <xdr:cNvSpPr>
          <a:spLocks noChangeShapeType="1"/>
        </xdr:cNvSpPr>
      </xdr:nvSpPr>
      <xdr:spPr bwMode="auto">
        <a:xfrm flipV="1">
          <a:off x="1924050" y="3000375"/>
          <a:ext cx="57150" cy="1238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2.xml"/><Relationship Id="rId16" Type="http://schemas.openxmlformats.org/officeDocument/2006/relationships/comments" Target="../comments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2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3.emf"/><Relationship Id="rId4" Type="http://schemas.openxmlformats.org/officeDocument/2006/relationships/control" Target="../activeX/activeX8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16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0.xml"/><Relationship Id="rId5" Type="http://schemas.openxmlformats.org/officeDocument/2006/relationships/image" Target="../media/image15.emf"/><Relationship Id="rId4" Type="http://schemas.openxmlformats.org/officeDocument/2006/relationships/control" Target="../activeX/activeX9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.xml"/><Relationship Id="rId13" Type="http://schemas.openxmlformats.org/officeDocument/2006/relationships/image" Target="../media/image21.emf"/><Relationship Id="rId18" Type="http://schemas.openxmlformats.org/officeDocument/2006/relationships/control" Target="../activeX/activeX18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8.emf"/><Relationship Id="rId12" Type="http://schemas.openxmlformats.org/officeDocument/2006/relationships/control" Target="../activeX/activeX15.xml"/><Relationship Id="rId17" Type="http://schemas.openxmlformats.org/officeDocument/2006/relationships/image" Target="../media/image23.emf"/><Relationship Id="rId2" Type="http://schemas.openxmlformats.org/officeDocument/2006/relationships/drawing" Target="../drawings/drawing6.xml"/><Relationship Id="rId16" Type="http://schemas.openxmlformats.org/officeDocument/2006/relationships/control" Target="../activeX/activeX17.xml"/><Relationship Id="rId20" Type="http://schemas.openxmlformats.org/officeDocument/2006/relationships/comments" Target="../comments3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2.xml"/><Relationship Id="rId11" Type="http://schemas.openxmlformats.org/officeDocument/2006/relationships/image" Target="../media/image20.emf"/><Relationship Id="rId5" Type="http://schemas.openxmlformats.org/officeDocument/2006/relationships/image" Target="../media/image17.emf"/><Relationship Id="rId15" Type="http://schemas.openxmlformats.org/officeDocument/2006/relationships/image" Target="../media/image22.emf"/><Relationship Id="rId10" Type="http://schemas.openxmlformats.org/officeDocument/2006/relationships/control" Target="../activeX/activeX14.xml"/><Relationship Id="rId19" Type="http://schemas.openxmlformats.org/officeDocument/2006/relationships/image" Target="../media/image24.emf"/><Relationship Id="rId4" Type="http://schemas.openxmlformats.org/officeDocument/2006/relationships/control" Target="../activeX/activeX11.xml"/><Relationship Id="rId9" Type="http://schemas.openxmlformats.org/officeDocument/2006/relationships/image" Target="../media/image19.emf"/><Relationship Id="rId14" Type="http://schemas.openxmlformats.org/officeDocument/2006/relationships/control" Target="../activeX/activeX1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26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0.xml"/><Relationship Id="rId5" Type="http://schemas.openxmlformats.org/officeDocument/2006/relationships/image" Target="../media/image25.emf"/><Relationship Id="rId4" Type="http://schemas.openxmlformats.org/officeDocument/2006/relationships/control" Target="../activeX/activeX19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28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2.xml"/><Relationship Id="rId5" Type="http://schemas.openxmlformats.org/officeDocument/2006/relationships/image" Target="../media/image27.emf"/><Relationship Id="rId4" Type="http://schemas.openxmlformats.org/officeDocument/2006/relationships/control" Target="../activeX/activeX21.xml"/><Relationship Id="rId9" Type="http://schemas.openxmlformats.org/officeDocument/2006/relationships/image" Target="../media/image29.emf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image" Target="../media/image31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5.xml"/><Relationship Id="rId5" Type="http://schemas.openxmlformats.org/officeDocument/2006/relationships/image" Target="../media/image30.emf"/><Relationship Id="rId4" Type="http://schemas.openxmlformats.org/officeDocument/2006/relationships/control" Target="../activeX/activeX24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zoomScaleNormal="194" zoomScaleSheetLayoutView="68" workbookViewId="0"/>
  </sheetViews>
  <sheetFormatPr defaultRowHeight="13.5" x14ac:dyDescent="0.15"/>
  <sheetData/>
  <phoneticPr fontId="5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F100"/>
  <sheetViews>
    <sheetView workbookViewId="0"/>
  </sheetViews>
  <sheetFormatPr defaultRowHeight="13.5" x14ac:dyDescent="0.15"/>
  <sheetData>
    <row r="1" spans="1:6" x14ac:dyDescent="0.15">
      <c r="A1" s="234">
        <v>1</v>
      </c>
      <c r="B1">
        <f>F1</f>
        <v>2.08</v>
      </c>
      <c r="E1">
        <v>1</v>
      </c>
      <c r="F1">
        <f>단계양수시험!G12</f>
        <v>2.08</v>
      </c>
    </row>
    <row r="2" spans="1:6" x14ac:dyDescent="0.15">
      <c r="A2" s="234">
        <v>2</v>
      </c>
      <c r="B2">
        <f t="shared" ref="B2:B20" si="0">F2</f>
        <v>4.04</v>
      </c>
      <c r="E2">
        <v>2</v>
      </c>
      <c r="F2">
        <f>단계양수시험!G13</f>
        <v>4.04</v>
      </c>
    </row>
    <row r="3" spans="1:6" x14ac:dyDescent="0.15">
      <c r="A3" s="234">
        <v>3</v>
      </c>
      <c r="B3">
        <f t="shared" si="0"/>
        <v>5.81</v>
      </c>
      <c r="E3">
        <v>3</v>
      </c>
      <c r="F3">
        <f>단계양수시험!G14</f>
        <v>5.81</v>
      </c>
    </row>
    <row r="4" spans="1:6" x14ac:dyDescent="0.15">
      <c r="A4" s="234">
        <v>4</v>
      </c>
      <c r="B4">
        <f t="shared" si="0"/>
        <v>7.07</v>
      </c>
      <c r="E4">
        <v>4</v>
      </c>
      <c r="F4">
        <f>단계양수시험!G15</f>
        <v>7.07</v>
      </c>
    </row>
    <row r="5" spans="1:6" x14ac:dyDescent="0.15">
      <c r="A5" s="234">
        <v>5</v>
      </c>
      <c r="B5">
        <f t="shared" si="0"/>
        <v>8.0500000000000007</v>
      </c>
      <c r="E5">
        <v>5</v>
      </c>
      <c r="F5">
        <f>단계양수시험!G16</f>
        <v>8.0500000000000007</v>
      </c>
    </row>
    <row r="6" spans="1:6" x14ac:dyDescent="0.15">
      <c r="A6" s="234">
        <v>10</v>
      </c>
      <c r="B6">
        <f t="shared" si="0"/>
        <v>11.08</v>
      </c>
      <c r="E6">
        <v>10</v>
      </c>
      <c r="F6">
        <f>단계양수시험!G17</f>
        <v>11.08</v>
      </c>
    </row>
    <row r="7" spans="1:6" x14ac:dyDescent="0.15">
      <c r="A7" s="234">
        <v>15</v>
      </c>
      <c r="B7">
        <f t="shared" si="0"/>
        <v>12.86</v>
      </c>
      <c r="E7">
        <v>15</v>
      </c>
      <c r="F7">
        <f>단계양수시험!G18</f>
        <v>12.86</v>
      </c>
    </row>
    <row r="8" spans="1:6" x14ac:dyDescent="0.15">
      <c r="A8" s="234">
        <v>20</v>
      </c>
      <c r="B8">
        <f t="shared" si="0"/>
        <v>14.12</v>
      </c>
      <c r="E8">
        <v>20</v>
      </c>
      <c r="F8">
        <f>단계양수시험!G19</f>
        <v>14.12</v>
      </c>
    </row>
    <row r="9" spans="1:6" x14ac:dyDescent="0.15">
      <c r="A9" s="234">
        <v>25</v>
      </c>
      <c r="B9">
        <f t="shared" si="0"/>
        <v>15.1</v>
      </c>
      <c r="E9">
        <v>25</v>
      </c>
      <c r="F9">
        <f>단계양수시험!G20</f>
        <v>15.1</v>
      </c>
    </row>
    <row r="10" spans="1:6" x14ac:dyDescent="0.15">
      <c r="A10" s="234">
        <v>30</v>
      </c>
      <c r="B10">
        <f t="shared" si="0"/>
        <v>15.89</v>
      </c>
      <c r="E10">
        <v>30</v>
      </c>
      <c r="F10">
        <f>단계양수시험!G21</f>
        <v>15.89</v>
      </c>
    </row>
    <row r="11" spans="1:6" x14ac:dyDescent="0.15">
      <c r="A11" s="234">
        <v>35</v>
      </c>
      <c r="B11">
        <f t="shared" si="0"/>
        <v>16.57</v>
      </c>
      <c r="E11">
        <v>35</v>
      </c>
      <c r="F11">
        <f>단계양수시험!G22</f>
        <v>16.57</v>
      </c>
    </row>
    <row r="12" spans="1:6" x14ac:dyDescent="0.15">
      <c r="A12" s="234">
        <v>40</v>
      </c>
      <c r="B12">
        <f t="shared" si="0"/>
        <v>17.149999999999999</v>
      </c>
      <c r="E12">
        <v>40</v>
      </c>
      <c r="F12">
        <f>단계양수시험!G23</f>
        <v>17.149999999999999</v>
      </c>
    </row>
    <row r="13" spans="1:6" x14ac:dyDescent="0.15">
      <c r="A13" s="234">
        <v>45</v>
      </c>
      <c r="B13">
        <f t="shared" si="0"/>
        <v>17.670000000000002</v>
      </c>
      <c r="E13">
        <v>45</v>
      </c>
      <c r="F13">
        <f>단계양수시험!G24</f>
        <v>17.670000000000002</v>
      </c>
    </row>
    <row r="14" spans="1:6" x14ac:dyDescent="0.15">
      <c r="A14" s="234">
        <v>50</v>
      </c>
      <c r="B14">
        <f t="shared" si="0"/>
        <v>18.13</v>
      </c>
      <c r="E14">
        <v>50</v>
      </c>
      <c r="F14">
        <f>단계양수시험!G25</f>
        <v>18.13</v>
      </c>
    </row>
    <row r="15" spans="1:6" x14ac:dyDescent="0.15">
      <c r="A15" s="234">
        <v>55</v>
      </c>
      <c r="B15">
        <f t="shared" si="0"/>
        <v>18.55</v>
      </c>
      <c r="E15">
        <v>55</v>
      </c>
      <c r="F15">
        <f>단계양수시험!G26</f>
        <v>18.55</v>
      </c>
    </row>
    <row r="16" spans="1:6" x14ac:dyDescent="0.15">
      <c r="A16" s="234">
        <v>60</v>
      </c>
      <c r="B16">
        <f t="shared" si="0"/>
        <v>18.93</v>
      </c>
      <c r="E16">
        <v>60</v>
      </c>
      <c r="F16">
        <f>단계양수시험!G27</f>
        <v>18.93</v>
      </c>
    </row>
    <row r="17" spans="1:6" x14ac:dyDescent="0.15">
      <c r="A17" s="234">
        <v>75</v>
      </c>
      <c r="B17">
        <f t="shared" si="0"/>
        <v>19.91</v>
      </c>
      <c r="E17">
        <v>75</v>
      </c>
      <c r="F17">
        <f>단계양수시험!G28</f>
        <v>19.91</v>
      </c>
    </row>
    <row r="18" spans="1:6" x14ac:dyDescent="0.15">
      <c r="A18" s="234">
        <v>90</v>
      </c>
      <c r="B18">
        <f t="shared" si="0"/>
        <v>20.71</v>
      </c>
      <c r="E18">
        <v>90</v>
      </c>
      <c r="F18">
        <f>단계양수시험!G29</f>
        <v>20.71</v>
      </c>
    </row>
    <row r="19" spans="1:6" x14ac:dyDescent="0.15">
      <c r="A19" s="234">
        <v>105</v>
      </c>
      <c r="B19">
        <f t="shared" si="0"/>
        <v>21.38</v>
      </c>
      <c r="E19">
        <v>105</v>
      </c>
      <c r="F19">
        <f>단계양수시험!G30</f>
        <v>21.38</v>
      </c>
    </row>
    <row r="20" spans="1:6" x14ac:dyDescent="0.15">
      <c r="A20" s="236">
        <v>120</v>
      </c>
      <c r="B20" s="242">
        <f t="shared" si="0"/>
        <v>21.97</v>
      </c>
      <c r="C20" s="242">
        <f>B26-B20</f>
        <v>4.3900000000000006</v>
      </c>
      <c r="D20" s="243">
        <f>C20/10</f>
        <v>0.43900000000000006</v>
      </c>
      <c r="E20">
        <v>120</v>
      </c>
      <c r="F20">
        <f>단계양수시험!G31</f>
        <v>21.97</v>
      </c>
    </row>
    <row r="21" spans="1:6" x14ac:dyDescent="0.15">
      <c r="A21" s="234">
        <v>121</v>
      </c>
      <c r="B21" s="241">
        <f>B20+D21</f>
        <v>22.13</v>
      </c>
      <c r="D21">
        <v>0.16</v>
      </c>
      <c r="E21">
        <v>130</v>
      </c>
      <c r="F21">
        <f>단계양수시험!G32</f>
        <v>26.36</v>
      </c>
    </row>
    <row r="22" spans="1:6" x14ac:dyDescent="0.15">
      <c r="A22" s="234">
        <v>122</v>
      </c>
      <c r="B22" s="241">
        <f>B21+D22</f>
        <v>22.279999999999998</v>
      </c>
      <c r="D22">
        <v>0.15</v>
      </c>
      <c r="E22">
        <v>140</v>
      </c>
      <c r="F22">
        <f>단계양수시험!G33</f>
        <v>27.1</v>
      </c>
    </row>
    <row r="23" spans="1:6" x14ac:dyDescent="0.15">
      <c r="A23" s="234">
        <v>123</v>
      </c>
      <c r="B23" s="241">
        <f>B22+D23</f>
        <v>22.419999999999998</v>
      </c>
      <c r="D23">
        <v>0.14000000000000001</v>
      </c>
      <c r="E23">
        <v>150</v>
      </c>
      <c r="F23">
        <f>단계양수시험!G34</f>
        <v>27.83</v>
      </c>
    </row>
    <row r="24" spans="1:6" x14ac:dyDescent="0.15">
      <c r="A24" s="234">
        <v>124</v>
      </c>
      <c r="B24" s="241">
        <f>B23+D24</f>
        <v>22.549999999999997</v>
      </c>
      <c r="D24">
        <v>0.13</v>
      </c>
      <c r="E24">
        <v>180</v>
      </c>
      <c r="F24">
        <f>단계양수시험!G35</f>
        <v>28.56</v>
      </c>
    </row>
    <row r="25" spans="1:6" x14ac:dyDescent="0.15">
      <c r="A25" s="234">
        <v>125</v>
      </c>
      <c r="B25" s="241">
        <f>B24+D25</f>
        <v>22.679999999999996</v>
      </c>
      <c r="D25">
        <v>0.13</v>
      </c>
      <c r="E25">
        <v>240</v>
      </c>
      <c r="F25">
        <f>단계양수시험!G36</f>
        <v>29.3</v>
      </c>
    </row>
    <row r="26" spans="1:6" x14ac:dyDescent="0.15">
      <c r="A26" s="234">
        <v>130</v>
      </c>
      <c r="B26" s="242">
        <f>F21</f>
        <v>26.36</v>
      </c>
      <c r="C26" s="242">
        <f>B28-B26</f>
        <v>0.74000000000000199</v>
      </c>
      <c r="D26" s="242">
        <f>C26/2</f>
        <v>0.37000000000000099</v>
      </c>
      <c r="E26">
        <v>250</v>
      </c>
      <c r="F26">
        <f>단계양수시험!G37</f>
        <v>34.24</v>
      </c>
    </row>
    <row r="27" spans="1:6" x14ac:dyDescent="0.15">
      <c r="A27" s="234">
        <v>135</v>
      </c>
      <c r="B27" s="241">
        <f>B26+D27</f>
        <v>26.47</v>
      </c>
      <c r="D27">
        <v>0.11</v>
      </c>
      <c r="E27">
        <v>260</v>
      </c>
      <c r="F27">
        <f>단계양수시험!G38</f>
        <v>35.06</v>
      </c>
    </row>
    <row r="28" spans="1:6" x14ac:dyDescent="0.15">
      <c r="A28" s="234">
        <v>140</v>
      </c>
      <c r="B28" s="242">
        <f>F22</f>
        <v>27.1</v>
      </c>
      <c r="C28" s="242">
        <f>B30-B28</f>
        <v>0.72999999999999687</v>
      </c>
      <c r="D28" s="242">
        <f>C28/2</f>
        <v>0.36499999999999844</v>
      </c>
      <c r="E28">
        <v>270</v>
      </c>
      <c r="F28">
        <f>단계양수시험!G39</f>
        <v>35.89</v>
      </c>
    </row>
    <row r="29" spans="1:6" x14ac:dyDescent="0.15">
      <c r="A29" s="234">
        <v>145</v>
      </c>
      <c r="B29" s="241">
        <f>B28+D29</f>
        <v>27.200000000000003</v>
      </c>
      <c r="D29">
        <v>0.1</v>
      </c>
      <c r="E29">
        <v>300</v>
      </c>
      <c r="F29">
        <f>단계양수시험!G40</f>
        <v>36.71</v>
      </c>
    </row>
    <row r="30" spans="1:6" x14ac:dyDescent="0.15">
      <c r="A30" s="234">
        <v>150</v>
      </c>
      <c r="B30" s="242">
        <f>F23</f>
        <v>27.83</v>
      </c>
      <c r="C30" s="242">
        <f>B36-B30</f>
        <v>0.73000000000000043</v>
      </c>
      <c r="D30" s="244">
        <f>C30/6</f>
        <v>0.12166666666666674</v>
      </c>
      <c r="E30">
        <v>360</v>
      </c>
      <c r="F30">
        <f>단계양수시험!G41</f>
        <v>37.54</v>
      </c>
    </row>
    <row r="31" spans="1:6" x14ac:dyDescent="0.15">
      <c r="A31" s="234">
        <v>155</v>
      </c>
      <c r="B31" s="241">
        <f>B30+D31</f>
        <v>27.889999999999997</v>
      </c>
      <c r="D31">
        <v>0.06</v>
      </c>
    </row>
    <row r="32" spans="1:6" x14ac:dyDescent="0.15">
      <c r="A32" s="234">
        <v>160</v>
      </c>
      <c r="B32" s="241">
        <f t="shared" ref="B32:B39" si="1">B31+D32</f>
        <v>27.939999999999998</v>
      </c>
      <c r="D32">
        <v>0.05</v>
      </c>
    </row>
    <row r="33" spans="1:4" x14ac:dyDescent="0.15">
      <c r="A33" s="234">
        <v>165</v>
      </c>
      <c r="B33" s="241">
        <f t="shared" si="1"/>
        <v>27.979999999999997</v>
      </c>
      <c r="D33">
        <v>0.04</v>
      </c>
    </row>
    <row r="34" spans="1:4" x14ac:dyDescent="0.15">
      <c r="A34" s="234">
        <v>170</v>
      </c>
      <c r="B34" s="241">
        <f t="shared" si="1"/>
        <v>28.009999999999998</v>
      </c>
      <c r="D34">
        <v>0.03</v>
      </c>
    </row>
    <row r="35" spans="1:4" x14ac:dyDescent="0.15">
      <c r="A35" s="234">
        <v>175</v>
      </c>
      <c r="B35" s="241">
        <f t="shared" si="1"/>
        <v>28.029999999999998</v>
      </c>
      <c r="D35">
        <v>0.02</v>
      </c>
    </row>
    <row r="36" spans="1:4" x14ac:dyDescent="0.15">
      <c r="A36" s="234">
        <v>180</v>
      </c>
      <c r="B36" s="242">
        <f>F24</f>
        <v>28.56</v>
      </c>
      <c r="C36" s="242">
        <f>B40-B36</f>
        <v>0.74000000000000199</v>
      </c>
      <c r="D36" s="242">
        <f>C36/4</f>
        <v>0.1850000000000005</v>
      </c>
    </row>
    <row r="37" spans="1:4" x14ac:dyDescent="0.15">
      <c r="A37" s="234">
        <v>195</v>
      </c>
      <c r="B37" s="241">
        <f t="shared" si="1"/>
        <v>28.63</v>
      </c>
      <c r="D37">
        <v>7.0000000000000007E-2</v>
      </c>
    </row>
    <row r="38" spans="1:4" x14ac:dyDescent="0.15">
      <c r="A38" s="234">
        <v>210</v>
      </c>
      <c r="B38" s="241">
        <f t="shared" si="1"/>
        <v>28.689999999999998</v>
      </c>
      <c r="D38">
        <v>0.06</v>
      </c>
    </row>
    <row r="39" spans="1:4" x14ac:dyDescent="0.15">
      <c r="A39" s="234">
        <v>225</v>
      </c>
      <c r="B39" s="241">
        <f t="shared" si="1"/>
        <v>28.74</v>
      </c>
      <c r="D39">
        <v>0.05</v>
      </c>
    </row>
    <row r="40" spans="1:4" x14ac:dyDescent="0.15">
      <c r="A40" s="236">
        <v>240</v>
      </c>
      <c r="B40" s="242">
        <f>F25</f>
        <v>29.3</v>
      </c>
      <c r="C40" s="242">
        <f>B46-B40</f>
        <v>4.9400000000000013</v>
      </c>
      <c r="D40" s="243">
        <f>C40/10</f>
        <v>0.49400000000000011</v>
      </c>
    </row>
    <row r="41" spans="1:4" x14ac:dyDescent="0.15">
      <c r="A41" s="234">
        <v>241</v>
      </c>
      <c r="B41" s="241">
        <f>B40+D41</f>
        <v>29.48</v>
      </c>
      <c r="D41">
        <v>0.18</v>
      </c>
    </row>
    <row r="42" spans="1:4" x14ac:dyDescent="0.15">
      <c r="A42" s="234">
        <v>242</v>
      </c>
      <c r="B42" s="241">
        <f>B41+D42</f>
        <v>29.64</v>
      </c>
      <c r="D42">
        <v>0.16</v>
      </c>
    </row>
    <row r="43" spans="1:4" x14ac:dyDescent="0.15">
      <c r="A43" s="234">
        <v>243</v>
      </c>
      <c r="B43" s="241">
        <f>B42+D43</f>
        <v>29.79</v>
      </c>
      <c r="D43">
        <v>0.15</v>
      </c>
    </row>
    <row r="44" spans="1:4" x14ac:dyDescent="0.15">
      <c r="A44" s="234">
        <v>244</v>
      </c>
      <c r="B44" s="241">
        <f>B43+D44</f>
        <v>29.93</v>
      </c>
      <c r="D44">
        <v>0.14000000000000001</v>
      </c>
    </row>
    <row r="45" spans="1:4" x14ac:dyDescent="0.15">
      <c r="A45" s="234">
        <v>245</v>
      </c>
      <c r="B45" s="241">
        <f>B44+D45</f>
        <v>30.06</v>
      </c>
      <c r="D45">
        <v>0.13</v>
      </c>
    </row>
    <row r="46" spans="1:4" x14ac:dyDescent="0.15">
      <c r="A46" s="234">
        <v>250</v>
      </c>
      <c r="B46" s="242">
        <f>F26</f>
        <v>34.24</v>
      </c>
      <c r="C46" s="242">
        <f>B48-B46</f>
        <v>0.82000000000000028</v>
      </c>
      <c r="D46" s="242">
        <f>C46/2</f>
        <v>0.41000000000000014</v>
      </c>
    </row>
    <row r="47" spans="1:4" x14ac:dyDescent="0.15">
      <c r="A47" s="234">
        <v>255</v>
      </c>
      <c r="B47" s="241">
        <f>B46+D47</f>
        <v>34.35</v>
      </c>
      <c r="D47">
        <v>0.11</v>
      </c>
    </row>
    <row r="48" spans="1:4" x14ac:dyDescent="0.15">
      <c r="A48" s="234">
        <v>260</v>
      </c>
      <c r="B48" s="242">
        <f>F27</f>
        <v>35.06</v>
      </c>
      <c r="C48" s="242">
        <f>B50-B48</f>
        <v>0.82999999999999829</v>
      </c>
      <c r="D48" s="242">
        <f>C48/2</f>
        <v>0.41499999999999915</v>
      </c>
    </row>
    <row r="49" spans="1:6" x14ac:dyDescent="0.15">
      <c r="A49" s="234">
        <v>265</v>
      </c>
      <c r="B49" s="241">
        <f>B48+D49</f>
        <v>35.17</v>
      </c>
      <c r="D49">
        <v>0.11</v>
      </c>
    </row>
    <row r="50" spans="1:6" x14ac:dyDescent="0.15">
      <c r="A50" s="234">
        <v>270</v>
      </c>
      <c r="B50" s="242">
        <f>F28</f>
        <v>35.89</v>
      </c>
      <c r="C50" s="242">
        <f>B56-B50</f>
        <v>0.82000000000000028</v>
      </c>
      <c r="D50" s="244">
        <f>C50/6</f>
        <v>0.13666666666666671</v>
      </c>
    </row>
    <row r="51" spans="1:6" x14ac:dyDescent="0.15">
      <c r="A51" s="234">
        <v>275</v>
      </c>
      <c r="B51" s="241">
        <f>B50+D51</f>
        <v>35.96</v>
      </c>
      <c r="D51">
        <v>7.0000000000000007E-2</v>
      </c>
    </row>
    <row r="52" spans="1:6" x14ac:dyDescent="0.15">
      <c r="A52" s="234">
        <v>280</v>
      </c>
      <c r="B52" s="241">
        <f>B51+D52</f>
        <v>36.01</v>
      </c>
      <c r="D52">
        <v>0.05</v>
      </c>
    </row>
    <row r="53" spans="1:6" x14ac:dyDescent="0.15">
      <c r="A53" s="234">
        <v>285</v>
      </c>
      <c r="B53" s="241">
        <f>B52+D53</f>
        <v>36.049999999999997</v>
      </c>
      <c r="D53">
        <v>0.04</v>
      </c>
    </row>
    <row r="54" spans="1:6" x14ac:dyDescent="0.15">
      <c r="A54" s="234">
        <v>290</v>
      </c>
      <c r="B54" s="241">
        <f>B53+D54</f>
        <v>36.08</v>
      </c>
      <c r="D54">
        <v>0.03</v>
      </c>
    </row>
    <row r="55" spans="1:6" x14ac:dyDescent="0.15">
      <c r="A55" s="234">
        <v>295</v>
      </c>
      <c r="B55" s="241">
        <f>B54+D55</f>
        <v>36.1</v>
      </c>
      <c r="D55">
        <v>0.02</v>
      </c>
    </row>
    <row r="56" spans="1:6" x14ac:dyDescent="0.15">
      <c r="A56" s="234">
        <v>300</v>
      </c>
      <c r="B56" s="242">
        <f>F29</f>
        <v>36.71</v>
      </c>
      <c r="C56" s="242">
        <f>B60-B56</f>
        <v>0.82999999999999829</v>
      </c>
      <c r="D56" s="242">
        <f>C56/4</f>
        <v>0.20749999999999957</v>
      </c>
    </row>
    <row r="57" spans="1:6" x14ac:dyDescent="0.15">
      <c r="A57" s="234">
        <v>315</v>
      </c>
      <c r="B57" s="241">
        <f>B56+D57</f>
        <v>36.79</v>
      </c>
      <c r="D57">
        <v>0.08</v>
      </c>
    </row>
    <row r="58" spans="1:6" x14ac:dyDescent="0.15">
      <c r="A58" s="234">
        <v>330</v>
      </c>
      <c r="B58" s="241">
        <f>B57+D58</f>
        <v>36.85</v>
      </c>
      <c r="D58">
        <v>0.06</v>
      </c>
    </row>
    <row r="59" spans="1:6" x14ac:dyDescent="0.15">
      <c r="A59" s="234">
        <v>345</v>
      </c>
      <c r="B59" s="241">
        <f>B58+D59</f>
        <v>36.9</v>
      </c>
      <c r="D59">
        <v>0.05</v>
      </c>
    </row>
    <row r="60" spans="1:6" x14ac:dyDescent="0.15">
      <c r="A60" s="236">
        <v>360</v>
      </c>
      <c r="B60" s="242">
        <f>F30</f>
        <v>37.54</v>
      </c>
      <c r="C60" s="242">
        <f>B66-B60</f>
        <v>4.9500000000000028</v>
      </c>
      <c r="D60" s="243">
        <f>C60/10</f>
        <v>0.49500000000000027</v>
      </c>
    </row>
    <row r="61" spans="1:6" x14ac:dyDescent="0.15">
      <c r="A61" s="234">
        <v>361</v>
      </c>
      <c r="B61" s="241">
        <f>B60+D61</f>
        <v>37.729999999999997</v>
      </c>
      <c r="D61">
        <v>0.19</v>
      </c>
    </row>
    <row r="62" spans="1:6" x14ac:dyDescent="0.15">
      <c r="A62" s="234">
        <v>362</v>
      </c>
      <c r="B62" s="241">
        <f>B61+D62</f>
        <v>37.9</v>
      </c>
      <c r="D62">
        <v>0.17</v>
      </c>
    </row>
    <row r="63" spans="1:6" x14ac:dyDescent="0.15">
      <c r="A63" s="234">
        <v>363</v>
      </c>
      <c r="B63" s="241">
        <f>B62+D63</f>
        <v>38.059999999999995</v>
      </c>
      <c r="D63">
        <v>0.16</v>
      </c>
      <c r="E63">
        <v>370</v>
      </c>
      <c r="F63">
        <f>단계양수시험!G42</f>
        <v>42.49</v>
      </c>
    </row>
    <row r="64" spans="1:6" x14ac:dyDescent="0.15">
      <c r="A64" s="234">
        <v>364</v>
      </c>
      <c r="B64" s="241">
        <f>B63+D64</f>
        <v>38.209999999999994</v>
      </c>
      <c r="D64">
        <v>0.15</v>
      </c>
      <c r="E64">
        <v>380</v>
      </c>
      <c r="F64">
        <f>단계양수시험!G43</f>
        <v>43.31</v>
      </c>
    </row>
    <row r="65" spans="1:6" x14ac:dyDescent="0.15">
      <c r="A65" s="234">
        <v>365</v>
      </c>
      <c r="B65" s="241">
        <f>B64+D65</f>
        <v>38.349999999999994</v>
      </c>
      <c r="D65">
        <v>0.14000000000000001</v>
      </c>
      <c r="E65">
        <v>390</v>
      </c>
      <c r="F65">
        <f>단계양수시험!G44</f>
        <v>44.14</v>
      </c>
    </row>
    <row r="66" spans="1:6" x14ac:dyDescent="0.15">
      <c r="A66" s="234">
        <v>370</v>
      </c>
      <c r="B66" s="242">
        <f>F63</f>
        <v>42.49</v>
      </c>
      <c r="C66" s="245">
        <f>B68-B66</f>
        <v>0.82000000000000028</v>
      </c>
      <c r="D66" s="242">
        <f>C66/2</f>
        <v>0.41000000000000014</v>
      </c>
      <c r="E66">
        <v>420</v>
      </c>
      <c r="F66">
        <f>단계양수시험!G45</f>
        <v>44.96</v>
      </c>
    </row>
    <row r="67" spans="1:6" x14ac:dyDescent="0.15">
      <c r="A67" s="234">
        <v>375</v>
      </c>
      <c r="B67" s="241">
        <f>B66+D67</f>
        <v>42.61</v>
      </c>
      <c r="D67">
        <v>0.12</v>
      </c>
      <c r="E67">
        <v>480</v>
      </c>
      <c r="F67">
        <f>단계양수시험!G46</f>
        <v>45.79</v>
      </c>
    </row>
    <row r="68" spans="1:6" x14ac:dyDescent="0.15">
      <c r="A68" s="234">
        <v>380</v>
      </c>
      <c r="B68" s="246">
        <f>F64</f>
        <v>43.31</v>
      </c>
      <c r="C68" s="242">
        <f>B70-B68</f>
        <v>0.82999999999999829</v>
      </c>
      <c r="D68" s="242">
        <f>C68/2</f>
        <v>0.41499999999999915</v>
      </c>
      <c r="E68">
        <v>490</v>
      </c>
      <c r="F68">
        <f>단계양수시험!G47</f>
        <v>51.28</v>
      </c>
    </row>
    <row r="69" spans="1:6" x14ac:dyDescent="0.15">
      <c r="A69" s="234">
        <v>385</v>
      </c>
      <c r="B69" s="241">
        <f>B68+D69</f>
        <v>43.43</v>
      </c>
      <c r="D69">
        <v>0.12</v>
      </c>
      <c r="E69">
        <v>500</v>
      </c>
      <c r="F69">
        <f>단계양수시험!G48</f>
        <v>53.34</v>
      </c>
    </row>
    <row r="70" spans="1:6" x14ac:dyDescent="0.15">
      <c r="A70" s="234">
        <v>390</v>
      </c>
      <c r="B70" s="246">
        <f>F65</f>
        <v>44.14</v>
      </c>
      <c r="C70" s="242">
        <f>B76-B70</f>
        <v>0.82000000000000028</v>
      </c>
      <c r="D70" s="244">
        <f>C70/6</f>
        <v>0.13666666666666671</v>
      </c>
      <c r="E70">
        <v>510</v>
      </c>
      <c r="F70">
        <f>단계양수시험!G49</f>
        <v>55.4</v>
      </c>
    </row>
    <row r="71" spans="1:6" x14ac:dyDescent="0.15">
      <c r="A71" s="234">
        <v>395</v>
      </c>
      <c r="B71" s="241">
        <f>B70+D71</f>
        <v>44.21</v>
      </c>
      <c r="D71">
        <v>7.0000000000000007E-2</v>
      </c>
      <c r="E71">
        <v>540</v>
      </c>
      <c r="F71">
        <f>단계양수시험!G50</f>
        <v>57.46</v>
      </c>
    </row>
    <row r="72" spans="1:6" x14ac:dyDescent="0.15">
      <c r="A72" s="234">
        <v>400</v>
      </c>
      <c r="B72" s="241">
        <f>B71+D72</f>
        <v>44.26</v>
      </c>
      <c r="D72">
        <v>0.05</v>
      </c>
      <c r="E72">
        <v>600</v>
      </c>
      <c r="F72">
        <f>단계양수시험!G51</f>
        <v>59.52</v>
      </c>
    </row>
    <row r="73" spans="1:6" x14ac:dyDescent="0.15">
      <c r="A73" s="234">
        <v>405</v>
      </c>
      <c r="B73" s="241">
        <f>B72+D73</f>
        <v>44.3</v>
      </c>
      <c r="D73">
        <v>0.04</v>
      </c>
    </row>
    <row r="74" spans="1:6" x14ac:dyDescent="0.15">
      <c r="A74" s="234">
        <v>410</v>
      </c>
      <c r="B74" s="241">
        <f>B73+D74</f>
        <v>44.33</v>
      </c>
      <c r="D74">
        <v>0.03</v>
      </c>
    </row>
    <row r="75" spans="1:6" x14ac:dyDescent="0.15">
      <c r="A75" s="234">
        <v>415</v>
      </c>
      <c r="B75" s="241">
        <f>B74+D75</f>
        <v>44.36</v>
      </c>
      <c r="D75">
        <v>0.03</v>
      </c>
    </row>
    <row r="76" spans="1:6" x14ac:dyDescent="0.15">
      <c r="A76" s="234">
        <v>420</v>
      </c>
      <c r="B76" s="246">
        <f>F66</f>
        <v>44.96</v>
      </c>
      <c r="C76" s="242">
        <f>B80-B76</f>
        <v>0.82999999999999829</v>
      </c>
      <c r="D76" s="242">
        <f>C76/4</f>
        <v>0.20749999999999957</v>
      </c>
    </row>
    <row r="77" spans="1:6" x14ac:dyDescent="0.15">
      <c r="A77" s="234">
        <v>435</v>
      </c>
      <c r="B77" s="241">
        <f>B76+D77</f>
        <v>45.050000000000004</v>
      </c>
      <c r="D77">
        <v>0.09</v>
      </c>
    </row>
    <row r="78" spans="1:6" x14ac:dyDescent="0.15">
      <c r="A78" s="234">
        <v>450</v>
      </c>
      <c r="B78" s="241">
        <f>B77+D78</f>
        <v>45.120000000000005</v>
      </c>
      <c r="D78">
        <v>7.0000000000000007E-2</v>
      </c>
    </row>
    <row r="79" spans="1:6" x14ac:dyDescent="0.15">
      <c r="A79" s="234">
        <v>465</v>
      </c>
      <c r="B79" s="241">
        <f>B78+D79</f>
        <v>45.17</v>
      </c>
      <c r="D79">
        <v>0.05</v>
      </c>
    </row>
    <row r="80" spans="1:6" x14ac:dyDescent="0.15">
      <c r="A80" s="236">
        <v>480</v>
      </c>
      <c r="B80" s="246">
        <f>F67</f>
        <v>45.79</v>
      </c>
      <c r="C80" s="242">
        <f>B86-B80</f>
        <v>5.490000000000002</v>
      </c>
      <c r="D80" s="243">
        <f>C80/10</f>
        <v>0.54900000000000015</v>
      </c>
    </row>
    <row r="81" spans="1:4" x14ac:dyDescent="0.15">
      <c r="A81" s="234">
        <v>481</v>
      </c>
      <c r="B81" s="241">
        <f>B80+D81</f>
        <v>46</v>
      </c>
      <c r="D81">
        <v>0.21</v>
      </c>
    </row>
    <row r="82" spans="1:4" x14ac:dyDescent="0.15">
      <c r="A82" s="234">
        <v>482</v>
      </c>
      <c r="B82" s="241">
        <f>B81+D82</f>
        <v>46.19</v>
      </c>
      <c r="D82">
        <v>0.19</v>
      </c>
    </row>
    <row r="83" spans="1:4" x14ac:dyDescent="0.15">
      <c r="A83" s="234">
        <v>483</v>
      </c>
      <c r="B83" s="241">
        <f>B82+D83</f>
        <v>46.36</v>
      </c>
      <c r="D83">
        <v>0.17</v>
      </c>
    </row>
    <row r="84" spans="1:4" x14ac:dyDescent="0.15">
      <c r="A84" s="234">
        <v>484</v>
      </c>
      <c r="B84" s="241">
        <f>B83+D84</f>
        <v>46.519999999999996</v>
      </c>
      <c r="D84">
        <v>0.16</v>
      </c>
    </row>
    <row r="85" spans="1:4" x14ac:dyDescent="0.15">
      <c r="A85" s="234">
        <v>485</v>
      </c>
      <c r="B85" s="241">
        <f>B84+D85</f>
        <v>46.66</v>
      </c>
      <c r="D85">
        <v>0.14000000000000001</v>
      </c>
    </row>
    <row r="86" spans="1:4" x14ac:dyDescent="0.15">
      <c r="A86" s="234">
        <v>490</v>
      </c>
      <c r="B86" s="246">
        <f>F68</f>
        <v>51.28</v>
      </c>
      <c r="C86" s="242">
        <f>B88-B86</f>
        <v>2.0600000000000023</v>
      </c>
      <c r="D86" s="242">
        <f>C86/2</f>
        <v>1.0300000000000011</v>
      </c>
    </row>
    <row r="87" spans="1:4" x14ac:dyDescent="0.15">
      <c r="A87" s="234">
        <v>495</v>
      </c>
      <c r="B87" s="241">
        <f>B86+D87</f>
        <v>51.59</v>
      </c>
      <c r="D87">
        <v>0.31</v>
      </c>
    </row>
    <row r="88" spans="1:4" x14ac:dyDescent="0.15">
      <c r="A88" s="234">
        <v>500</v>
      </c>
      <c r="B88" s="246">
        <f>F69</f>
        <v>53.34</v>
      </c>
      <c r="C88" s="242">
        <f>B90-B88</f>
        <v>2.0599999999999952</v>
      </c>
      <c r="D88" s="242">
        <f>C88/2</f>
        <v>1.0299999999999976</v>
      </c>
    </row>
    <row r="89" spans="1:4" x14ac:dyDescent="0.15">
      <c r="A89" s="234">
        <v>505</v>
      </c>
      <c r="B89" s="241">
        <f>B88+D89</f>
        <v>53.64</v>
      </c>
      <c r="D89">
        <v>0.3</v>
      </c>
    </row>
    <row r="90" spans="1:4" x14ac:dyDescent="0.15">
      <c r="A90" s="234">
        <v>510</v>
      </c>
      <c r="B90" s="246">
        <f>F70</f>
        <v>55.4</v>
      </c>
      <c r="C90" s="242">
        <f>B96-B90</f>
        <v>2.0600000000000023</v>
      </c>
      <c r="D90" s="244">
        <f>C90/6</f>
        <v>0.34333333333333371</v>
      </c>
    </row>
    <row r="91" spans="1:4" x14ac:dyDescent="0.15">
      <c r="A91" s="234">
        <v>515</v>
      </c>
      <c r="B91" s="241">
        <f>B90+D91</f>
        <v>55.55</v>
      </c>
      <c r="D91">
        <v>0.15</v>
      </c>
    </row>
    <row r="92" spans="1:4" x14ac:dyDescent="0.15">
      <c r="A92" s="234">
        <v>520</v>
      </c>
      <c r="B92" s="241">
        <f>B91+D92</f>
        <v>55.68</v>
      </c>
      <c r="D92">
        <v>0.13</v>
      </c>
    </row>
    <row r="93" spans="1:4" x14ac:dyDescent="0.15">
      <c r="A93" s="234">
        <v>525</v>
      </c>
      <c r="B93" s="241">
        <f>B92+D93</f>
        <v>55.79</v>
      </c>
      <c r="D93">
        <v>0.11</v>
      </c>
    </row>
    <row r="94" spans="1:4" x14ac:dyDescent="0.15">
      <c r="A94" s="234">
        <v>530</v>
      </c>
      <c r="B94" s="241">
        <f>B93+D94</f>
        <v>55.87</v>
      </c>
      <c r="D94">
        <v>0.08</v>
      </c>
    </row>
    <row r="95" spans="1:4" x14ac:dyDescent="0.15">
      <c r="A95" s="234">
        <v>535</v>
      </c>
      <c r="B95" s="241">
        <f>B94+D95</f>
        <v>55.94</v>
      </c>
      <c r="D95">
        <v>7.0000000000000007E-2</v>
      </c>
    </row>
    <row r="96" spans="1:4" x14ac:dyDescent="0.15">
      <c r="A96" s="234">
        <v>540</v>
      </c>
      <c r="B96" s="246">
        <f>F71</f>
        <v>57.46</v>
      </c>
      <c r="C96" s="242">
        <f>B100-B96</f>
        <v>2.0600000000000023</v>
      </c>
      <c r="D96" s="242">
        <f>C96/4</f>
        <v>0.51500000000000057</v>
      </c>
    </row>
    <row r="97" spans="1:4" x14ac:dyDescent="0.15">
      <c r="A97" s="234">
        <v>555</v>
      </c>
      <c r="B97" s="241">
        <f>B96+D97</f>
        <v>57.65</v>
      </c>
      <c r="D97">
        <v>0.19</v>
      </c>
    </row>
    <row r="98" spans="1:4" x14ac:dyDescent="0.15">
      <c r="A98" s="234">
        <v>570</v>
      </c>
      <c r="B98" s="241">
        <f>B97+D98</f>
        <v>57.809999999999995</v>
      </c>
      <c r="D98">
        <v>0.16</v>
      </c>
    </row>
    <row r="99" spans="1:4" x14ac:dyDescent="0.15">
      <c r="A99" s="234">
        <v>585</v>
      </c>
      <c r="B99" s="241">
        <f>B98+D99</f>
        <v>57.949999999999996</v>
      </c>
      <c r="D99">
        <v>0.14000000000000001</v>
      </c>
    </row>
    <row r="100" spans="1:4" x14ac:dyDescent="0.15">
      <c r="A100" s="236">
        <v>600</v>
      </c>
      <c r="B100" s="209">
        <f>F72</f>
        <v>59.52</v>
      </c>
    </row>
  </sheetData>
  <phoneticPr fontId="5" type="noConversion"/>
  <pageMargins left="0.75" right="0.75" top="1" bottom="1" header="0.5" footer="0.5"/>
  <headerFooter alignWithMargins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U79"/>
  <sheetViews>
    <sheetView zoomScaleNormal="100" workbookViewId="0">
      <selection activeCell="F29" sqref="F29"/>
    </sheetView>
  </sheetViews>
  <sheetFormatPr defaultRowHeight="13.5" x14ac:dyDescent="0.15"/>
  <cols>
    <col min="1" max="1" width="10.33203125" style="17" bestFit="1" customWidth="1"/>
    <col min="2" max="2" width="9" style="17" customWidth="1"/>
    <col min="3" max="3" width="5.33203125" style="17" bestFit="1" customWidth="1"/>
    <col min="4" max="4" width="7.5546875" style="17" customWidth="1"/>
    <col min="5" max="5" width="4.21875" style="17" customWidth="1"/>
    <col min="6" max="6" width="5.33203125" style="17" bestFit="1" customWidth="1"/>
    <col min="7" max="7" width="8.6640625" style="17" bestFit="1" customWidth="1"/>
    <col min="8" max="8" width="8.88671875" style="18"/>
    <col min="9" max="9" width="10.21875" style="18" bestFit="1" customWidth="1"/>
    <col min="10" max="10" width="8.88671875" style="18"/>
    <col min="11" max="11" width="9.88671875" style="18" customWidth="1"/>
    <col min="12" max="16" width="8.88671875" style="18"/>
    <col min="17" max="17" width="10.109375" style="18" bestFit="1" customWidth="1"/>
    <col min="18" max="18" width="9.6640625" style="18" customWidth="1"/>
    <col min="19" max="19" width="11.33203125" style="18" customWidth="1"/>
    <col min="20" max="21" width="9.33203125" style="18" bestFit="1" customWidth="1"/>
    <col min="22" max="16384" width="8.88671875" style="18"/>
  </cols>
  <sheetData>
    <row r="1" spans="1:19" x14ac:dyDescent="0.15">
      <c r="E1" s="237">
        <f>SUM(E3:E6)</f>
        <v>152.375</v>
      </c>
      <c r="F1" s="237"/>
      <c r="G1" s="237">
        <f>E1/E2</f>
        <v>0.87908653846153839</v>
      </c>
    </row>
    <row r="2" spans="1:19" x14ac:dyDescent="0.15">
      <c r="A2" s="47" t="s">
        <v>186</v>
      </c>
      <c r="B2" s="47" t="s">
        <v>187</v>
      </c>
      <c r="D2" s="20">
        <f>D19</f>
        <v>291</v>
      </c>
      <c r="E2" s="237">
        <f>M51/3</f>
        <v>173.33333333333334</v>
      </c>
      <c r="F2" s="282" t="s">
        <v>189</v>
      </c>
      <c r="G2" s="281" t="s">
        <v>222</v>
      </c>
    </row>
    <row r="3" spans="1:19" x14ac:dyDescent="0.15">
      <c r="A3" s="185">
        <f>B3+$M$48</f>
        <v>33.97</v>
      </c>
      <c r="B3" s="284">
        <f>B20</f>
        <v>21.97</v>
      </c>
      <c r="C3" s="19"/>
      <c r="D3" s="283">
        <f t="shared" ref="D3:D7" si="0">D20</f>
        <v>324</v>
      </c>
      <c r="E3" s="17">
        <f>D3/12</f>
        <v>27</v>
      </c>
      <c r="F3" s="21">
        <f>INT(B3/D3*1000)/1000</f>
        <v>6.7000000000000004E-2</v>
      </c>
      <c r="G3" s="21">
        <f>1/F3</f>
        <v>14.925373134328357</v>
      </c>
    </row>
    <row r="4" spans="1:19" x14ac:dyDescent="0.15">
      <c r="A4" s="185">
        <f>B4+$M$48</f>
        <v>41.3</v>
      </c>
      <c r="B4" s="19">
        <f>B21</f>
        <v>29.3</v>
      </c>
      <c r="C4" s="19"/>
      <c r="D4" s="20">
        <f t="shared" si="0"/>
        <v>413</v>
      </c>
      <c r="E4" s="17">
        <f>D4/12</f>
        <v>34.416666666666664</v>
      </c>
      <c r="F4" s="21">
        <f>INT(B4/D4*1000)/1000</f>
        <v>7.0000000000000007E-2</v>
      </c>
      <c r="G4" s="21">
        <f t="shared" ref="G4:G7" si="1">1/F4</f>
        <v>14.285714285714285</v>
      </c>
    </row>
    <row r="5" spans="1:19" x14ac:dyDescent="0.15">
      <c r="A5" s="185">
        <f>B5+$M$48</f>
        <v>49.54</v>
      </c>
      <c r="B5" s="19">
        <f>B22</f>
        <v>37.54</v>
      </c>
      <c r="C5" s="19"/>
      <c r="D5" s="20">
        <f t="shared" si="0"/>
        <v>501.5</v>
      </c>
      <c r="E5" s="17">
        <f>D5/12</f>
        <v>41.791666666666664</v>
      </c>
      <c r="F5" s="21">
        <f>INT(B5/D5*1000)/1000</f>
        <v>7.3999999999999996E-2</v>
      </c>
      <c r="G5" s="21">
        <f t="shared" si="1"/>
        <v>13.513513513513514</v>
      </c>
    </row>
    <row r="6" spans="1:19" x14ac:dyDescent="0.15">
      <c r="A6" s="185">
        <f>B6+$M$48</f>
        <v>57.79</v>
      </c>
      <c r="B6" s="284">
        <f>B23</f>
        <v>45.79</v>
      </c>
      <c r="C6" s="19"/>
      <c r="D6" s="17">
        <f t="shared" si="0"/>
        <v>590</v>
      </c>
      <c r="E6" s="17">
        <f>D6/12</f>
        <v>49.166666666666664</v>
      </c>
      <c r="F6" s="21">
        <f>INT(B6/D6*1000)/1000</f>
        <v>7.6999999999999999E-2</v>
      </c>
      <c r="G6" s="21">
        <f t="shared" si="1"/>
        <v>12.987012987012987</v>
      </c>
    </row>
    <row r="7" spans="1:19" x14ac:dyDescent="0.15">
      <c r="A7" s="185">
        <f>B7+$M$48</f>
        <v>71.52000000000001</v>
      </c>
      <c r="B7" s="19">
        <f>B24</f>
        <v>59.52</v>
      </c>
      <c r="C7" s="19"/>
      <c r="D7" s="20">
        <f t="shared" si="0"/>
        <v>678.5</v>
      </c>
      <c r="E7" s="17">
        <f>D7/12</f>
        <v>56.541666666666664</v>
      </c>
      <c r="F7" s="21">
        <f>INT(B7/D7*1000)/1000</f>
        <v>8.6999999999999994E-2</v>
      </c>
      <c r="G7" s="21">
        <f t="shared" si="1"/>
        <v>11.494252873563219</v>
      </c>
    </row>
    <row r="8" spans="1:19" x14ac:dyDescent="0.15">
      <c r="B8" s="17" t="s">
        <v>0</v>
      </c>
      <c r="E8" s="416" t="s">
        <v>124</v>
      </c>
      <c r="F8" s="416"/>
      <c r="G8" s="416"/>
    </row>
    <row r="9" spans="1:19" x14ac:dyDescent="0.15">
      <c r="A9" s="280" t="s">
        <v>194</v>
      </c>
      <c r="B9" s="280" t="s">
        <v>195</v>
      </c>
      <c r="E9" s="92">
        <v>1</v>
      </c>
      <c r="F9" s="417" t="s">
        <v>114</v>
      </c>
      <c r="G9" s="417"/>
    </row>
    <row r="10" spans="1:19" x14ac:dyDescent="0.15">
      <c r="A10" s="279">
        <f>D20/B20</f>
        <v>14.747382794720073</v>
      </c>
      <c r="B10" s="279">
        <f>B20/D20</f>
        <v>6.7808641975308642E-2</v>
      </c>
      <c r="E10" s="92">
        <v>1</v>
      </c>
      <c r="F10" s="417" t="s">
        <v>115</v>
      </c>
      <c r="G10" s="417"/>
    </row>
    <row r="11" spans="1:19" x14ac:dyDescent="0.15">
      <c r="A11" s="279">
        <f t="shared" ref="A11:A14" si="2">D21/B21</f>
        <v>14.095563139931741</v>
      </c>
      <c r="B11" s="279">
        <f t="shared" ref="B11:B14" si="3">B21/D21</f>
        <v>7.0944309927360782E-2</v>
      </c>
      <c r="D11" s="17" t="s">
        <v>0</v>
      </c>
      <c r="E11" s="92">
        <v>1</v>
      </c>
      <c r="F11" s="417" t="s">
        <v>116</v>
      </c>
      <c r="G11" s="417"/>
    </row>
    <row r="12" spans="1:19" x14ac:dyDescent="0.15">
      <c r="A12" s="279">
        <f t="shared" si="2"/>
        <v>13.359083644112946</v>
      </c>
      <c r="B12" s="279">
        <f t="shared" si="3"/>
        <v>7.4855433698903295E-2</v>
      </c>
      <c r="E12" s="92">
        <v>1</v>
      </c>
      <c r="F12" s="417" t="s">
        <v>117</v>
      </c>
      <c r="G12" s="417"/>
    </row>
    <row r="13" spans="1:19" x14ac:dyDescent="0.15">
      <c r="A13" s="279">
        <f t="shared" si="2"/>
        <v>12.88490936885783</v>
      </c>
      <c r="B13" s="279">
        <f t="shared" si="3"/>
        <v>7.7610169491525424E-2</v>
      </c>
      <c r="D13" s="17" t="s">
        <v>0</v>
      </c>
      <c r="E13" s="416" t="s">
        <v>123</v>
      </c>
      <c r="F13" s="416"/>
      <c r="G13" s="416"/>
    </row>
    <row r="14" spans="1:19" x14ac:dyDescent="0.15">
      <c r="A14" s="279">
        <f t="shared" si="2"/>
        <v>11.399529569892472</v>
      </c>
      <c r="B14" s="279">
        <f t="shared" si="3"/>
        <v>8.7722918201915995E-2</v>
      </c>
      <c r="E14" s="93">
        <v>1</v>
      </c>
      <c r="F14" s="417" t="s">
        <v>114</v>
      </c>
      <c r="G14" s="417"/>
    </row>
    <row r="15" spans="1:19" x14ac:dyDescent="0.15">
      <c r="E15" s="93">
        <v>1</v>
      </c>
      <c r="F15" s="417" t="s">
        <v>115</v>
      </c>
      <c r="G15" s="417"/>
    </row>
    <row r="16" spans="1:19" x14ac:dyDescent="0.15">
      <c r="B16" s="38" t="s">
        <v>121</v>
      </c>
      <c r="D16" s="82" t="s">
        <v>122</v>
      </c>
      <c r="E16" s="93">
        <v>1</v>
      </c>
      <c r="F16" s="417" t="s">
        <v>116</v>
      </c>
      <c r="G16" s="417"/>
      <c r="R16" s="18">
        <v>0.128</v>
      </c>
      <c r="S16" s="18">
        <f>ROUNDDOWN(R16,1)</f>
        <v>0.1</v>
      </c>
    </row>
    <row r="17" spans="1:21" x14ac:dyDescent="0.15">
      <c r="B17" s="88">
        <f>M52</f>
        <v>45.79</v>
      </c>
      <c r="D17" s="91">
        <f>M47</f>
        <v>590</v>
      </c>
      <c r="E17" s="93">
        <v>1</v>
      </c>
      <c r="F17" s="417" t="s">
        <v>117</v>
      </c>
      <c r="G17" s="417"/>
      <c r="P17" s="356"/>
      <c r="Q17" s="355"/>
      <c r="R17" s="18">
        <v>0.18099999999999999</v>
      </c>
      <c r="S17">
        <f>ROUNDUP(R17,-1)</f>
        <v>10</v>
      </c>
    </row>
    <row r="18" spans="1:21" x14ac:dyDescent="0.15">
      <c r="B18" s="37"/>
      <c r="D18" s="37"/>
      <c r="F18" s="19"/>
      <c r="G18" s="19"/>
      <c r="P18" s="356"/>
    </row>
    <row r="19" spans="1:21" x14ac:dyDescent="0.15">
      <c r="B19" s="89"/>
      <c r="C19" s="19"/>
      <c r="D19" s="86">
        <f>INT(D20*0.9)</f>
        <v>291</v>
      </c>
      <c r="F19" s="19"/>
      <c r="G19" s="19"/>
    </row>
    <row r="20" spans="1:21" x14ac:dyDescent="0.15">
      <c r="A20" s="259" t="s">
        <v>188</v>
      </c>
      <c r="B20" s="89">
        <f>INT(B$17*C20*100)/100</f>
        <v>21.97</v>
      </c>
      <c r="C20" s="17">
        <f>0.48*E9</f>
        <v>0.48</v>
      </c>
      <c r="D20" s="86">
        <f>INT(D$17*E20)</f>
        <v>324</v>
      </c>
      <c r="E20" s="17">
        <f>0.55*E14</f>
        <v>0.55000000000000004</v>
      </c>
      <c r="F20" s="21">
        <f>B20/D20</f>
        <v>6.7808641975308642E-2</v>
      </c>
      <c r="G20" s="17">
        <f>F20-F19</f>
        <v>6.7808641975308642E-2</v>
      </c>
    </row>
    <row r="21" spans="1:21" x14ac:dyDescent="0.15">
      <c r="A21" s="19">
        <f>B21-B20</f>
        <v>7.3300000000000018</v>
      </c>
      <c r="B21" s="89">
        <f>INT(B$17*C21*100)/100</f>
        <v>29.3</v>
      </c>
      <c r="C21" s="17">
        <f>0.64*E10</f>
        <v>0.64</v>
      </c>
      <c r="D21" s="86">
        <f>INT(D$17*E21)</f>
        <v>413</v>
      </c>
      <c r="E21" s="17">
        <f>0.7*E15</f>
        <v>0.7</v>
      </c>
      <c r="F21" s="21">
        <f>B21/D21</f>
        <v>7.0944309927360782E-2</v>
      </c>
      <c r="G21" s="17">
        <f>F21-F20</f>
        <v>3.1356679520521402E-3</v>
      </c>
      <c r="N21" s="114" t="s">
        <v>135</v>
      </c>
      <c r="O21" s="431" t="s">
        <v>126</v>
      </c>
      <c r="P21" s="431"/>
      <c r="Q21" s="431" t="s">
        <v>129</v>
      </c>
      <c r="R21" s="431"/>
      <c r="S21" s="431" t="s">
        <v>131</v>
      </c>
      <c r="T21" s="431"/>
      <c r="U21" s="100" t="s">
        <v>132</v>
      </c>
    </row>
    <row r="22" spans="1:21" x14ac:dyDescent="0.15">
      <c r="A22" s="19">
        <f>B22-B21</f>
        <v>8.2399999999999984</v>
      </c>
      <c r="B22" s="89">
        <f>INT(B$17*C22*100)/100</f>
        <v>37.54</v>
      </c>
      <c r="C22" s="17">
        <f>0.82*E11</f>
        <v>0.82</v>
      </c>
      <c r="D22" s="87">
        <f>(D$17*E22)</f>
        <v>501.5</v>
      </c>
      <c r="E22" s="17">
        <f>0.85*E16</f>
        <v>0.85</v>
      </c>
      <c r="F22" s="21">
        <f>B22/D22</f>
        <v>7.4855433698903295E-2</v>
      </c>
      <c r="G22" s="17">
        <f>F22-F21</f>
        <v>3.9111237715425129E-3</v>
      </c>
      <c r="N22" s="101"/>
      <c r="O22" s="102" t="s">
        <v>127</v>
      </c>
      <c r="P22" s="102" t="s">
        <v>128</v>
      </c>
      <c r="Q22" s="102" t="s">
        <v>127</v>
      </c>
      <c r="R22" s="102" t="s">
        <v>130</v>
      </c>
      <c r="S22" s="102" t="s">
        <v>127</v>
      </c>
      <c r="T22" s="102" t="s">
        <v>130</v>
      </c>
      <c r="U22" s="103" t="s">
        <v>133</v>
      </c>
    </row>
    <row r="23" spans="1:21" x14ac:dyDescent="0.15">
      <c r="A23" s="19">
        <f>B23-B22</f>
        <v>8.25</v>
      </c>
      <c r="B23" s="89">
        <f>INT(B$17*C23*100)/100</f>
        <v>45.79</v>
      </c>
      <c r="C23" s="17">
        <v>1</v>
      </c>
      <c r="D23" s="86">
        <f>D$17*E23</f>
        <v>590</v>
      </c>
      <c r="E23" s="17">
        <v>1</v>
      </c>
      <c r="F23" s="21">
        <f>B23/D23</f>
        <v>7.7610169491525424E-2</v>
      </c>
      <c r="G23" s="17">
        <f>F23-F22</f>
        <v>2.7547357926221289E-3</v>
      </c>
      <c r="N23" s="101">
        <v>1</v>
      </c>
      <c r="O23" s="104">
        <v>199</v>
      </c>
      <c r="P23" s="102">
        <v>2.4</v>
      </c>
      <c r="Q23" s="104">
        <v>169</v>
      </c>
      <c r="R23" s="102">
        <v>11.5</v>
      </c>
      <c r="S23" s="104">
        <v>3320</v>
      </c>
      <c r="T23" s="102">
        <v>53.4</v>
      </c>
      <c r="U23" s="105">
        <v>6882</v>
      </c>
    </row>
    <row r="24" spans="1:21" x14ac:dyDescent="0.15">
      <c r="A24" s="19">
        <f>B24-B23</f>
        <v>13.730000000000004</v>
      </c>
      <c r="B24" s="89">
        <f>INT(B$17*C24*100)/100</f>
        <v>59.52</v>
      </c>
      <c r="C24" s="17">
        <f>1.3*E12</f>
        <v>1.3</v>
      </c>
      <c r="D24" s="86">
        <f>D$17*E24</f>
        <v>678.5</v>
      </c>
      <c r="E24" s="17">
        <f>1.15*E17</f>
        <v>1.1499999999999999</v>
      </c>
      <c r="F24" s="21"/>
      <c r="G24" s="19"/>
      <c r="N24" s="101">
        <v>2</v>
      </c>
      <c r="O24" s="104">
        <v>321</v>
      </c>
      <c r="P24" s="102">
        <v>2.5</v>
      </c>
      <c r="Q24" s="104">
        <v>190</v>
      </c>
      <c r="R24" s="102">
        <v>6.4</v>
      </c>
      <c r="S24" s="104">
        <v>3416</v>
      </c>
      <c r="T24" s="102">
        <v>57.4</v>
      </c>
      <c r="U24" s="105">
        <v>9815</v>
      </c>
    </row>
    <row r="25" spans="1:21" x14ac:dyDescent="0.15">
      <c r="D25" s="90"/>
      <c r="F25" s="21">
        <f>B24/D24</f>
        <v>8.7722918201915995E-2</v>
      </c>
      <c r="G25" s="19"/>
      <c r="N25" s="101">
        <v>3</v>
      </c>
      <c r="O25" s="104">
        <v>890</v>
      </c>
      <c r="P25" s="102">
        <v>1.9</v>
      </c>
      <c r="Q25" s="104">
        <v>367</v>
      </c>
      <c r="R25" s="102">
        <v>13.8</v>
      </c>
      <c r="S25" s="104">
        <v>2365</v>
      </c>
      <c r="T25" s="102">
        <v>57.9</v>
      </c>
      <c r="U25" s="105">
        <v>15020</v>
      </c>
    </row>
    <row r="26" spans="1:21" x14ac:dyDescent="0.15">
      <c r="A26" s="437" t="s">
        <v>118</v>
      </c>
      <c r="B26" s="437"/>
      <c r="C26" s="84">
        <f>INT(M51*1)</f>
        <v>520</v>
      </c>
      <c r="F26" s="184">
        <f>M50/M51</f>
        <v>9.8942307692307704E-2</v>
      </c>
      <c r="N26" s="101">
        <v>4</v>
      </c>
      <c r="O26" s="104"/>
      <c r="P26" s="102"/>
      <c r="Q26" s="104"/>
      <c r="R26" s="102"/>
      <c r="S26" s="104"/>
      <c r="T26" s="102"/>
      <c r="U26" s="105"/>
    </row>
    <row r="27" spans="1:21" x14ac:dyDescent="0.15">
      <c r="A27" s="437" t="s">
        <v>119</v>
      </c>
      <c r="B27" s="437"/>
      <c r="C27" s="85">
        <f>가채수량!B7</f>
        <v>528.65466383895409</v>
      </c>
      <c r="D27" s="19">
        <f>(C27/D6)*100</f>
        <v>89.602485396432897</v>
      </c>
      <c r="N27" s="101">
        <v>5</v>
      </c>
      <c r="O27" s="104"/>
      <c r="P27" s="102"/>
      <c r="Q27" s="104"/>
      <c r="R27" s="102"/>
      <c r="S27" s="104"/>
      <c r="T27" s="102"/>
      <c r="U27" s="105"/>
    </row>
    <row r="28" spans="1:21" x14ac:dyDescent="0.15">
      <c r="N28" s="101">
        <v>6</v>
      </c>
      <c r="O28" s="104"/>
      <c r="P28" s="102"/>
      <c r="Q28" s="104"/>
      <c r="R28" s="102"/>
      <c r="S28" s="104"/>
      <c r="T28" s="102"/>
      <c r="U28" s="105"/>
    </row>
    <row r="29" spans="1:21" x14ac:dyDescent="0.15">
      <c r="N29" s="101">
        <v>7</v>
      </c>
      <c r="O29" s="104"/>
      <c r="P29" s="102"/>
      <c r="Q29" s="104"/>
      <c r="R29" s="102"/>
      <c r="S29" s="104"/>
      <c r="T29" s="102"/>
      <c r="U29" s="105"/>
    </row>
    <row r="30" spans="1:21" x14ac:dyDescent="0.15">
      <c r="A30" s="22" t="s">
        <v>1</v>
      </c>
      <c r="B30" s="22" t="s">
        <v>2</v>
      </c>
      <c r="C30" s="22"/>
      <c r="E30" s="23">
        <f>ROUNDUP(F32,-1)</f>
        <v>90</v>
      </c>
      <c r="F30" s="23">
        <f>ROUNDDOWN(F35,-1)</f>
        <v>70</v>
      </c>
      <c r="N30" s="101">
        <v>8</v>
      </c>
      <c r="O30" s="104"/>
      <c r="P30" s="102"/>
      <c r="Q30" s="104"/>
      <c r="R30" s="102"/>
      <c r="S30" s="104"/>
      <c r="T30" s="102"/>
      <c r="U30" s="105"/>
    </row>
    <row r="31" spans="1:21" x14ac:dyDescent="0.15">
      <c r="A31" s="32">
        <v>3.7599999999999999E-5</v>
      </c>
      <c r="B31" s="32">
        <v>5.5625399999999998E-2</v>
      </c>
      <c r="D31" s="20">
        <f t="shared" ref="D31:D36" si="4">D19</f>
        <v>291</v>
      </c>
      <c r="F31" s="23"/>
      <c r="G31" s="23"/>
      <c r="N31" s="101">
        <v>9</v>
      </c>
      <c r="O31" s="104"/>
      <c r="P31" s="102"/>
      <c r="Q31" s="104"/>
      <c r="R31" s="102"/>
      <c r="S31" s="104"/>
      <c r="T31" s="102"/>
      <c r="U31" s="105"/>
    </row>
    <row r="32" spans="1:21" x14ac:dyDescent="0.15">
      <c r="A32" s="17">
        <f t="shared" ref="A32:B34" si="5">A31</f>
        <v>3.7599999999999999E-5</v>
      </c>
      <c r="B32" s="17">
        <f t="shared" si="5"/>
        <v>5.5625399999999998E-2</v>
      </c>
      <c r="D32" s="20">
        <f t="shared" si="4"/>
        <v>324</v>
      </c>
      <c r="F32" s="23">
        <f>B32*D32/(B32*D32+A32*D32*D32)*100</f>
        <v>82.033925300629136</v>
      </c>
      <c r="G32" s="23"/>
      <c r="N32" s="101">
        <v>10</v>
      </c>
      <c r="O32" s="104"/>
      <c r="P32" s="102"/>
      <c r="Q32" s="104"/>
      <c r="R32" s="102"/>
      <c r="S32" s="104"/>
      <c r="T32" s="102"/>
      <c r="U32" s="105"/>
    </row>
    <row r="33" spans="1:21" x14ac:dyDescent="0.15">
      <c r="A33" s="17">
        <f t="shared" si="5"/>
        <v>3.7599999999999999E-5</v>
      </c>
      <c r="B33" s="17">
        <f t="shared" si="5"/>
        <v>5.5625399999999998E-2</v>
      </c>
      <c r="D33" s="20">
        <f t="shared" si="4"/>
        <v>413</v>
      </c>
      <c r="F33" s="23">
        <f>B33*D33/(B33*D33+A33*D33*D33)*100</f>
        <v>78.175849071453257</v>
      </c>
      <c r="G33" s="23"/>
      <c r="N33" s="106" t="s">
        <v>134</v>
      </c>
      <c r="O33" s="107">
        <f>SUM(O23:O32)</f>
        <v>1410</v>
      </c>
      <c r="P33" s="108">
        <f>INT(SUM(P23:P32)*10)/10</f>
        <v>6.8</v>
      </c>
      <c r="Q33" s="107">
        <f>SUM(Q23:Q32)</f>
        <v>726</v>
      </c>
      <c r="R33" s="108">
        <f>INT(SUM(R23:R32)*10)/10</f>
        <v>31.7</v>
      </c>
      <c r="S33" s="107">
        <f>SUM(S23:S32)</f>
        <v>9101</v>
      </c>
      <c r="T33" s="108">
        <f>INT(SUM(T23:T32)*10)/10</f>
        <v>168.7</v>
      </c>
      <c r="U33" s="109">
        <f>SUM(U23:U32)</f>
        <v>31717</v>
      </c>
    </row>
    <row r="34" spans="1:21" x14ac:dyDescent="0.15">
      <c r="A34" s="17">
        <f t="shared" si="5"/>
        <v>3.7599999999999999E-5</v>
      </c>
      <c r="B34" s="17">
        <f t="shared" si="5"/>
        <v>5.5625399999999998E-2</v>
      </c>
      <c r="D34" s="20">
        <f t="shared" si="4"/>
        <v>501.5</v>
      </c>
      <c r="F34" s="23">
        <f>B34*D34/(B34*D34+A34*D34*D34)*100</f>
        <v>74.683211200588602</v>
      </c>
      <c r="G34" s="23"/>
      <c r="N34" s="110">
        <v>3</v>
      </c>
      <c r="O34" s="111">
        <f>INT(O33/N34)</f>
        <v>470</v>
      </c>
      <c r="P34" s="112">
        <f>INT(P33/N34*10)/10</f>
        <v>2.2000000000000002</v>
      </c>
      <c r="Q34" s="111">
        <f>INT(Q33/N34)</f>
        <v>242</v>
      </c>
      <c r="R34" s="112">
        <f>INT(R33/N34*10)/10</f>
        <v>10.5</v>
      </c>
      <c r="S34" s="111">
        <f>INT(S33/N34)</f>
        <v>3033</v>
      </c>
      <c r="T34" s="112">
        <f>INT(T33/N34*10)/10</f>
        <v>56.2</v>
      </c>
      <c r="U34" s="113">
        <f>INT(U33/N34)</f>
        <v>10572</v>
      </c>
    </row>
    <row r="35" spans="1:21" x14ac:dyDescent="0.15">
      <c r="A35" s="17">
        <f>A34</f>
        <v>3.7599999999999999E-5</v>
      </c>
      <c r="B35" s="17">
        <f>B34</f>
        <v>5.5625399999999998E-2</v>
      </c>
      <c r="D35" s="20">
        <f t="shared" si="4"/>
        <v>590</v>
      </c>
      <c r="F35" s="23">
        <f>B35*D35/(B35*D35+A35*D35*D35)*100</f>
        <v>71.489305919336218</v>
      </c>
      <c r="G35" s="23"/>
    </row>
    <row r="36" spans="1:21" x14ac:dyDescent="0.15">
      <c r="D36" s="20">
        <f t="shared" si="4"/>
        <v>678.5</v>
      </c>
      <c r="F36" s="23"/>
      <c r="G36" s="23"/>
    </row>
    <row r="37" spans="1:21" x14ac:dyDescent="0.15">
      <c r="A37" s="22" t="s">
        <v>30</v>
      </c>
      <c r="B37" s="22" t="s">
        <v>31</v>
      </c>
      <c r="C37" s="22" t="s">
        <v>32</v>
      </c>
      <c r="D37" s="17" t="s">
        <v>33</v>
      </c>
      <c r="E37" s="17" t="s">
        <v>33</v>
      </c>
      <c r="F37" s="23">
        <f>AVERAGE(F32:F35)</f>
        <v>76.5955728730018</v>
      </c>
      <c r="P37" s="18">
        <v>3.7599999999999999E-5</v>
      </c>
      <c r="Q37" s="18">
        <v>0.04</v>
      </c>
    </row>
    <row r="38" spans="1:21" x14ac:dyDescent="0.15">
      <c r="A38" s="46">
        <v>73.91</v>
      </c>
      <c r="B38" s="47">
        <v>0.04</v>
      </c>
      <c r="C38" s="47">
        <v>94.71</v>
      </c>
      <c r="E38" s="17" t="s">
        <v>33</v>
      </c>
      <c r="P38" s="18">
        <v>5.5625399999999998E-2</v>
      </c>
      <c r="Q38" s="18">
        <v>94.71</v>
      </c>
    </row>
    <row r="39" spans="1:21" x14ac:dyDescent="0.15">
      <c r="A39" s="24"/>
      <c r="B39" s="25" t="s">
        <v>34</v>
      </c>
      <c r="C39" s="19">
        <f>(C38-A38)/B38</f>
        <v>519.99999999999989</v>
      </c>
      <c r="D39" s="17">
        <f>C38-B38*M51</f>
        <v>73.91</v>
      </c>
    </row>
    <row r="40" spans="1:21" x14ac:dyDescent="0.15">
      <c r="A40" s="24" t="s">
        <v>35</v>
      </c>
      <c r="B40" s="25" t="s">
        <v>34</v>
      </c>
      <c r="C40" s="17">
        <f>INT(C39)</f>
        <v>520</v>
      </c>
    </row>
    <row r="42" spans="1:21" x14ac:dyDescent="0.15">
      <c r="A42" s="41" t="s">
        <v>26</v>
      </c>
      <c r="B42" s="42"/>
      <c r="I42" s="26"/>
    </row>
    <row r="43" spans="1:21" x14ac:dyDescent="0.15">
      <c r="A43" s="41" t="s">
        <v>25</v>
      </c>
      <c r="B43" s="258">
        <f>INT(SQRT((2.25*A44*A47)/(A45*10^(5.46*A44*A46)))*1000)/1000</f>
        <v>13.608000000000001</v>
      </c>
      <c r="C43" s="17" t="s">
        <v>85</v>
      </c>
      <c r="I43" s="26"/>
      <c r="Q43" s="361" t="s">
        <v>235</v>
      </c>
      <c r="R43" s="361" t="s">
        <v>236</v>
      </c>
      <c r="S43" s="361" t="s">
        <v>237</v>
      </c>
      <c r="T43" s="361" t="s">
        <v>222</v>
      </c>
      <c r="U43" s="361" t="s">
        <v>189</v>
      </c>
    </row>
    <row r="44" spans="1:21" ht="16.5" x14ac:dyDescent="0.3">
      <c r="A44" s="115">
        <f>B58</f>
        <v>2</v>
      </c>
      <c r="B44" s="22" t="s">
        <v>16</v>
      </c>
      <c r="H44" s="373" t="s">
        <v>191</v>
      </c>
      <c r="I44" s="434" t="s">
        <v>238</v>
      </c>
      <c r="J44" s="435"/>
      <c r="K44" s="436"/>
      <c r="L44" s="374" t="s">
        <v>59</v>
      </c>
      <c r="M44" s="375">
        <v>250</v>
      </c>
      <c r="N44" s="374" t="s">
        <v>185</v>
      </c>
      <c r="Q44" s="364">
        <v>124</v>
      </c>
      <c r="R44" s="401">
        <v>33.07</v>
      </c>
      <c r="S44" s="401">
        <v>20.07</v>
      </c>
      <c r="T44" s="354">
        <v>6.2111801242236027</v>
      </c>
      <c r="U44" s="18">
        <v>0.161</v>
      </c>
    </row>
    <row r="45" spans="1:21" ht="16.5" x14ac:dyDescent="0.3">
      <c r="A45" s="32">
        <v>5.0000000000000001E-4</v>
      </c>
      <c r="B45" s="22" t="s">
        <v>19</v>
      </c>
      <c r="H45" s="373" t="s">
        <v>54</v>
      </c>
      <c r="I45" s="376" t="s">
        <v>239</v>
      </c>
      <c r="J45" s="377"/>
      <c r="K45" s="375"/>
      <c r="L45" s="374" t="s">
        <v>60</v>
      </c>
      <c r="M45" s="375">
        <v>100</v>
      </c>
      <c r="N45" s="375">
        <f>M44</f>
        <v>250</v>
      </c>
      <c r="Q45" s="364">
        <v>158</v>
      </c>
      <c r="R45" s="401">
        <v>39.769999999999996</v>
      </c>
      <c r="S45" s="401">
        <v>26.77</v>
      </c>
      <c r="T45" s="354">
        <v>5.9171597633136095</v>
      </c>
      <c r="U45" s="18">
        <v>0.16900000000000001</v>
      </c>
    </row>
    <row r="46" spans="1:21" ht="16.5" x14ac:dyDescent="0.3">
      <c r="A46" s="17">
        <f>B34</f>
        <v>5.5625399999999998E-2</v>
      </c>
      <c r="B46" s="22" t="s">
        <v>36</v>
      </c>
      <c r="C46" s="422" t="s">
        <v>29</v>
      </c>
      <c r="D46" s="422"/>
      <c r="H46" s="373" t="s">
        <v>55</v>
      </c>
      <c r="I46" s="375" t="s">
        <v>241</v>
      </c>
      <c r="J46" s="377"/>
      <c r="K46" s="375"/>
      <c r="L46" s="374" t="s">
        <v>61</v>
      </c>
      <c r="M46" s="378">
        <f>IF(I52&gt;M48, M45-I52,M45-M48)</f>
        <v>80</v>
      </c>
      <c r="N46" s="379"/>
      <c r="Q46" s="364">
        <v>193</v>
      </c>
      <c r="R46" s="401">
        <v>47.3</v>
      </c>
      <c r="S46" s="401">
        <v>34.299999999999997</v>
      </c>
      <c r="T46" s="354">
        <v>5.6497175141242941</v>
      </c>
      <c r="U46" s="18">
        <v>0.17699999999999999</v>
      </c>
    </row>
    <row r="47" spans="1:21" ht="16.5" x14ac:dyDescent="0.3">
      <c r="A47" s="17">
        <f>120/1440</f>
        <v>8.3333333333333329E-2</v>
      </c>
      <c r="B47" s="22" t="s">
        <v>24</v>
      </c>
      <c r="C47" s="422" t="s">
        <v>28</v>
      </c>
      <c r="D47" s="422"/>
      <c r="H47" s="373" t="s">
        <v>56</v>
      </c>
      <c r="I47" s="375" t="s">
        <v>240</v>
      </c>
      <c r="J47" s="377"/>
      <c r="K47" s="375"/>
      <c r="L47" s="374" t="s">
        <v>62</v>
      </c>
      <c r="M47" s="380">
        <f>INT((M51*100)/M53)</f>
        <v>590</v>
      </c>
      <c r="N47" s="379"/>
      <c r="Q47" s="364">
        <v>227</v>
      </c>
      <c r="R47" s="401">
        <v>54.83</v>
      </c>
      <c r="S47" s="401">
        <v>41.83</v>
      </c>
      <c r="T47" s="354">
        <v>5.4347826086956523</v>
      </c>
      <c r="U47" s="18">
        <v>0.184</v>
      </c>
    </row>
    <row r="48" spans="1:21" ht="16.5" x14ac:dyDescent="0.3">
      <c r="B48" s="22"/>
      <c r="H48" s="373" t="s">
        <v>57</v>
      </c>
      <c r="I48" s="375">
        <v>3</v>
      </c>
      <c r="J48" s="433" t="s">
        <v>256</v>
      </c>
      <c r="K48" s="433"/>
      <c r="L48" s="381" t="s">
        <v>63</v>
      </c>
      <c r="M48" s="382">
        <v>12</v>
      </c>
      <c r="N48" s="379"/>
      <c r="Q48" s="364">
        <v>261</v>
      </c>
      <c r="R48" s="401">
        <v>72.81</v>
      </c>
      <c r="S48" s="401">
        <v>59.81</v>
      </c>
      <c r="T48" s="354">
        <v>4.3668122270742353</v>
      </c>
      <c r="U48" s="18">
        <v>0.22900000000000001</v>
      </c>
    </row>
    <row r="49" spans="1:17" ht="16.5" x14ac:dyDescent="0.3">
      <c r="A49" s="25" t="s">
        <v>37</v>
      </c>
      <c r="B49" s="21">
        <f>INT(SQRT(B54)*1000)/1000</f>
        <v>13.693</v>
      </c>
      <c r="C49" s="22" t="s">
        <v>38</v>
      </c>
      <c r="D49" s="27" t="s">
        <v>18</v>
      </c>
      <c r="H49" s="439" t="s">
        <v>58</v>
      </c>
      <c r="I49" s="432" t="str">
        <f>I45</f>
        <v>개화지구</v>
      </c>
      <c r="J49" s="432"/>
      <c r="K49" s="432"/>
      <c r="L49" s="374" t="s">
        <v>64</v>
      </c>
      <c r="M49" s="382">
        <v>63.45</v>
      </c>
      <c r="N49" s="379"/>
    </row>
    <row r="50" spans="1:17" ht="16.5" x14ac:dyDescent="0.3">
      <c r="A50" s="25" t="s">
        <v>27</v>
      </c>
      <c r="B50" s="17">
        <f>INT(2.25*A44*A47*1000)/1000</f>
        <v>0.375</v>
      </c>
      <c r="C50" s="17">
        <f>B50</f>
        <v>0.375</v>
      </c>
      <c r="H50" s="440"/>
      <c r="I50" s="432"/>
      <c r="J50" s="432"/>
      <c r="K50" s="432"/>
      <c r="L50" s="374" t="s">
        <v>65</v>
      </c>
      <c r="M50" s="383">
        <f>M49-M48</f>
        <v>51.45</v>
      </c>
      <c r="N50" s="379"/>
    </row>
    <row r="51" spans="1:17" ht="16.5" x14ac:dyDescent="0.3">
      <c r="A51" s="25" t="s">
        <v>39</v>
      </c>
      <c r="B51" s="17">
        <f>A45</f>
        <v>5.0000000000000001E-4</v>
      </c>
      <c r="C51" s="22" t="s">
        <v>36</v>
      </c>
      <c r="D51" s="19" t="s">
        <v>18</v>
      </c>
      <c r="H51" s="441"/>
      <c r="I51" s="442" t="s">
        <v>113</v>
      </c>
      <c r="J51" s="443"/>
      <c r="K51" s="444"/>
      <c r="L51" s="384" t="s">
        <v>106</v>
      </c>
      <c r="M51" s="404">
        <v>520</v>
      </c>
      <c r="N51" s="379"/>
      <c r="Q51" s="18">
        <v>124</v>
      </c>
    </row>
    <row r="52" spans="1:17" ht="16.5" x14ac:dyDescent="0.3">
      <c r="A52" s="28" t="s">
        <v>41</v>
      </c>
      <c r="B52" s="17">
        <f>INT(10^((INT(5.46*A44*A46*1000))/1000)*1000)/1000</f>
        <v>4.0449999999999999</v>
      </c>
      <c r="C52" s="17">
        <f>INT(B52*B51*1000)/1000</f>
        <v>2E-3</v>
      </c>
      <c r="H52" s="385" t="s">
        <v>96</v>
      </c>
      <c r="I52" s="386">
        <v>20</v>
      </c>
      <c r="J52" s="385" t="s">
        <v>97</v>
      </c>
      <c r="K52" s="386">
        <v>0</v>
      </c>
      <c r="L52" s="387" t="s">
        <v>66</v>
      </c>
      <c r="M52" s="378">
        <f>INT(M50*0.89*100)/100</f>
        <v>45.79</v>
      </c>
      <c r="N52" s="388"/>
      <c r="Q52" s="18">
        <v>158</v>
      </c>
    </row>
    <row r="53" spans="1:17" ht="16.5" x14ac:dyDescent="0.3">
      <c r="H53" s="379"/>
      <c r="I53" s="438" t="s">
        <v>120</v>
      </c>
      <c r="J53" s="438"/>
      <c r="K53" s="438"/>
      <c r="L53" s="438"/>
      <c r="M53" s="389">
        <v>88</v>
      </c>
      <c r="N53" s="379"/>
      <c r="Q53" s="18">
        <v>193</v>
      </c>
    </row>
    <row r="54" spans="1:17" ht="18.75" customHeight="1" x14ac:dyDescent="0.15">
      <c r="A54" s="25" t="s">
        <v>40</v>
      </c>
      <c r="B54" s="17">
        <f>INT(C50/C52*1000)/1000</f>
        <v>187.5</v>
      </c>
      <c r="H54" s="365" t="s">
        <v>242</v>
      </c>
      <c r="I54" s="397" t="s">
        <v>243</v>
      </c>
      <c r="Q54" s="18">
        <v>227</v>
      </c>
    </row>
    <row r="55" spans="1:17" x14ac:dyDescent="0.15">
      <c r="A55" s="25"/>
      <c r="Q55" s="18">
        <v>261</v>
      </c>
    </row>
    <row r="56" spans="1:17" x14ac:dyDescent="0.15">
      <c r="A56" s="25"/>
    </row>
    <row r="57" spans="1:17" x14ac:dyDescent="0.15">
      <c r="A57" s="37"/>
      <c r="B57" s="38" t="s">
        <v>52</v>
      </c>
      <c r="C57" s="38" t="s">
        <v>53</v>
      </c>
      <c r="D57" s="420" t="s">
        <v>76</v>
      </c>
      <c r="E57" s="420"/>
      <c r="F57" s="420" t="s">
        <v>53</v>
      </c>
      <c r="G57" s="421"/>
      <c r="H57" s="48" t="s">
        <v>176</v>
      </c>
      <c r="I57" s="238">
        <f>M50</f>
        <v>51.45</v>
      </c>
      <c r="J57" s="43" t="s">
        <v>67</v>
      </c>
      <c r="K57" s="48" t="s">
        <v>68</v>
      </c>
      <c r="L57" s="430" t="s">
        <v>73</v>
      </c>
      <c r="M57" s="430"/>
      <c r="Q57" s="18">
        <v>33.07</v>
      </c>
    </row>
    <row r="58" spans="1:17" x14ac:dyDescent="0.15">
      <c r="A58" s="38" t="s">
        <v>47</v>
      </c>
      <c r="B58" s="39">
        <v>2</v>
      </c>
      <c r="C58" s="38"/>
      <c r="D58" s="420">
        <v>0.22439999999999999</v>
      </c>
      <c r="E58" s="420"/>
      <c r="F58" s="420"/>
      <c r="G58" s="421"/>
      <c r="H58" s="48" t="s">
        <v>177</v>
      </c>
      <c r="I58" s="239">
        <f>C62/M46</f>
        <v>5.4587499999999997E-2</v>
      </c>
      <c r="J58" s="49" t="s">
        <v>69</v>
      </c>
      <c r="K58" s="50">
        <f>INT((6*I57*I58*I60/I59)^0.5)</f>
        <v>188</v>
      </c>
      <c r="L58" s="48" t="s">
        <v>74</v>
      </c>
      <c r="M58" s="48" t="s">
        <v>75</v>
      </c>
      <c r="Q58" s="18">
        <v>39.769999999999996</v>
      </c>
    </row>
    <row r="59" spans="1:17" x14ac:dyDescent="0.15">
      <c r="A59" s="38" t="s">
        <v>48</v>
      </c>
      <c r="B59" s="39">
        <v>4.7770000000000001</v>
      </c>
      <c r="C59" s="428">
        <f>B59</f>
        <v>4.7770000000000001</v>
      </c>
      <c r="D59" s="418">
        <v>3.366E-4</v>
      </c>
      <c r="E59" s="419"/>
      <c r="F59" s="424">
        <f>INT((D59+D60)/1*10000000)/10000000</f>
        <v>3.366E-4</v>
      </c>
      <c r="G59" s="425"/>
      <c r="H59" s="51" t="s">
        <v>19</v>
      </c>
      <c r="I59" s="43">
        <f>F62</f>
        <v>3.366E-4</v>
      </c>
      <c r="J59" s="49" t="s">
        <v>70</v>
      </c>
      <c r="K59" s="50">
        <f>INT(3*(I57*I58*I60/I59)^0.5)</f>
        <v>230</v>
      </c>
      <c r="L59" s="50"/>
      <c r="M59" s="50"/>
      <c r="Q59" s="18">
        <v>47.3</v>
      </c>
    </row>
    <row r="60" spans="1:17" x14ac:dyDescent="0.15">
      <c r="A60" s="38" t="s">
        <v>49</v>
      </c>
      <c r="B60" s="39"/>
      <c r="C60" s="428"/>
      <c r="D60" s="418"/>
      <c r="E60" s="419"/>
      <c r="F60" s="426"/>
      <c r="G60" s="427"/>
      <c r="H60" s="261">
        <f>장기양수시험!AD38</f>
        <v>1020</v>
      </c>
      <c r="I60" s="260">
        <f>INT(H60/1440*10000)/10000</f>
        <v>0.70830000000000004</v>
      </c>
      <c r="J60" s="49" t="s">
        <v>71</v>
      </c>
      <c r="K60" s="50">
        <f>(2.25*I61*I60/I59)^0.5</f>
        <v>143.79189926458878</v>
      </c>
      <c r="L60" s="44"/>
      <c r="M60" s="44"/>
      <c r="Q60" s="18">
        <v>54.83</v>
      </c>
    </row>
    <row r="61" spans="1:17" x14ac:dyDescent="0.15">
      <c r="A61" s="38" t="s">
        <v>50</v>
      </c>
      <c r="B61" s="39">
        <v>3.9580000000000002</v>
      </c>
      <c r="C61" s="38">
        <f>B61</f>
        <v>3.9580000000000002</v>
      </c>
      <c r="D61" s="420"/>
      <c r="E61" s="420"/>
      <c r="F61" s="420"/>
      <c r="G61" s="421"/>
      <c r="H61" s="48" t="s">
        <v>16</v>
      </c>
      <c r="I61" s="43">
        <f>C62</f>
        <v>4.367</v>
      </c>
      <c r="J61" s="49" t="s">
        <v>72</v>
      </c>
      <c r="K61" s="50">
        <f>((K58+K59+K60)/3)</f>
        <v>187.2639664215296</v>
      </c>
      <c r="L61" s="52"/>
      <c r="M61" s="44"/>
      <c r="Q61" s="18">
        <v>72.81</v>
      </c>
    </row>
    <row r="62" spans="1:17" x14ac:dyDescent="0.15">
      <c r="A62" s="40" t="s">
        <v>51</v>
      </c>
      <c r="B62" s="40"/>
      <c r="C62" s="235">
        <f>INT((C58+C59+C61)*1000/2)/1000</f>
        <v>4.367</v>
      </c>
      <c r="D62" s="429"/>
      <c r="E62" s="429"/>
      <c r="F62" s="423">
        <f>F59</f>
        <v>3.366E-4</v>
      </c>
      <c r="G62" s="423"/>
      <c r="H62" s="49" t="s">
        <v>77</v>
      </c>
      <c r="I62" s="44">
        <v>70.33</v>
      </c>
      <c r="J62" s="49" t="s">
        <v>178</v>
      </c>
      <c r="K62" s="240">
        <f>MAX(K58:K60)</f>
        <v>230</v>
      </c>
      <c r="L62" s="52"/>
      <c r="M62" s="45"/>
    </row>
    <row r="63" spans="1:17" x14ac:dyDescent="0.15">
      <c r="Q63" s="18">
        <v>20.07</v>
      </c>
    </row>
    <row r="64" spans="1:17" x14ac:dyDescent="0.15">
      <c r="Q64" s="18">
        <v>26.77</v>
      </c>
    </row>
    <row r="65" spans="17:17" x14ac:dyDescent="0.15">
      <c r="Q65" s="18">
        <v>34.299999999999997</v>
      </c>
    </row>
    <row r="66" spans="17:17" x14ac:dyDescent="0.15">
      <c r="Q66" s="18">
        <v>41.83</v>
      </c>
    </row>
    <row r="67" spans="17:17" x14ac:dyDescent="0.15">
      <c r="Q67" s="18">
        <v>59.81</v>
      </c>
    </row>
    <row r="69" spans="17:17" x14ac:dyDescent="0.15">
      <c r="Q69" s="354">
        <v>6.2111801242236027</v>
      </c>
    </row>
    <row r="70" spans="17:17" x14ac:dyDescent="0.15">
      <c r="Q70" s="354">
        <v>5.9171597633136095</v>
      </c>
    </row>
    <row r="71" spans="17:17" x14ac:dyDescent="0.15">
      <c r="Q71" s="354">
        <v>5.6497175141242941</v>
      </c>
    </row>
    <row r="72" spans="17:17" x14ac:dyDescent="0.15">
      <c r="Q72" s="354">
        <v>5.4347826086956523</v>
      </c>
    </row>
    <row r="73" spans="17:17" x14ac:dyDescent="0.15">
      <c r="Q73" s="354">
        <v>4.3668122270742353</v>
      </c>
    </row>
    <row r="75" spans="17:17" x14ac:dyDescent="0.15">
      <c r="Q75" s="18">
        <v>0.161</v>
      </c>
    </row>
    <row r="76" spans="17:17" x14ac:dyDescent="0.15">
      <c r="Q76" s="18">
        <v>0.16900000000000001</v>
      </c>
    </row>
    <row r="77" spans="17:17" x14ac:dyDescent="0.15">
      <c r="Q77" s="18">
        <v>0.17699999999999999</v>
      </c>
    </row>
    <row r="78" spans="17:17" x14ac:dyDescent="0.15">
      <c r="Q78" s="18">
        <v>0.184</v>
      </c>
    </row>
    <row r="79" spans="17:17" x14ac:dyDescent="0.15">
      <c r="Q79" s="18">
        <v>0.22900000000000001</v>
      </c>
    </row>
  </sheetData>
  <mergeCells count="37">
    <mergeCell ref="A27:B27"/>
    <mergeCell ref="A26:B26"/>
    <mergeCell ref="I53:L53"/>
    <mergeCell ref="O21:P21"/>
    <mergeCell ref="H49:H51"/>
    <mergeCell ref="I51:K51"/>
    <mergeCell ref="C47:D47"/>
    <mergeCell ref="L57:M57"/>
    <mergeCell ref="Q21:R21"/>
    <mergeCell ref="S21:T21"/>
    <mergeCell ref="I49:K49"/>
    <mergeCell ref="I50:K50"/>
    <mergeCell ref="J48:K48"/>
    <mergeCell ref="I44:K44"/>
    <mergeCell ref="F62:G62"/>
    <mergeCell ref="F59:G60"/>
    <mergeCell ref="C59:C60"/>
    <mergeCell ref="D57:E57"/>
    <mergeCell ref="D58:E58"/>
    <mergeCell ref="D62:E62"/>
    <mergeCell ref="F58:G58"/>
    <mergeCell ref="D59:E59"/>
    <mergeCell ref="D61:E61"/>
    <mergeCell ref="F57:G57"/>
    <mergeCell ref="E13:G13"/>
    <mergeCell ref="D60:E60"/>
    <mergeCell ref="F61:G61"/>
    <mergeCell ref="C46:D46"/>
    <mergeCell ref="F14:G14"/>
    <mergeCell ref="F15:G15"/>
    <mergeCell ref="F16:G16"/>
    <mergeCell ref="F17:G17"/>
    <mergeCell ref="E8:G8"/>
    <mergeCell ref="F10:G10"/>
    <mergeCell ref="F11:G11"/>
    <mergeCell ref="F12:G12"/>
    <mergeCell ref="F9:G9"/>
  </mergeCells>
  <phoneticPr fontId="5" type="noConversion"/>
  <dataValidations count="4">
    <dataValidation type="list" allowBlank="1" showInputMessage="1" showErrorMessage="1" sqref="I48" xr:uid="{F4379350-8D69-438E-B668-457170BE30D1}">
      <formula1>pump_hp</formula1>
    </dataValidation>
    <dataValidation type="list" allowBlank="1" showInputMessage="1" showErrorMessage="1" sqref="J48:K48" xr:uid="{E897E5E4-7B41-45CF-839C-A3F8E0642524}">
      <formula1>gongbun</formula1>
    </dataValidation>
    <dataValidation type="list" allowBlank="1" showInputMessage="1" showErrorMessage="1" sqref="I54" xr:uid="{B3819090-9B1A-4C37-9F3C-78FB352A1431}">
      <formula1>gongbun2</formula1>
    </dataValidation>
    <dataValidation type="list" allowBlank="1" showInputMessage="1" showErrorMessage="1" sqref="M44" xr:uid="{2568583F-C555-4977-B2BB-1788008080A1}">
      <formula1>well_radius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64" r:id="rId4" name="CommandButton6">
          <controlPr defaultSize="0" autoLine="0" r:id="rId5">
            <anchor moveWithCells="1">
              <from>
                <xdr:col>13</xdr:col>
                <xdr:colOff>542925</xdr:colOff>
                <xdr:row>14</xdr:row>
                <xdr:rowOff>95250</xdr:rowOff>
              </from>
              <to>
                <xdr:col>14</xdr:col>
                <xdr:colOff>704850</xdr:colOff>
                <xdr:row>16</xdr:row>
                <xdr:rowOff>161925</xdr:rowOff>
              </to>
            </anchor>
          </controlPr>
        </control>
      </mc:Choice>
      <mc:Fallback>
        <control shapeId="2064" r:id="rId4" name="CommandButton6"/>
      </mc:Fallback>
    </mc:AlternateContent>
    <mc:AlternateContent xmlns:mc="http://schemas.openxmlformats.org/markup-compatibility/2006">
      <mc:Choice Requires="x14">
        <control shapeId="2052" r:id="rId6" name="CommandButton1">
          <controlPr defaultSize="0" autoLine="0" r:id="rId7">
            <anchor moveWithCells="1">
              <from>
                <xdr:col>17</xdr:col>
                <xdr:colOff>685800</xdr:colOff>
                <xdr:row>38</xdr:row>
                <xdr:rowOff>95250</xdr:rowOff>
              </from>
              <to>
                <xdr:col>19</xdr:col>
                <xdr:colOff>381000</xdr:colOff>
                <xdr:row>40</xdr:row>
                <xdr:rowOff>161925</xdr:rowOff>
              </to>
            </anchor>
          </controlPr>
        </control>
      </mc:Choice>
      <mc:Fallback>
        <control shapeId="2052" r:id="rId6" name="CommandButton1"/>
      </mc:Fallback>
    </mc:AlternateContent>
    <mc:AlternateContent xmlns:mc="http://schemas.openxmlformats.org/markup-compatibility/2006">
      <mc:Choice Requires="x14">
        <control shapeId="2053" r:id="rId8" name="CommandButton2">
          <controlPr defaultSize="0" autoLine="0" r:id="rId9">
            <anchor moveWithCells="1">
              <from>
                <xdr:col>15</xdr:col>
                <xdr:colOff>247650</xdr:colOff>
                <xdr:row>38</xdr:row>
                <xdr:rowOff>104775</xdr:rowOff>
              </from>
              <to>
                <xdr:col>16</xdr:col>
                <xdr:colOff>409575</xdr:colOff>
                <xdr:row>41</xdr:row>
                <xdr:rowOff>0</xdr:rowOff>
              </to>
            </anchor>
          </controlPr>
        </control>
      </mc:Choice>
      <mc:Fallback>
        <control shapeId="2053" r:id="rId8" name="CommandButton2"/>
      </mc:Fallback>
    </mc:AlternateContent>
    <mc:AlternateContent xmlns:mc="http://schemas.openxmlformats.org/markup-compatibility/2006">
      <mc:Choice Requires="x14">
        <control shapeId="2054" r:id="rId10" name="CommandButton3">
          <controlPr defaultSize="0" autoLine="0" r:id="rId11">
            <anchor moveWithCells="1">
              <from>
                <xdr:col>16</xdr:col>
                <xdr:colOff>514350</xdr:colOff>
                <xdr:row>38</xdr:row>
                <xdr:rowOff>104775</xdr:rowOff>
              </from>
              <to>
                <xdr:col>17</xdr:col>
                <xdr:colOff>552450</xdr:colOff>
                <xdr:row>40</xdr:row>
                <xdr:rowOff>161925</xdr:rowOff>
              </to>
            </anchor>
          </controlPr>
        </control>
      </mc:Choice>
      <mc:Fallback>
        <control shapeId="2054" r:id="rId10" name="CommandButton3"/>
      </mc:Fallback>
    </mc:AlternateContent>
    <mc:AlternateContent xmlns:mc="http://schemas.openxmlformats.org/markup-compatibility/2006">
      <mc:Choice Requires="x14">
        <control shapeId="2055" r:id="rId12" name="CommandButton4">
          <controlPr defaultSize="0" autoLine="0" autoPict="0" r:id="rId13">
            <anchor moveWithCells="1">
              <from>
                <xdr:col>17</xdr:col>
                <xdr:colOff>628650</xdr:colOff>
                <xdr:row>49</xdr:row>
                <xdr:rowOff>152400</xdr:rowOff>
              </from>
              <to>
                <xdr:col>20</xdr:col>
                <xdr:colOff>123825</xdr:colOff>
                <xdr:row>51</xdr:row>
                <xdr:rowOff>171450</xdr:rowOff>
              </to>
            </anchor>
          </controlPr>
        </control>
      </mc:Choice>
      <mc:Fallback>
        <control shapeId="2055" r:id="rId12" name="CommandButton4"/>
      </mc:Fallback>
    </mc:AlternateContent>
    <mc:AlternateContent xmlns:mc="http://schemas.openxmlformats.org/markup-compatibility/2006">
      <mc:Choice Requires="x14">
        <control shapeId="2057" r:id="rId14" name="CommandButton5">
          <controlPr defaultSize="0" autoLine="0" r:id="rId15">
            <anchor moveWithCells="1">
              <from>
                <xdr:col>17</xdr:col>
                <xdr:colOff>657225</xdr:colOff>
                <xdr:row>52</xdr:row>
                <xdr:rowOff>57150</xdr:rowOff>
              </from>
              <to>
                <xdr:col>20</xdr:col>
                <xdr:colOff>123825</xdr:colOff>
                <xdr:row>54</xdr:row>
                <xdr:rowOff>47625</xdr:rowOff>
              </to>
            </anchor>
          </controlPr>
        </control>
      </mc:Choice>
      <mc:Fallback>
        <control shapeId="2057" r:id="rId14" name="CommandButton5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D0295-2638-42A8-ADFE-05A38A670246}">
  <sheetPr codeName="Sheet11">
    <tabColor theme="9" tint="0.79998168889431442"/>
  </sheetPr>
  <dimension ref="C3:F11"/>
  <sheetViews>
    <sheetView workbookViewId="0"/>
  </sheetViews>
  <sheetFormatPr defaultRowHeight="18" customHeight="1" x14ac:dyDescent="0.15"/>
  <cols>
    <col min="1" max="2" width="11.88671875" style="398" customWidth="1"/>
    <col min="3" max="3" width="13.109375" style="398" customWidth="1"/>
    <col min="4" max="4" width="14.6640625" style="398" customWidth="1"/>
    <col min="5" max="5" width="10.5546875" style="398" customWidth="1"/>
    <col min="6" max="16384" width="8.88671875" style="398"/>
  </cols>
  <sheetData>
    <row r="3" spans="3:6" ht="18" customHeight="1" x14ac:dyDescent="0.15">
      <c r="C3" s="399" t="s">
        <v>57</v>
      </c>
      <c r="D3" s="399" t="s">
        <v>242</v>
      </c>
      <c r="E3" s="399" t="s">
        <v>249</v>
      </c>
      <c r="F3" s="399" t="s">
        <v>59</v>
      </c>
    </row>
    <row r="4" spans="3:6" ht="18" customHeight="1" x14ac:dyDescent="0.15">
      <c r="C4" s="398">
        <v>1</v>
      </c>
      <c r="D4" s="400" t="s">
        <v>244</v>
      </c>
      <c r="E4" s="398" t="s">
        <v>243</v>
      </c>
      <c r="F4" s="398">
        <v>150</v>
      </c>
    </row>
    <row r="5" spans="3:6" ht="18" customHeight="1" x14ac:dyDescent="0.15">
      <c r="C5" s="398">
        <v>2</v>
      </c>
      <c r="D5" s="398" t="s">
        <v>245</v>
      </c>
      <c r="E5" s="398" t="s">
        <v>250</v>
      </c>
      <c r="F5" s="398">
        <v>200</v>
      </c>
    </row>
    <row r="6" spans="3:6" ht="18" customHeight="1" x14ac:dyDescent="0.15">
      <c r="C6" s="398">
        <v>3</v>
      </c>
      <c r="D6" s="398" t="s">
        <v>246</v>
      </c>
      <c r="E6" s="398" t="s">
        <v>251</v>
      </c>
      <c r="F6" s="398">
        <v>250</v>
      </c>
    </row>
    <row r="7" spans="3:6" ht="18" customHeight="1" x14ac:dyDescent="0.15">
      <c r="C7" s="398">
        <v>5</v>
      </c>
      <c r="D7" s="398" t="s">
        <v>247</v>
      </c>
      <c r="E7" s="398" t="s">
        <v>252</v>
      </c>
    </row>
    <row r="8" spans="3:6" ht="18" customHeight="1" x14ac:dyDescent="0.15">
      <c r="C8" s="398">
        <v>7.5</v>
      </c>
      <c r="D8" s="398" t="s">
        <v>248</v>
      </c>
      <c r="E8" s="398" t="s">
        <v>253</v>
      </c>
    </row>
    <row r="9" spans="3:6" ht="18" customHeight="1" x14ac:dyDescent="0.15">
      <c r="C9" s="398">
        <v>10</v>
      </c>
    </row>
    <row r="10" spans="3:6" ht="18" customHeight="1" x14ac:dyDescent="0.15">
      <c r="C10" s="398">
        <v>20</v>
      </c>
    </row>
    <row r="11" spans="3:6" ht="18" customHeight="1" x14ac:dyDescent="0.15">
      <c r="C11" s="398">
        <v>30</v>
      </c>
    </row>
  </sheetData>
  <phoneticPr fontId="5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>
    <tabColor theme="9" tint="0.59999389629810485"/>
  </sheetPr>
  <dimension ref="A1:O115"/>
  <sheetViews>
    <sheetView zoomScaleNormal="100" workbookViewId="0"/>
  </sheetViews>
  <sheetFormatPr defaultRowHeight="13.5" x14ac:dyDescent="0.15"/>
  <cols>
    <col min="2" max="2" width="14.33203125" customWidth="1"/>
    <col min="3" max="3" width="12.44140625" customWidth="1"/>
    <col min="4" max="4" width="16.109375" customWidth="1"/>
    <col min="7" max="7" width="11.77734375" customWidth="1"/>
    <col min="9" max="9" width="16.6640625" customWidth="1"/>
    <col min="12" max="12" width="11.88671875" customWidth="1"/>
    <col min="13" max="13" width="10.33203125" customWidth="1"/>
  </cols>
  <sheetData>
    <row r="1" spans="1:15" ht="22.7" customHeight="1" x14ac:dyDescent="0.15">
      <c r="A1" s="287"/>
      <c r="B1" s="287" t="str">
        <f>입력표!I45</f>
        <v>개화지구</v>
      </c>
      <c r="C1" s="287"/>
      <c r="D1" s="287"/>
      <c r="E1" s="287"/>
      <c r="F1" s="287"/>
      <c r="G1" s="287"/>
      <c r="H1" s="287"/>
      <c r="I1" s="287"/>
      <c r="J1" s="287"/>
      <c r="K1" s="287"/>
      <c r="L1" s="287"/>
      <c r="M1" s="287"/>
      <c r="N1" s="287"/>
      <c r="O1" s="287"/>
    </row>
    <row r="2" spans="1:15" ht="22.7" customHeight="1" x14ac:dyDescent="0.15">
      <c r="A2" s="287"/>
      <c r="B2" s="287"/>
      <c r="C2" s="287"/>
      <c r="D2" s="287"/>
      <c r="E2" s="287"/>
      <c r="F2" s="287"/>
      <c r="G2" s="287"/>
      <c r="H2" s="287"/>
      <c r="I2" s="287"/>
      <c r="J2" s="287"/>
      <c r="K2" s="366"/>
      <c r="L2" s="366"/>
      <c r="M2" s="366"/>
      <c r="N2" s="366"/>
      <c r="O2" s="287"/>
    </row>
    <row r="3" spans="1:15" ht="22.7" customHeight="1" thickBot="1" x14ac:dyDescent="0.2">
      <c r="A3" s="287"/>
      <c r="B3" s="289" t="str">
        <f>입력표!J48</f>
        <v>공  번 : W - 1</v>
      </c>
      <c r="C3" s="290" t="str">
        <f>입력표!I46</f>
        <v>충청남도 보령시 성주면 개화리 산 52-5</v>
      </c>
      <c r="D3" s="287"/>
      <c r="E3" s="287"/>
      <c r="F3" s="287"/>
      <c r="G3" s="287"/>
      <c r="H3" s="287"/>
      <c r="I3" s="287"/>
      <c r="J3" s="287"/>
      <c r="K3" s="366"/>
      <c r="L3" s="369"/>
      <c r="M3" s="370"/>
      <c r="N3" s="367"/>
      <c r="O3" s="287"/>
    </row>
    <row r="4" spans="1:15" ht="22.7" customHeight="1" thickBot="1" x14ac:dyDescent="0.2">
      <c r="A4" s="287"/>
      <c r="B4" s="288" t="s">
        <v>199</v>
      </c>
      <c r="C4" s="291" t="s">
        <v>200</v>
      </c>
      <c r="D4" s="291" t="s">
        <v>16</v>
      </c>
      <c r="E4" s="291" t="s">
        <v>226</v>
      </c>
      <c r="F4" s="291" t="s">
        <v>19</v>
      </c>
      <c r="G4" s="292" t="s">
        <v>196</v>
      </c>
      <c r="H4" s="287"/>
      <c r="I4" s="293" t="s">
        <v>227</v>
      </c>
      <c r="J4" s="287"/>
      <c r="K4" s="366"/>
      <c r="L4" s="369"/>
      <c r="M4" s="369"/>
      <c r="N4" s="366"/>
      <c r="O4" s="287"/>
    </row>
    <row r="5" spans="1:15" ht="22.7" customHeight="1" x14ac:dyDescent="0.15">
      <c r="A5" s="287"/>
      <c r="B5" s="350">
        <f>장기양수시험!G10</f>
        <v>7.3536772940069994</v>
      </c>
      <c r="C5" s="294">
        <f>장기양수시험!B10</f>
        <v>520</v>
      </c>
      <c r="D5" s="360">
        <v>4.6853999999999996</v>
      </c>
      <c r="E5" s="358">
        <f>입력표!M44/2000</f>
        <v>0.125</v>
      </c>
      <c r="F5" s="295">
        <v>5.0000000000000001E-4</v>
      </c>
      <c r="G5" s="296">
        <f>PI()</f>
        <v>3.1415926535897931</v>
      </c>
      <c r="H5" s="287"/>
      <c r="I5" s="357">
        <f>입력표!M48</f>
        <v>12</v>
      </c>
      <c r="J5" s="287"/>
      <c r="K5" s="366"/>
      <c r="L5" s="369"/>
      <c r="M5" s="369"/>
      <c r="N5" s="366"/>
      <c r="O5" s="287"/>
    </row>
    <row r="6" spans="1:15" ht="22.7" customHeight="1" x14ac:dyDescent="0.15">
      <c r="A6" s="287"/>
      <c r="B6" s="297"/>
      <c r="C6" s="298"/>
      <c r="D6" s="299"/>
      <c r="E6" s="298"/>
      <c r="F6" s="298"/>
      <c r="G6" s="300"/>
      <c r="H6" s="287"/>
      <c r="I6" s="301" t="s">
        <v>64</v>
      </c>
      <c r="J6" s="287"/>
      <c r="K6" s="366"/>
      <c r="L6" s="369"/>
      <c r="M6" s="369"/>
      <c r="N6" s="366"/>
      <c r="O6" s="287"/>
    </row>
    <row r="7" spans="1:15" ht="22.7" customHeight="1" x14ac:dyDescent="0.15">
      <c r="A7" s="287"/>
      <c r="B7" s="302" t="s">
        <v>201</v>
      </c>
      <c r="C7" s="303">
        <f>B5/(C5/(2*G5*D5))</f>
        <v>0.41632047028640462</v>
      </c>
      <c r="D7" s="304" t="s">
        <v>202</v>
      </c>
      <c r="E7" s="303">
        <f>1.15*LOG((2.25*D5*(1/1440))/(F5*E5^2))</f>
        <v>3.4175431692080012</v>
      </c>
      <c r="F7" s="304" t="s">
        <v>197</v>
      </c>
      <c r="G7" s="412">
        <f>C7-E7</f>
        <v>-3.0012226989215964</v>
      </c>
      <c r="H7" s="287"/>
      <c r="I7" s="357">
        <f>입력표!M49</f>
        <v>63.45</v>
      </c>
      <c r="J7" s="287"/>
      <c r="K7" s="366"/>
      <c r="L7" s="369"/>
      <c r="M7" s="371"/>
      <c r="N7" s="366"/>
      <c r="O7" s="287"/>
    </row>
    <row r="8" spans="1:15" ht="22.7" customHeight="1" x14ac:dyDescent="0.15">
      <c r="A8" s="287"/>
      <c r="B8" s="297"/>
      <c r="C8" s="298"/>
      <c r="D8" s="298"/>
      <c r="E8" s="298"/>
      <c r="F8" s="298"/>
      <c r="G8" s="300"/>
      <c r="H8" s="287"/>
      <c r="I8" s="301" t="s">
        <v>223</v>
      </c>
      <c r="J8" s="287"/>
      <c r="K8" s="366"/>
      <c r="L8" s="369"/>
      <c r="M8" s="371"/>
      <c r="N8" s="366"/>
      <c r="O8" s="287"/>
    </row>
    <row r="9" spans="1:15" ht="22.7" customHeight="1" thickBot="1" x14ac:dyDescent="0.2">
      <c r="A9" s="287"/>
      <c r="B9" s="305" t="s">
        <v>198</v>
      </c>
      <c r="C9" s="413">
        <f>E5*EXP(-1*G7)</f>
        <v>2.5137638134386768</v>
      </c>
      <c r="D9" s="306"/>
      <c r="E9" s="306"/>
      <c r="F9" s="306"/>
      <c r="G9" s="307"/>
      <c r="H9" s="287"/>
      <c r="I9" s="308">
        <f>입력표!M45</f>
        <v>100</v>
      </c>
      <c r="J9" s="287"/>
      <c r="K9" s="366"/>
      <c r="L9" s="369"/>
      <c r="M9" s="369"/>
      <c r="N9" s="368"/>
      <c r="O9" s="287"/>
    </row>
    <row r="10" spans="1:15" ht="22.7" customHeight="1" x14ac:dyDescent="0.15">
      <c r="A10" s="287"/>
      <c r="B10" s="287"/>
      <c r="C10" s="287"/>
      <c r="D10" s="287"/>
      <c r="E10" s="287"/>
      <c r="F10" s="287"/>
      <c r="G10" s="287"/>
      <c r="H10" s="287"/>
      <c r="I10" s="301" t="s">
        <v>203</v>
      </c>
      <c r="J10" s="287"/>
      <c r="K10" s="287"/>
      <c r="L10" s="287"/>
      <c r="M10" s="287"/>
      <c r="N10" s="287"/>
      <c r="O10" s="287"/>
    </row>
    <row r="11" spans="1:15" ht="22.7" customHeight="1" thickBot="1" x14ac:dyDescent="0.2">
      <c r="A11" s="287"/>
      <c r="B11" s="287" t="s">
        <v>233</v>
      </c>
      <c r="C11" s="359">
        <f>장기양수시험!F101</f>
        <v>14.199262534233043</v>
      </c>
      <c r="D11" s="287"/>
      <c r="E11" s="287"/>
      <c r="F11" s="287"/>
      <c r="G11" s="287"/>
      <c r="H11" s="287"/>
      <c r="I11" s="309">
        <f>입력표!I52</f>
        <v>20</v>
      </c>
      <c r="J11" s="287"/>
      <c r="K11" s="287"/>
      <c r="L11" s="287"/>
      <c r="M11" s="287"/>
      <c r="N11" s="287"/>
      <c r="O11" s="287"/>
    </row>
    <row r="12" spans="1:15" ht="22.7" customHeight="1" x14ac:dyDescent="0.15">
      <c r="A12" s="287"/>
      <c r="B12" s="287" t="s">
        <v>234</v>
      </c>
      <c r="C12" s="359">
        <f>I7-C11</f>
        <v>49.25073746576696</v>
      </c>
      <c r="D12" s="287"/>
      <c r="E12" s="287"/>
      <c r="F12" s="287"/>
      <c r="G12" s="287"/>
      <c r="H12" s="287"/>
      <c r="I12" s="287"/>
      <c r="J12" s="287"/>
      <c r="K12" s="287"/>
      <c r="L12" s="287"/>
      <c r="M12" s="287"/>
      <c r="N12" s="287"/>
      <c r="O12" s="287"/>
    </row>
    <row r="13" spans="1:15" ht="22.7" customHeight="1" thickBot="1" x14ac:dyDescent="0.2">
      <c r="A13" s="287"/>
      <c r="B13" s="287"/>
      <c r="C13" s="287"/>
      <c r="D13" s="287"/>
      <c r="E13" s="287"/>
      <c r="F13" s="287"/>
      <c r="G13" s="287"/>
      <c r="H13" s="287"/>
      <c r="I13" s="287"/>
      <c r="J13" s="287"/>
      <c r="K13" s="287"/>
      <c r="L13" s="287"/>
      <c r="M13" s="287"/>
      <c r="N13" s="287"/>
      <c r="O13" s="287"/>
    </row>
    <row r="14" spans="1:15" ht="22.7" customHeight="1" x14ac:dyDescent="0.15">
      <c r="A14" s="287"/>
      <c r="B14" s="310" t="s">
        <v>204</v>
      </c>
      <c r="C14" s="414">
        <f>ROUND(SQRT(6*B17*E17*H17/I17),1)</f>
        <v>140.30000000000001</v>
      </c>
      <c r="D14" s="311"/>
      <c r="E14" s="312" t="s">
        <v>205</v>
      </c>
      <c r="F14" s="313">
        <f>D5</f>
        <v>4.6853999999999996</v>
      </c>
      <c r="G14" s="312" t="s">
        <v>206</v>
      </c>
      <c r="H14" s="363">
        <v>2.4780000000000002</v>
      </c>
      <c r="I14" s="314"/>
      <c r="J14" s="287"/>
      <c r="K14" s="287"/>
      <c r="L14" s="287"/>
      <c r="M14" s="287"/>
      <c r="N14" s="287"/>
      <c r="O14" s="287"/>
    </row>
    <row r="15" spans="1:15" ht="22.7" customHeight="1" x14ac:dyDescent="0.15">
      <c r="A15" s="287"/>
      <c r="B15" s="297"/>
      <c r="C15" s="298"/>
      <c r="D15" s="298"/>
      <c r="E15" s="298"/>
      <c r="F15" s="298"/>
      <c r="G15" s="298"/>
      <c r="H15" s="298"/>
      <c r="I15" s="300"/>
      <c r="J15" s="287"/>
      <c r="K15" s="287"/>
      <c r="L15" s="287"/>
      <c r="M15" s="287"/>
      <c r="N15" s="287">
        <v>138</v>
      </c>
      <c r="O15" s="287"/>
    </row>
    <row r="16" spans="1:15" ht="22.7" customHeight="1" x14ac:dyDescent="0.15">
      <c r="A16" s="287"/>
      <c r="B16" s="315" t="s">
        <v>228</v>
      </c>
      <c r="C16" s="304" t="s">
        <v>229</v>
      </c>
      <c r="D16" s="304" t="s">
        <v>230</v>
      </c>
      <c r="E16" s="304" t="s">
        <v>177</v>
      </c>
      <c r="F16" s="304" t="s">
        <v>209</v>
      </c>
      <c r="G16" s="304" t="s">
        <v>225</v>
      </c>
      <c r="H16" s="304" t="s">
        <v>224</v>
      </c>
      <c r="I16" s="316" t="s">
        <v>19</v>
      </c>
      <c r="J16" s="287"/>
      <c r="K16" s="287"/>
      <c r="L16" s="287"/>
      <c r="M16" s="287"/>
      <c r="N16" s="287"/>
      <c r="O16" s="287"/>
    </row>
    <row r="17" spans="1:15" ht="22.7" customHeight="1" thickBot="1" x14ac:dyDescent="0.2">
      <c r="A17" s="287"/>
      <c r="B17" s="352">
        <f>I7-I5</f>
        <v>51.45</v>
      </c>
      <c r="C17" s="347">
        <f>I9-IF(I5&gt;I11,I5,I11)</f>
        <v>80</v>
      </c>
      <c r="D17" s="349">
        <f>(F14+H14)/2</f>
        <v>3.5816999999999997</v>
      </c>
      <c r="E17" s="317">
        <f>INT(D17/C17*100000)/100000</f>
        <v>4.4769999999999997E-2</v>
      </c>
      <c r="F17" s="318">
        <v>1440</v>
      </c>
      <c r="G17" s="319">
        <v>1320</v>
      </c>
      <c r="H17" s="318">
        <f>INT(G17/F17*10000)/10000</f>
        <v>0.91659999999999997</v>
      </c>
      <c r="I17" s="348">
        <v>6.4380000000000004E-4</v>
      </c>
      <c r="J17" s="287"/>
      <c r="K17" s="287"/>
      <c r="L17" s="287"/>
      <c r="M17" s="287"/>
      <c r="N17" s="287"/>
      <c r="O17" s="287"/>
    </row>
    <row r="18" spans="1:15" ht="22.7" customHeight="1" thickBot="1" x14ac:dyDescent="0.2">
      <c r="A18" s="287"/>
      <c r="B18" s="287"/>
      <c r="C18" s="287"/>
      <c r="D18" s="287"/>
      <c r="E18" s="287"/>
      <c r="F18" s="287"/>
      <c r="G18" s="287"/>
      <c r="H18" s="287"/>
      <c r="I18" s="287"/>
      <c r="J18" s="287"/>
      <c r="K18" s="287"/>
      <c r="L18" s="287"/>
      <c r="M18" s="287"/>
      <c r="N18" s="287"/>
      <c r="O18" s="287"/>
    </row>
    <row r="19" spans="1:15" ht="22.7" customHeight="1" x14ac:dyDescent="0.15">
      <c r="A19" s="287"/>
      <c r="B19" s="320" t="s">
        <v>211</v>
      </c>
      <c r="C19" s="415">
        <f>ROUND(3*SQRT(B22*E22*H22/I22),1)</f>
        <v>171.8</v>
      </c>
      <c r="D19" s="321"/>
      <c r="E19" s="321"/>
      <c r="F19" s="321"/>
      <c r="G19" s="321"/>
      <c r="H19" s="321"/>
      <c r="I19" s="322"/>
      <c r="J19" s="287"/>
      <c r="K19" s="287"/>
      <c r="L19" s="287"/>
      <c r="M19" s="287"/>
      <c r="N19" s="287"/>
      <c r="O19" s="287"/>
    </row>
    <row r="20" spans="1:15" ht="22.7" customHeight="1" x14ac:dyDescent="0.15">
      <c r="A20" s="287"/>
      <c r="B20" s="323"/>
      <c r="C20" s="324"/>
      <c r="D20" s="324"/>
      <c r="E20" s="324"/>
      <c r="F20" s="324"/>
      <c r="G20" s="324"/>
      <c r="H20" s="324"/>
      <c r="I20" s="325"/>
      <c r="J20" s="287"/>
      <c r="K20" s="287"/>
      <c r="L20" s="287"/>
      <c r="M20" s="287"/>
      <c r="N20" s="287"/>
      <c r="O20" s="287"/>
    </row>
    <row r="21" spans="1:15" ht="22.7" customHeight="1" x14ac:dyDescent="0.15">
      <c r="A21" s="287"/>
      <c r="B21" s="326" t="s">
        <v>207</v>
      </c>
      <c r="C21" s="327" t="s">
        <v>61</v>
      </c>
      <c r="D21" s="327" t="s">
        <v>208</v>
      </c>
      <c r="E21" s="327" t="s">
        <v>212</v>
      </c>
      <c r="F21" s="327" t="s">
        <v>209</v>
      </c>
      <c r="G21" s="327" t="s">
        <v>210</v>
      </c>
      <c r="H21" s="327" t="s">
        <v>24</v>
      </c>
      <c r="I21" s="328" t="s">
        <v>19</v>
      </c>
      <c r="J21" s="287"/>
      <c r="K21" s="287"/>
      <c r="L21" s="287"/>
      <c r="M21" s="287"/>
      <c r="N21" s="287"/>
      <c r="O21" s="287"/>
    </row>
    <row r="22" spans="1:15" ht="22.7" customHeight="1" thickBot="1" x14ac:dyDescent="0.2">
      <c r="A22" s="287"/>
      <c r="B22" s="329">
        <f t="shared" ref="B22:I22" si="0">B17</f>
        <v>51.45</v>
      </c>
      <c r="C22" s="351">
        <f t="shared" si="0"/>
        <v>80</v>
      </c>
      <c r="D22" s="330">
        <f t="shared" si="0"/>
        <v>3.5816999999999997</v>
      </c>
      <c r="E22" s="353">
        <f t="shared" si="0"/>
        <v>4.4769999999999997E-2</v>
      </c>
      <c r="F22" s="330">
        <f t="shared" si="0"/>
        <v>1440</v>
      </c>
      <c r="G22" s="330">
        <f>G17</f>
        <v>1320</v>
      </c>
      <c r="H22" s="351">
        <f t="shared" si="0"/>
        <v>0.91659999999999997</v>
      </c>
      <c r="I22" s="331">
        <f t="shared" si="0"/>
        <v>6.4380000000000004E-4</v>
      </c>
      <c r="J22" s="287"/>
      <c r="K22" s="287"/>
      <c r="L22" s="287"/>
      <c r="M22" s="287"/>
      <c r="N22" s="287"/>
      <c r="O22" s="287"/>
    </row>
    <row r="23" spans="1:15" ht="22.7" customHeight="1" thickBot="1" x14ac:dyDescent="0.2">
      <c r="A23" s="287"/>
      <c r="B23" s="287"/>
      <c r="C23" s="287"/>
      <c r="D23" s="287"/>
      <c r="E23" s="287"/>
      <c r="F23" s="287"/>
      <c r="G23" s="287"/>
      <c r="H23" s="287"/>
      <c r="I23" s="287"/>
      <c r="J23" s="287"/>
      <c r="K23" s="287"/>
      <c r="L23" s="287"/>
      <c r="M23" s="287"/>
      <c r="N23" s="287"/>
      <c r="O23" s="287"/>
    </row>
    <row r="24" spans="1:15" ht="22.7" customHeight="1" x14ac:dyDescent="0.15">
      <c r="A24" s="287"/>
      <c r="B24" s="310" t="s">
        <v>213</v>
      </c>
      <c r="C24" s="414">
        <f>ROUND(SQRT((2.25*D27*H27)/I27),1)</f>
        <v>107.1</v>
      </c>
      <c r="D24" s="311"/>
      <c r="E24" s="311"/>
      <c r="F24" s="311"/>
      <c r="G24" s="311"/>
      <c r="H24" s="311"/>
      <c r="I24" s="332"/>
      <c r="J24" s="287"/>
      <c r="K24" s="287"/>
      <c r="L24" s="287"/>
      <c r="M24" s="287"/>
      <c r="N24" s="287"/>
      <c r="O24" s="287"/>
    </row>
    <row r="25" spans="1:15" ht="22.7" customHeight="1" x14ac:dyDescent="0.15">
      <c r="A25" s="287"/>
      <c r="B25" s="297"/>
      <c r="C25" s="298"/>
      <c r="D25" s="298"/>
      <c r="E25" s="298"/>
      <c r="F25" s="298"/>
      <c r="G25" s="298"/>
      <c r="H25" s="298"/>
      <c r="I25" s="300"/>
      <c r="J25" s="287"/>
      <c r="K25" s="287"/>
      <c r="L25" s="287"/>
      <c r="M25" s="287"/>
      <c r="N25" s="287"/>
      <c r="O25" s="287"/>
    </row>
    <row r="26" spans="1:15" ht="22.7" customHeight="1" x14ac:dyDescent="0.15">
      <c r="A26" s="287"/>
      <c r="B26" s="315" t="s">
        <v>207</v>
      </c>
      <c r="C26" s="304" t="s">
        <v>214</v>
      </c>
      <c r="D26" s="304" t="s">
        <v>215</v>
      </c>
      <c r="E26" s="304" t="s">
        <v>212</v>
      </c>
      <c r="F26" s="304" t="s">
        <v>209</v>
      </c>
      <c r="G26" s="304" t="s">
        <v>216</v>
      </c>
      <c r="H26" s="304" t="s">
        <v>24</v>
      </c>
      <c r="I26" s="316" t="s">
        <v>217</v>
      </c>
      <c r="J26" s="287"/>
      <c r="K26" s="287"/>
      <c r="L26" s="287"/>
      <c r="M26" s="287"/>
      <c r="N26" s="287"/>
      <c r="O26" s="287"/>
    </row>
    <row r="27" spans="1:15" ht="22.7" customHeight="1" thickBot="1" x14ac:dyDescent="0.2">
      <c r="A27" s="287"/>
      <c r="B27" s="333">
        <f t="shared" ref="B27:I27" si="1">B22</f>
        <v>51.45</v>
      </c>
      <c r="C27" s="318">
        <f t="shared" si="1"/>
        <v>80</v>
      </c>
      <c r="D27" s="318">
        <f t="shared" si="1"/>
        <v>3.5816999999999997</v>
      </c>
      <c r="E27" s="317">
        <f t="shared" si="1"/>
        <v>4.4769999999999997E-2</v>
      </c>
      <c r="F27" s="318">
        <f t="shared" si="1"/>
        <v>1440</v>
      </c>
      <c r="G27" s="318">
        <f t="shared" si="1"/>
        <v>1320</v>
      </c>
      <c r="H27" s="318">
        <f t="shared" si="1"/>
        <v>0.91659999999999997</v>
      </c>
      <c r="I27" s="334">
        <f t="shared" si="1"/>
        <v>6.4380000000000004E-4</v>
      </c>
      <c r="J27" s="287"/>
      <c r="K27" s="287"/>
      <c r="L27" s="287"/>
      <c r="M27" s="287"/>
      <c r="N27" s="287"/>
      <c r="O27" s="287"/>
    </row>
    <row r="28" spans="1:15" ht="22.7" customHeight="1" x14ac:dyDescent="0.15">
      <c r="A28" s="287"/>
      <c r="B28" s="287"/>
      <c r="C28" s="287"/>
      <c r="D28" s="287"/>
      <c r="E28" s="287"/>
      <c r="F28" s="287"/>
      <c r="G28" s="287"/>
      <c r="H28" s="287"/>
      <c r="I28" s="287"/>
      <c r="J28" s="287"/>
      <c r="K28" s="287"/>
      <c r="L28" s="287"/>
      <c r="M28" s="287"/>
      <c r="N28" s="287"/>
      <c r="O28" s="287"/>
    </row>
    <row r="29" spans="1:15" ht="22.7" customHeight="1" x14ac:dyDescent="0.15">
      <c r="A29" s="287"/>
      <c r="B29" s="335" t="s">
        <v>218</v>
      </c>
      <c r="C29" s="336">
        <f>D17</f>
        <v>3.5816999999999997</v>
      </c>
      <c r="D29" s="343">
        <f>(C29/C17)*(100/86400)</f>
        <v>5.1818576388888886E-5</v>
      </c>
      <c r="E29" s="287" t="s">
        <v>219</v>
      </c>
      <c r="F29" s="287"/>
      <c r="G29" s="287"/>
      <c r="H29" s="287"/>
      <c r="I29" s="287"/>
      <c r="J29" s="287" t="s">
        <v>18</v>
      </c>
      <c r="K29" s="287"/>
      <c r="L29" s="287"/>
      <c r="M29" s="287"/>
      <c r="N29" s="287"/>
      <c r="O29" s="287"/>
    </row>
    <row r="30" spans="1:15" ht="22.7" customHeight="1" x14ac:dyDescent="0.15">
      <c r="A30" s="287"/>
      <c r="B30" s="335" t="s">
        <v>220</v>
      </c>
      <c r="C30" s="287">
        <f>I22</f>
        <v>6.4380000000000004E-4</v>
      </c>
      <c r="D30" s="287">
        <f>C29/C17*100/86400</f>
        <v>5.1818576388888892E-5</v>
      </c>
      <c r="E30" s="287"/>
      <c r="F30" s="287"/>
      <c r="G30" s="287"/>
      <c r="H30" s="287"/>
      <c r="I30" s="287"/>
      <c r="J30" s="287"/>
      <c r="K30" s="287"/>
      <c r="L30" s="287"/>
      <c r="M30" s="287"/>
      <c r="N30" s="287"/>
      <c r="O30" s="287"/>
    </row>
    <row r="31" spans="1:15" ht="22.7" customHeight="1" x14ac:dyDescent="0.15">
      <c r="A31" s="287"/>
      <c r="B31" s="335" t="s">
        <v>221</v>
      </c>
      <c r="C31" s="362">
        <f>(C14+C19+C24)/3</f>
        <v>139.73333333333335</v>
      </c>
      <c r="D31" s="287"/>
      <c r="E31" s="287"/>
      <c r="F31" s="287"/>
      <c r="G31" s="287"/>
      <c r="H31" s="287"/>
      <c r="I31" s="287"/>
      <c r="J31" s="287"/>
      <c r="K31" s="287"/>
      <c r="L31" s="287"/>
      <c r="M31" s="287"/>
      <c r="N31" s="287"/>
      <c r="O31" s="287"/>
    </row>
    <row r="32" spans="1:15" ht="22.7" customHeight="1" x14ac:dyDescent="0.15">
      <c r="A32" s="287"/>
      <c r="F32" s="287"/>
      <c r="G32" s="287"/>
      <c r="H32" s="287"/>
      <c r="I32" s="287"/>
      <c r="J32" s="287"/>
      <c r="K32" s="287"/>
      <c r="L32" s="287"/>
      <c r="M32" s="287"/>
      <c r="N32" s="287"/>
      <c r="O32" s="287"/>
    </row>
    <row r="33" spans="1:15" ht="22.7" customHeight="1" x14ac:dyDescent="0.15">
      <c r="A33" s="287"/>
      <c r="B33" s="287"/>
      <c r="C33" s="287"/>
      <c r="D33" s="287"/>
      <c r="E33" s="287"/>
      <c r="F33" s="287"/>
      <c r="G33" s="287"/>
      <c r="H33" s="287"/>
      <c r="I33" s="287"/>
      <c r="J33" s="287"/>
      <c r="K33" s="287"/>
      <c r="L33" s="287"/>
      <c r="M33" s="287"/>
      <c r="N33" s="287"/>
      <c r="O33" s="287"/>
    </row>
    <row r="34" spans="1:15" ht="22.7" customHeight="1" x14ac:dyDescent="0.15">
      <c r="A34" s="287"/>
      <c r="D34" s="287"/>
      <c r="E34" s="287"/>
      <c r="F34" s="287"/>
      <c r="G34" s="287"/>
      <c r="H34" s="287"/>
      <c r="I34" s="287"/>
      <c r="J34" s="287"/>
      <c r="K34" s="287"/>
      <c r="L34" s="287"/>
      <c r="M34" s="287"/>
      <c r="N34" s="287"/>
      <c r="O34" s="287"/>
    </row>
    <row r="35" spans="1:15" ht="22.7" customHeight="1" x14ac:dyDescent="0.15">
      <c r="A35" s="287"/>
      <c r="B35" s="287"/>
      <c r="C35" s="287"/>
      <c r="D35" s="287"/>
      <c r="E35" s="287"/>
      <c r="F35" s="287"/>
      <c r="G35" s="287"/>
      <c r="H35" s="287"/>
      <c r="I35" s="287"/>
      <c r="J35" s="287"/>
      <c r="K35" s="287"/>
      <c r="L35" s="287"/>
      <c r="M35" s="287"/>
      <c r="N35" s="287"/>
      <c r="O35" s="287"/>
    </row>
    <row r="36" spans="1:15" ht="22.7" customHeight="1" x14ac:dyDescent="0.15">
      <c r="A36" s="287"/>
      <c r="B36" s="287"/>
      <c r="C36" s="287"/>
      <c r="D36" s="287"/>
      <c r="E36" s="287"/>
      <c r="F36" s="287"/>
      <c r="G36" s="287"/>
      <c r="H36" s="287"/>
      <c r="I36" s="287"/>
      <c r="J36" s="287"/>
      <c r="K36" s="287"/>
      <c r="L36" s="287"/>
      <c r="M36" s="287"/>
      <c r="N36" s="287"/>
      <c r="O36" s="287"/>
    </row>
    <row r="37" spans="1:15" ht="22.7" customHeight="1" x14ac:dyDescent="0.15">
      <c r="A37" s="287"/>
      <c r="B37" s="287"/>
      <c r="C37" s="287"/>
      <c r="D37" s="287"/>
      <c r="E37" s="287"/>
      <c r="F37" s="287"/>
      <c r="G37" s="287"/>
      <c r="H37" s="287"/>
      <c r="I37" s="287"/>
      <c r="J37" s="287"/>
      <c r="K37" s="287"/>
      <c r="L37" s="287"/>
      <c r="M37" s="287"/>
      <c r="N37" s="287"/>
      <c r="O37" s="287"/>
    </row>
    <row r="38" spans="1:15" ht="22.7" customHeight="1" x14ac:dyDescent="0.15">
      <c r="A38" s="287"/>
      <c r="B38" s="287"/>
      <c r="C38" s="287"/>
      <c r="D38" s="287"/>
      <c r="E38" s="287"/>
      <c r="F38" s="287"/>
      <c r="G38" s="287"/>
      <c r="H38" s="287"/>
      <c r="I38" s="287"/>
      <c r="J38" s="287"/>
      <c r="K38" s="287"/>
      <c r="L38" s="287"/>
      <c r="M38" s="287"/>
      <c r="N38" s="287"/>
      <c r="O38" s="287"/>
    </row>
    <row r="39" spans="1:15" ht="22.7" customHeight="1" x14ac:dyDescent="0.15">
      <c r="A39" s="287"/>
      <c r="B39" s="287"/>
      <c r="C39" s="287"/>
      <c r="D39" s="287"/>
      <c r="E39" s="287"/>
      <c r="F39" s="287"/>
      <c r="G39" s="287"/>
      <c r="H39" s="287"/>
      <c r="I39" s="287"/>
      <c r="J39" s="287"/>
      <c r="K39" s="287"/>
      <c r="L39" s="287"/>
      <c r="M39" s="287"/>
      <c r="N39" s="287"/>
      <c r="O39" s="287"/>
    </row>
    <row r="40" spans="1:15" ht="22.7" customHeight="1" x14ac:dyDescent="0.15">
      <c r="A40" s="287"/>
      <c r="B40" s="287"/>
      <c r="C40" s="287"/>
      <c r="D40" s="287"/>
      <c r="E40" s="287"/>
      <c r="F40" s="287"/>
      <c r="G40" s="287"/>
      <c r="H40" s="287"/>
      <c r="I40" s="287"/>
      <c r="J40" s="287"/>
      <c r="K40" s="287"/>
      <c r="L40" s="287"/>
      <c r="M40" s="287"/>
      <c r="N40" s="287"/>
      <c r="O40" s="287"/>
    </row>
    <row r="41" spans="1:15" ht="22.7" customHeight="1" x14ac:dyDescent="0.15">
      <c r="A41" s="287"/>
      <c r="B41" s="287"/>
      <c r="C41" s="287"/>
      <c r="D41" s="287"/>
      <c r="E41" s="287"/>
      <c r="F41" s="287"/>
      <c r="G41" s="287"/>
      <c r="H41" s="287"/>
      <c r="I41" s="287"/>
      <c r="J41" s="287"/>
      <c r="K41" s="287"/>
      <c r="L41" s="287"/>
      <c r="M41" s="287"/>
      <c r="N41" s="287"/>
      <c r="O41" s="287"/>
    </row>
    <row r="42" spans="1:15" ht="16.5" x14ac:dyDescent="0.15">
      <c r="A42" s="287"/>
      <c r="B42" s="287"/>
      <c r="C42" s="287"/>
      <c r="D42" s="287"/>
      <c r="E42" s="287"/>
      <c r="F42" s="287"/>
      <c r="G42" s="287"/>
      <c r="H42" s="287"/>
      <c r="I42" s="287"/>
      <c r="J42" s="287"/>
      <c r="K42" s="287"/>
      <c r="L42" s="287"/>
      <c r="M42" s="287"/>
      <c r="N42" s="287"/>
      <c r="O42" s="287"/>
    </row>
    <row r="43" spans="1:15" ht="16.5" x14ac:dyDescent="0.15">
      <c r="A43" s="287"/>
      <c r="B43" s="287"/>
      <c r="C43" s="287"/>
      <c r="D43" s="287"/>
      <c r="E43" s="287"/>
      <c r="F43" s="287"/>
      <c r="G43" s="287"/>
      <c r="H43" s="287"/>
      <c r="I43" s="287"/>
      <c r="J43" s="287"/>
      <c r="K43" s="287"/>
      <c r="L43" s="287"/>
      <c r="M43" s="287"/>
      <c r="N43" s="287"/>
      <c r="O43" s="287"/>
    </row>
    <row r="44" spans="1:15" ht="16.5" x14ac:dyDescent="0.15">
      <c r="A44" s="287"/>
      <c r="B44" s="287"/>
      <c r="C44" s="287"/>
      <c r="D44" s="287"/>
      <c r="E44" s="287"/>
      <c r="F44" s="287"/>
      <c r="G44" s="287"/>
      <c r="H44" s="287"/>
      <c r="I44" s="287"/>
      <c r="J44" s="287"/>
      <c r="K44" s="287"/>
      <c r="L44" s="287"/>
      <c r="M44" s="287"/>
      <c r="N44" s="287"/>
      <c r="O44" s="287"/>
    </row>
    <row r="45" spans="1:15" ht="16.5" x14ac:dyDescent="0.15">
      <c r="A45" s="287"/>
      <c r="B45" s="287"/>
      <c r="C45" s="287"/>
      <c r="D45" s="287"/>
      <c r="E45" s="287"/>
      <c r="F45" s="287"/>
      <c r="G45" s="287"/>
      <c r="H45" s="287"/>
      <c r="I45" s="287"/>
      <c r="J45" s="287"/>
      <c r="K45" s="287"/>
      <c r="L45" s="287"/>
      <c r="M45" s="287"/>
      <c r="N45" s="287"/>
      <c r="O45" s="287"/>
    </row>
    <row r="46" spans="1:15" ht="16.5" x14ac:dyDescent="0.15">
      <c r="A46" s="287"/>
      <c r="B46" s="287"/>
      <c r="C46" s="287"/>
      <c r="D46" s="287"/>
      <c r="E46" s="287"/>
      <c r="F46" s="287"/>
      <c r="G46" s="287"/>
      <c r="H46" s="287"/>
      <c r="I46" s="287"/>
      <c r="J46" s="287"/>
      <c r="K46" s="287"/>
      <c r="L46" s="287"/>
      <c r="M46" s="287"/>
      <c r="N46" s="287"/>
      <c r="O46" s="287"/>
    </row>
    <row r="47" spans="1:15" ht="16.5" x14ac:dyDescent="0.15">
      <c r="A47" s="287"/>
      <c r="B47" s="287"/>
      <c r="C47" s="287"/>
      <c r="D47" s="287"/>
      <c r="E47" s="287"/>
      <c r="F47" s="287"/>
      <c r="G47" s="287"/>
      <c r="H47" s="287"/>
      <c r="I47" s="287"/>
      <c r="J47" s="287"/>
      <c r="K47" s="287"/>
      <c r="L47" s="287"/>
      <c r="M47" s="287"/>
      <c r="N47" s="287"/>
      <c r="O47" s="287"/>
    </row>
    <row r="48" spans="1:15" ht="16.5" x14ac:dyDescent="0.15">
      <c r="A48" s="287"/>
      <c r="B48" s="287"/>
      <c r="C48" s="287"/>
      <c r="D48" s="287"/>
      <c r="E48" s="287"/>
      <c r="F48" s="287"/>
      <c r="G48" s="287"/>
      <c r="H48" s="287"/>
      <c r="I48" s="287"/>
      <c r="J48" s="287"/>
      <c r="K48" s="287"/>
      <c r="L48" s="287"/>
      <c r="M48" s="287"/>
      <c r="N48" s="287"/>
      <c r="O48" s="287"/>
    </row>
    <row r="49" spans="1:15" ht="16.5" x14ac:dyDescent="0.15">
      <c r="A49" s="287"/>
      <c r="B49" s="287"/>
      <c r="C49" s="287"/>
      <c r="D49" s="287"/>
      <c r="E49" s="287"/>
      <c r="F49" s="287"/>
      <c r="G49" s="287"/>
      <c r="H49" s="287"/>
      <c r="I49" s="287"/>
      <c r="J49" s="287"/>
      <c r="K49" s="287"/>
      <c r="L49" s="287"/>
      <c r="M49" s="287"/>
      <c r="N49" s="287"/>
      <c r="O49" s="287"/>
    </row>
    <row r="50" spans="1:15" ht="16.5" x14ac:dyDescent="0.15">
      <c r="A50" s="287"/>
      <c r="B50" s="287"/>
      <c r="C50" s="287"/>
      <c r="D50" s="287"/>
      <c r="E50" s="287"/>
      <c r="F50" s="287"/>
      <c r="G50" s="287"/>
      <c r="H50" s="287"/>
      <c r="I50" s="287"/>
      <c r="J50" s="287"/>
      <c r="K50" s="287"/>
      <c r="L50" s="287"/>
      <c r="M50" s="287"/>
      <c r="N50" s="287"/>
      <c r="O50" s="287"/>
    </row>
    <row r="51" spans="1:15" ht="16.5" x14ac:dyDescent="0.15">
      <c r="A51" s="287"/>
      <c r="B51" s="287"/>
      <c r="C51" s="287"/>
      <c r="D51" s="287"/>
      <c r="E51" s="287"/>
      <c r="F51" s="287"/>
      <c r="G51" s="287"/>
      <c r="H51" s="287"/>
      <c r="I51" s="287"/>
      <c r="J51" s="287"/>
      <c r="K51" s="287"/>
      <c r="L51" s="287"/>
      <c r="M51" s="287"/>
      <c r="N51" s="287"/>
      <c r="O51" s="287"/>
    </row>
    <row r="52" spans="1:15" ht="16.5" x14ac:dyDescent="0.15">
      <c r="A52" s="287"/>
      <c r="B52" s="287"/>
      <c r="C52" s="287"/>
      <c r="D52" s="287"/>
      <c r="E52" s="287"/>
      <c r="F52" s="287"/>
      <c r="G52" s="287"/>
      <c r="H52" s="287"/>
      <c r="I52" s="287"/>
      <c r="J52" s="287"/>
      <c r="K52" s="287"/>
      <c r="L52" s="287"/>
      <c r="M52" s="287"/>
      <c r="N52" s="287"/>
      <c r="O52" s="287"/>
    </row>
    <row r="53" spans="1:15" ht="16.5" x14ac:dyDescent="0.15">
      <c r="A53" s="287"/>
      <c r="B53" s="287"/>
      <c r="C53" s="287"/>
      <c r="D53" s="287"/>
      <c r="E53" s="287"/>
      <c r="F53" s="287"/>
      <c r="G53" s="287"/>
      <c r="H53" s="287"/>
      <c r="I53" s="287"/>
      <c r="J53" s="287"/>
      <c r="K53" s="287"/>
      <c r="L53" s="287"/>
      <c r="M53" s="287"/>
      <c r="N53" s="287"/>
      <c r="O53" s="287"/>
    </row>
    <row r="54" spans="1:15" ht="16.5" x14ac:dyDescent="0.15">
      <c r="A54" s="287"/>
      <c r="B54" s="287"/>
      <c r="C54" s="287"/>
      <c r="D54" s="287"/>
      <c r="E54" s="287"/>
      <c r="F54" s="287"/>
      <c r="G54" s="287"/>
      <c r="H54" s="287"/>
      <c r="I54" s="287"/>
      <c r="J54" s="287"/>
      <c r="K54" s="287"/>
      <c r="L54" s="287"/>
      <c r="M54" s="287"/>
      <c r="N54" s="287"/>
      <c r="O54" s="287"/>
    </row>
    <row r="55" spans="1:15" ht="16.5" x14ac:dyDescent="0.15">
      <c r="A55" s="287"/>
      <c r="B55" s="287"/>
      <c r="C55" s="287"/>
      <c r="D55" s="287"/>
      <c r="E55" s="287"/>
      <c r="F55" s="287"/>
      <c r="G55" s="287"/>
      <c r="H55" s="287"/>
      <c r="I55" s="287"/>
      <c r="J55" s="287"/>
      <c r="K55" s="287"/>
      <c r="L55" s="287"/>
      <c r="M55" s="287"/>
      <c r="N55" s="287"/>
      <c r="O55" s="287"/>
    </row>
    <row r="56" spans="1:15" ht="16.5" x14ac:dyDescent="0.15">
      <c r="A56" s="287"/>
      <c r="B56" s="287"/>
      <c r="C56" s="287"/>
      <c r="D56" s="287"/>
      <c r="E56" s="287"/>
      <c r="F56" s="287"/>
      <c r="G56" s="287"/>
      <c r="H56" s="287"/>
      <c r="I56" s="287"/>
      <c r="J56" s="287"/>
      <c r="K56" s="287"/>
      <c r="L56" s="287"/>
      <c r="M56" s="287"/>
      <c r="N56" s="287"/>
      <c r="O56" s="287"/>
    </row>
    <row r="57" spans="1:15" ht="16.5" x14ac:dyDescent="0.15">
      <c r="A57" s="287"/>
      <c r="B57" s="287"/>
      <c r="C57" s="287"/>
      <c r="D57" s="287"/>
      <c r="E57" s="287"/>
      <c r="F57" s="287"/>
      <c r="G57" s="287"/>
      <c r="H57" s="287"/>
      <c r="I57" s="287"/>
      <c r="J57" s="287"/>
      <c r="K57" s="287"/>
      <c r="L57" s="287"/>
      <c r="M57" s="287"/>
      <c r="N57" s="287"/>
      <c r="O57" s="287"/>
    </row>
    <row r="58" spans="1:15" ht="16.5" x14ac:dyDescent="0.15">
      <c r="A58" s="287"/>
      <c r="B58" s="287"/>
      <c r="C58" s="287"/>
      <c r="D58" s="287"/>
      <c r="E58" s="287"/>
      <c r="F58" s="287"/>
      <c r="G58" s="287"/>
      <c r="H58" s="287"/>
      <c r="I58" s="287"/>
      <c r="J58" s="287"/>
      <c r="K58" s="287"/>
      <c r="L58" s="287"/>
      <c r="M58" s="287"/>
      <c r="N58" s="287"/>
      <c r="O58" s="287"/>
    </row>
    <row r="59" spans="1:15" ht="16.5" x14ac:dyDescent="0.15">
      <c r="A59" s="287"/>
      <c r="B59" s="287"/>
      <c r="C59" s="287"/>
      <c r="D59" s="287"/>
      <c r="E59" s="287"/>
      <c r="F59" s="287"/>
      <c r="G59" s="287"/>
      <c r="H59" s="287"/>
      <c r="I59" s="287"/>
      <c r="J59" s="287"/>
      <c r="K59" s="287"/>
      <c r="L59" s="287"/>
      <c r="M59" s="287"/>
      <c r="N59" s="287"/>
      <c r="O59" s="287"/>
    </row>
    <row r="60" spans="1:15" ht="16.5" x14ac:dyDescent="0.15">
      <c r="A60" s="287"/>
      <c r="B60" s="287"/>
      <c r="C60" s="287"/>
      <c r="D60" s="287"/>
      <c r="E60" s="287"/>
      <c r="F60" s="287"/>
      <c r="G60" s="287"/>
      <c r="H60" s="287"/>
      <c r="I60" s="287"/>
      <c r="J60" s="287"/>
      <c r="K60" s="287"/>
      <c r="L60" s="287"/>
      <c r="M60" s="287"/>
      <c r="N60" s="287"/>
      <c r="O60" s="287"/>
    </row>
    <row r="61" spans="1:15" ht="16.5" x14ac:dyDescent="0.15">
      <c r="A61" s="287"/>
      <c r="B61" s="287"/>
      <c r="C61" s="287"/>
      <c r="D61" s="287"/>
      <c r="E61" s="287"/>
      <c r="F61" s="287"/>
      <c r="G61" s="287"/>
      <c r="H61" s="287"/>
      <c r="I61" s="287"/>
      <c r="J61" s="287"/>
      <c r="K61" s="287"/>
      <c r="L61" s="287"/>
      <c r="M61" s="287"/>
      <c r="N61" s="287"/>
      <c r="O61" s="287"/>
    </row>
    <row r="62" spans="1:15" ht="16.5" x14ac:dyDescent="0.15">
      <c r="A62" s="287"/>
      <c r="B62" s="287"/>
      <c r="C62" s="287"/>
      <c r="D62" s="287"/>
      <c r="E62" s="287"/>
      <c r="F62" s="287"/>
      <c r="G62" s="287"/>
      <c r="H62" s="287"/>
      <c r="I62" s="287"/>
      <c r="J62" s="287"/>
      <c r="K62" s="287"/>
      <c r="L62" s="287"/>
      <c r="M62" s="287"/>
      <c r="N62" s="287"/>
      <c r="O62" s="287"/>
    </row>
    <row r="63" spans="1:15" ht="16.5" x14ac:dyDescent="0.15">
      <c r="A63" s="287"/>
      <c r="B63" s="287"/>
      <c r="C63" s="287"/>
      <c r="D63" s="287"/>
      <c r="E63" s="287"/>
      <c r="F63" s="287"/>
      <c r="G63" s="287"/>
      <c r="H63" s="287"/>
      <c r="I63" s="287"/>
      <c r="J63" s="287"/>
      <c r="K63" s="287"/>
      <c r="L63" s="287"/>
      <c r="M63" s="287"/>
      <c r="N63" s="287"/>
      <c r="O63" s="287"/>
    </row>
    <row r="64" spans="1:15" ht="16.5" x14ac:dyDescent="0.15">
      <c r="A64" s="287"/>
      <c r="B64" s="287"/>
      <c r="C64" s="287"/>
      <c r="D64" s="287"/>
      <c r="E64" s="287"/>
      <c r="F64" s="287"/>
      <c r="G64" s="287"/>
      <c r="H64" s="287"/>
      <c r="I64" s="287"/>
      <c r="J64" s="287"/>
      <c r="K64" s="287"/>
      <c r="L64" s="287"/>
      <c r="M64" s="287"/>
      <c r="N64" s="287"/>
      <c r="O64" s="287"/>
    </row>
    <row r="65" spans="1:15" ht="16.5" x14ac:dyDescent="0.15">
      <c r="A65" s="287"/>
      <c r="B65" s="287"/>
      <c r="C65" s="287"/>
      <c r="D65" s="287"/>
      <c r="E65" s="287"/>
      <c r="F65" s="287"/>
      <c r="G65" s="287"/>
      <c r="H65" s="287"/>
      <c r="I65" s="287"/>
      <c r="J65" s="287"/>
      <c r="K65" s="287"/>
      <c r="L65" s="287"/>
      <c r="M65" s="287"/>
      <c r="N65" s="287"/>
      <c r="O65" s="287"/>
    </row>
    <row r="66" spans="1:15" ht="16.5" x14ac:dyDescent="0.15">
      <c r="A66" s="287"/>
      <c r="B66" s="287"/>
      <c r="C66" s="287"/>
      <c r="D66" s="287"/>
      <c r="E66" s="287"/>
      <c r="F66" s="287"/>
      <c r="G66" s="287"/>
      <c r="H66" s="287"/>
      <c r="I66" s="287"/>
      <c r="J66" s="287"/>
      <c r="K66" s="287"/>
      <c r="L66" s="287"/>
      <c r="M66" s="287"/>
      <c r="N66" s="287"/>
      <c r="O66" s="287"/>
    </row>
    <row r="67" spans="1:15" ht="16.5" x14ac:dyDescent="0.15">
      <c r="A67" s="287"/>
      <c r="B67" s="287"/>
      <c r="C67" s="287"/>
      <c r="D67" s="287"/>
      <c r="E67" s="287"/>
      <c r="F67" s="287"/>
      <c r="G67" s="287"/>
      <c r="H67" s="287"/>
      <c r="I67" s="287"/>
      <c r="J67" s="287"/>
      <c r="K67" s="287"/>
      <c r="L67" s="287"/>
      <c r="M67" s="287"/>
      <c r="N67" s="287"/>
      <c r="O67" s="287"/>
    </row>
    <row r="68" spans="1:15" ht="16.5" x14ac:dyDescent="0.15">
      <c r="A68" s="287"/>
      <c r="B68" s="287"/>
      <c r="C68" s="287"/>
      <c r="D68" s="287"/>
      <c r="E68" s="287"/>
      <c r="F68" s="287"/>
      <c r="G68" s="287"/>
      <c r="H68" s="287"/>
      <c r="I68" s="287"/>
      <c r="J68" s="287"/>
      <c r="K68" s="287"/>
      <c r="L68" s="287"/>
      <c r="M68" s="287"/>
      <c r="N68" s="287"/>
      <c r="O68" s="287"/>
    </row>
    <row r="69" spans="1:15" ht="16.5" x14ac:dyDescent="0.15">
      <c r="A69" s="287"/>
      <c r="B69" s="287"/>
      <c r="C69" s="287"/>
      <c r="D69" s="287"/>
      <c r="E69" s="287"/>
      <c r="F69" s="287"/>
      <c r="G69" s="287"/>
      <c r="H69" s="287"/>
      <c r="I69" s="287"/>
      <c r="J69" s="287"/>
      <c r="K69" s="287"/>
      <c r="L69" s="287"/>
      <c r="M69" s="287"/>
      <c r="N69" s="287"/>
      <c r="O69" s="287"/>
    </row>
    <row r="70" spans="1:15" ht="16.5" x14ac:dyDescent="0.15">
      <c r="A70" s="287"/>
      <c r="B70" s="287"/>
      <c r="C70" s="287"/>
      <c r="D70" s="287"/>
      <c r="E70" s="287"/>
      <c r="F70" s="287"/>
      <c r="G70" s="287"/>
      <c r="H70" s="287"/>
      <c r="I70" s="287"/>
      <c r="J70" s="287"/>
      <c r="K70" s="287"/>
      <c r="L70" s="287"/>
      <c r="M70" s="287"/>
      <c r="N70" s="287"/>
      <c r="O70" s="287"/>
    </row>
    <row r="71" spans="1:15" ht="16.5" x14ac:dyDescent="0.15">
      <c r="A71" s="287"/>
      <c r="B71" s="287"/>
      <c r="C71" s="287"/>
      <c r="D71" s="287"/>
      <c r="E71" s="287"/>
      <c r="F71" s="287"/>
      <c r="G71" s="287"/>
      <c r="H71" s="287"/>
      <c r="I71" s="287"/>
      <c r="J71" s="287"/>
      <c r="K71" s="287"/>
      <c r="L71" s="287"/>
      <c r="M71" s="287"/>
      <c r="N71" s="287"/>
      <c r="O71" s="287"/>
    </row>
    <row r="72" spans="1:15" ht="16.5" x14ac:dyDescent="0.15">
      <c r="A72" s="287"/>
      <c r="B72" s="287"/>
      <c r="C72" s="287"/>
      <c r="D72" s="287"/>
      <c r="E72" s="287"/>
      <c r="F72" s="287"/>
      <c r="G72" s="287"/>
      <c r="H72" s="287"/>
      <c r="I72" s="287"/>
      <c r="J72" s="287"/>
      <c r="K72" s="287"/>
      <c r="L72" s="287"/>
      <c r="M72" s="287"/>
      <c r="N72" s="287"/>
      <c r="O72" s="287"/>
    </row>
    <row r="73" spans="1:15" ht="16.5" x14ac:dyDescent="0.15">
      <c r="A73" s="287"/>
      <c r="B73" s="287"/>
      <c r="C73" s="287"/>
      <c r="D73" s="287"/>
      <c r="E73" s="287"/>
      <c r="F73" s="287"/>
      <c r="G73" s="287"/>
      <c r="H73" s="287"/>
      <c r="I73" s="287"/>
      <c r="J73" s="287"/>
      <c r="K73" s="287"/>
      <c r="L73" s="287"/>
      <c r="M73" s="287"/>
      <c r="N73" s="287"/>
      <c r="O73" s="287"/>
    </row>
    <row r="74" spans="1:15" ht="16.5" x14ac:dyDescent="0.15">
      <c r="A74" s="287"/>
      <c r="B74" s="287"/>
      <c r="C74" s="287"/>
      <c r="D74" s="287"/>
      <c r="E74" s="287"/>
      <c r="F74" s="287"/>
      <c r="G74" s="287"/>
      <c r="H74" s="287"/>
      <c r="I74" s="287"/>
      <c r="J74" s="287"/>
      <c r="K74" s="287"/>
      <c r="L74" s="287"/>
      <c r="M74" s="287"/>
      <c r="N74" s="287"/>
      <c r="O74" s="287"/>
    </row>
    <row r="75" spans="1:15" ht="16.5" x14ac:dyDescent="0.15">
      <c r="A75" s="287"/>
      <c r="B75" s="287"/>
      <c r="C75" s="287"/>
      <c r="D75" s="287"/>
      <c r="E75" s="287"/>
      <c r="F75" s="287"/>
      <c r="G75" s="287"/>
      <c r="H75" s="287"/>
      <c r="I75" s="287"/>
      <c r="J75" s="287"/>
      <c r="K75" s="287"/>
      <c r="L75" s="287"/>
      <c r="M75" s="287"/>
      <c r="N75" s="287"/>
      <c r="O75" s="287"/>
    </row>
    <row r="76" spans="1:15" ht="16.5" x14ac:dyDescent="0.15">
      <c r="A76" s="287"/>
      <c r="B76" s="287"/>
      <c r="C76" s="287"/>
      <c r="D76" s="287"/>
      <c r="E76" s="287"/>
      <c r="F76" s="287"/>
      <c r="G76" s="287"/>
      <c r="H76" s="287"/>
      <c r="I76" s="287"/>
      <c r="J76" s="287"/>
      <c r="K76" s="287"/>
      <c r="L76" s="287"/>
      <c r="M76" s="287"/>
      <c r="N76" s="287"/>
      <c r="O76" s="287"/>
    </row>
    <row r="77" spans="1:15" ht="16.5" x14ac:dyDescent="0.15">
      <c r="A77" s="287"/>
      <c r="B77" s="287"/>
      <c r="C77" s="287"/>
      <c r="D77" s="287"/>
      <c r="E77" s="287"/>
      <c r="F77" s="287"/>
      <c r="G77" s="287"/>
      <c r="H77" s="287"/>
      <c r="I77" s="287"/>
      <c r="J77" s="287"/>
      <c r="K77" s="287"/>
      <c r="L77" s="287"/>
      <c r="M77" s="287"/>
      <c r="N77" s="287"/>
      <c r="O77" s="287"/>
    </row>
    <row r="78" spans="1:15" ht="16.5" x14ac:dyDescent="0.15">
      <c r="A78" s="287"/>
      <c r="B78" s="287"/>
      <c r="C78" s="287"/>
      <c r="D78" s="287"/>
      <c r="E78" s="287"/>
      <c r="F78" s="287"/>
      <c r="G78" s="287"/>
      <c r="H78" s="287"/>
      <c r="I78" s="287"/>
      <c r="J78" s="287"/>
      <c r="K78" s="287"/>
      <c r="L78" s="287"/>
      <c r="M78" s="287"/>
      <c r="N78" s="287"/>
      <c r="O78" s="287"/>
    </row>
    <row r="79" spans="1:15" ht="16.5" x14ac:dyDescent="0.15">
      <c r="A79" s="287"/>
      <c r="B79" s="287"/>
      <c r="C79" s="287"/>
      <c r="D79" s="287"/>
      <c r="E79" s="287"/>
      <c r="F79" s="287"/>
      <c r="G79" s="287"/>
      <c r="H79" s="287"/>
      <c r="I79" s="287"/>
      <c r="J79" s="287"/>
      <c r="K79" s="287"/>
      <c r="L79" s="287"/>
      <c r="M79" s="287"/>
      <c r="N79" s="287"/>
      <c r="O79" s="287"/>
    </row>
    <row r="80" spans="1:15" ht="16.5" x14ac:dyDescent="0.15">
      <c r="A80" s="287"/>
      <c r="B80" s="287"/>
      <c r="C80" s="287"/>
      <c r="D80" s="287"/>
      <c r="E80" s="287"/>
      <c r="F80" s="287"/>
      <c r="G80" s="287"/>
      <c r="H80" s="287"/>
      <c r="I80" s="287"/>
      <c r="J80" s="287"/>
      <c r="K80" s="287"/>
      <c r="L80" s="287"/>
      <c r="M80" s="287"/>
      <c r="N80" s="287"/>
      <c r="O80" s="287"/>
    </row>
    <row r="81" spans="1:15" ht="16.5" x14ac:dyDescent="0.15">
      <c r="A81" s="287"/>
      <c r="B81" s="287"/>
      <c r="C81" s="287"/>
      <c r="D81" s="287"/>
      <c r="E81" s="287"/>
      <c r="F81" s="287"/>
      <c r="G81" s="287"/>
      <c r="H81" s="287"/>
      <c r="I81" s="287"/>
      <c r="J81" s="287"/>
      <c r="K81" s="287"/>
      <c r="L81" s="287"/>
      <c r="M81" s="287"/>
      <c r="N81" s="287"/>
      <c r="O81" s="287"/>
    </row>
    <row r="82" spans="1:15" ht="16.5" x14ac:dyDescent="0.15">
      <c r="A82" s="287"/>
      <c r="B82" s="287"/>
      <c r="C82" s="287"/>
      <c r="D82" s="287"/>
      <c r="E82" s="287"/>
      <c r="F82" s="287"/>
      <c r="G82" s="287"/>
      <c r="H82" s="287"/>
      <c r="I82" s="287"/>
      <c r="J82" s="287"/>
      <c r="K82" s="287"/>
      <c r="L82" s="287"/>
      <c r="M82" s="287"/>
      <c r="N82" s="287"/>
      <c r="O82" s="287"/>
    </row>
    <row r="83" spans="1:15" ht="16.5" x14ac:dyDescent="0.15">
      <c r="A83" s="287"/>
      <c r="B83" s="287"/>
      <c r="C83" s="287"/>
      <c r="D83" s="287"/>
      <c r="E83" s="287"/>
      <c r="F83" s="287"/>
      <c r="G83" s="287"/>
      <c r="H83" s="287"/>
      <c r="I83" s="287"/>
      <c r="J83" s="287"/>
      <c r="K83" s="287"/>
      <c r="L83" s="287"/>
      <c r="M83" s="287"/>
      <c r="N83" s="287"/>
      <c r="O83" s="287"/>
    </row>
    <row r="84" spans="1:15" ht="16.5" x14ac:dyDescent="0.15">
      <c r="A84" s="287"/>
      <c r="B84" s="287"/>
      <c r="C84" s="287"/>
      <c r="D84" s="287"/>
      <c r="E84" s="287"/>
      <c r="F84" s="287"/>
      <c r="G84" s="287"/>
      <c r="H84" s="287"/>
      <c r="I84" s="287"/>
      <c r="J84" s="287"/>
      <c r="K84" s="287"/>
      <c r="L84" s="287"/>
      <c r="M84" s="287"/>
      <c r="N84" s="287"/>
      <c r="O84" s="287"/>
    </row>
    <row r="85" spans="1:15" ht="16.5" x14ac:dyDescent="0.15">
      <c r="A85" s="287"/>
      <c r="B85" s="287"/>
      <c r="C85" s="287"/>
      <c r="D85" s="287"/>
      <c r="E85" s="287"/>
      <c r="F85" s="287"/>
      <c r="G85" s="287"/>
      <c r="H85" s="287"/>
      <c r="I85" s="287"/>
      <c r="J85" s="287"/>
      <c r="K85" s="287"/>
      <c r="L85" s="287"/>
      <c r="M85" s="287"/>
      <c r="N85" s="287"/>
      <c r="O85" s="287"/>
    </row>
    <row r="86" spans="1:15" ht="16.5" x14ac:dyDescent="0.15">
      <c r="A86" s="287"/>
      <c r="B86" s="287"/>
      <c r="C86" s="287"/>
      <c r="D86" s="287"/>
      <c r="E86" s="287"/>
      <c r="F86" s="287"/>
      <c r="G86" s="287"/>
      <c r="H86" s="287"/>
      <c r="I86" s="287"/>
      <c r="J86" s="287"/>
      <c r="K86" s="287"/>
      <c r="L86" s="287"/>
      <c r="M86" s="287"/>
      <c r="N86" s="287"/>
      <c r="O86" s="287"/>
    </row>
    <row r="87" spans="1:15" ht="16.5" x14ac:dyDescent="0.15">
      <c r="A87" s="287"/>
      <c r="B87" s="287"/>
      <c r="C87" s="287"/>
      <c r="D87" s="287"/>
      <c r="E87" s="287"/>
      <c r="F87" s="287"/>
      <c r="G87" s="287"/>
      <c r="H87" s="287"/>
      <c r="I87" s="287"/>
      <c r="J87" s="287"/>
      <c r="K87" s="287"/>
      <c r="L87" s="287"/>
      <c r="M87" s="287"/>
      <c r="N87" s="287"/>
      <c r="O87" s="287"/>
    </row>
    <row r="88" spans="1:15" ht="16.5" x14ac:dyDescent="0.15">
      <c r="A88" s="287"/>
      <c r="B88" s="287"/>
      <c r="C88" s="287"/>
      <c r="D88" s="287"/>
      <c r="E88" s="287"/>
      <c r="F88" s="287"/>
      <c r="G88" s="287"/>
      <c r="H88" s="287"/>
      <c r="I88" s="287"/>
      <c r="J88" s="287"/>
      <c r="K88" s="287"/>
      <c r="L88" s="287"/>
      <c r="M88" s="287"/>
      <c r="N88" s="287"/>
      <c r="O88" s="287"/>
    </row>
    <row r="89" spans="1:15" ht="16.5" x14ac:dyDescent="0.15">
      <c r="A89" s="287"/>
      <c r="B89" s="287"/>
      <c r="C89" s="287"/>
      <c r="D89" s="287"/>
      <c r="E89" s="287"/>
      <c r="F89" s="287"/>
      <c r="G89" s="287"/>
      <c r="H89" s="287"/>
      <c r="I89" s="287"/>
      <c r="J89" s="287"/>
      <c r="K89" s="287"/>
      <c r="L89" s="287"/>
      <c r="M89" s="287"/>
      <c r="N89" s="287"/>
      <c r="O89" s="287"/>
    </row>
    <row r="90" spans="1:15" ht="16.5" x14ac:dyDescent="0.15">
      <c r="A90" s="287"/>
      <c r="B90" s="287"/>
      <c r="C90" s="287"/>
      <c r="D90" s="287"/>
      <c r="E90" s="287"/>
      <c r="F90" s="287"/>
      <c r="G90" s="287"/>
      <c r="H90" s="287"/>
      <c r="I90" s="287"/>
      <c r="J90" s="287"/>
      <c r="K90" s="287"/>
      <c r="L90" s="287"/>
      <c r="M90" s="287"/>
      <c r="N90" s="287"/>
      <c r="O90" s="287"/>
    </row>
    <row r="91" spans="1:15" ht="16.5" x14ac:dyDescent="0.15">
      <c r="A91" s="287"/>
      <c r="B91" s="287"/>
      <c r="C91" s="287"/>
      <c r="D91" s="287"/>
      <c r="E91" s="287"/>
      <c r="F91" s="287"/>
      <c r="G91" s="287"/>
      <c r="H91" s="287"/>
      <c r="I91" s="287"/>
      <c r="J91" s="287"/>
      <c r="K91" s="287"/>
      <c r="L91" s="287"/>
      <c r="M91" s="287"/>
      <c r="N91" s="287"/>
      <c r="O91" s="287"/>
    </row>
    <row r="92" spans="1:15" ht="16.5" x14ac:dyDescent="0.15">
      <c r="A92" s="287"/>
      <c r="B92" s="287"/>
      <c r="C92" s="287"/>
      <c r="D92" s="287"/>
      <c r="E92" s="287"/>
      <c r="F92" s="287"/>
      <c r="G92" s="287"/>
      <c r="H92" s="287"/>
      <c r="I92" s="287"/>
      <c r="J92" s="287"/>
      <c r="K92" s="287"/>
      <c r="L92" s="287"/>
      <c r="M92" s="287"/>
      <c r="N92" s="287"/>
      <c r="O92" s="287"/>
    </row>
    <row r="93" spans="1:15" ht="16.5" x14ac:dyDescent="0.15">
      <c r="A93" s="287"/>
      <c r="B93" s="287"/>
      <c r="C93" s="287"/>
      <c r="D93" s="287"/>
      <c r="E93" s="287"/>
      <c r="F93" s="287"/>
      <c r="G93" s="287"/>
      <c r="H93" s="287"/>
      <c r="I93" s="287"/>
      <c r="J93" s="287"/>
      <c r="K93" s="287"/>
      <c r="L93" s="287"/>
      <c r="M93" s="287"/>
      <c r="N93" s="287"/>
      <c r="O93" s="287"/>
    </row>
    <row r="94" spans="1:15" ht="16.5" x14ac:dyDescent="0.15">
      <c r="A94" s="287"/>
      <c r="B94" s="287"/>
      <c r="C94" s="287"/>
      <c r="D94" s="287"/>
      <c r="E94" s="287"/>
      <c r="F94" s="287"/>
      <c r="G94" s="287"/>
      <c r="H94" s="287"/>
      <c r="I94" s="287"/>
      <c r="J94" s="287"/>
      <c r="K94" s="287"/>
      <c r="L94" s="287"/>
      <c r="M94" s="287"/>
      <c r="N94" s="287"/>
      <c r="O94" s="287"/>
    </row>
    <row r="95" spans="1:15" ht="16.5" x14ac:dyDescent="0.15">
      <c r="A95" s="287"/>
      <c r="B95" s="287"/>
      <c r="C95" s="287"/>
      <c r="D95" s="287"/>
      <c r="E95" s="287"/>
      <c r="F95" s="287"/>
      <c r="G95" s="287"/>
      <c r="H95" s="287"/>
      <c r="I95" s="287"/>
      <c r="J95" s="287"/>
      <c r="K95" s="287"/>
      <c r="L95" s="287"/>
      <c r="M95" s="287"/>
      <c r="N95" s="287"/>
      <c r="O95" s="287"/>
    </row>
    <row r="96" spans="1:15" ht="16.5" x14ac:dyDescent="0.15">
      <c r="A96" s="287"/>
      <c r="B96" s="287"/>
      <c r="C96" s="287"/>
      <c r="D96" s="287"/>
      <c r="E96" s="287"/>
      <c r="F96" s="287"/>
      <c r="G96" s="287"/>
      <c r="H96" s="287"/>
      <c r="I96" s="287"/>
      <c r="J96" s="287"/>
      <c r="K96" s="287"/>
      <c r="L96" s="287"/>
      <c r="M96" s="287"/>
      <c r="N96" s="287"/>
      <c r="O96" s="287"/>
    </row>
    <row r="97" spans="1:15" ht="16.5" x14ac:dyDescent="0.15">
      <c r="A97" s="287"/>
      <c r="B97" s="287"/>
      <c r="C97" s="287"/>
      <c r="D97" s="287"/>
      <c r="E97" s="287"/>
      <c r="F97" s="287"/>
      <c r="G97" s="287"/>
      <c r="H97" s="287"/>
      <c r="I97" s="287"/>
      <c r="J97" s="287"/>
      <c r="K97" s="287"/>
      <c r="L97" s="287"/>
      <c r="M97" s="287"/>
      <c r="N97" s="287"/>
      <c r="O97" s="287"/>
    </row>
    <row r="98" spans="1:15" ht="16.5" x14ac:dyDescent="0.15">
      <c r="A98" s="287"/>
      <c r="B98" s="287"/>
      <c r="C98" s="287"/>
      <c r="D98" s="287"/>
      <c r="E98" s="287"/>
      <c r="F98" s="287"/>
      <c r="G98" s="287"/>
      <c r="H98" s="287"/>
      <c r="I98" s="287"/>
      <c r="J98" s="287"/>
      <c r="K98" s="287"/>
      <c r="L98" s="287"/>
      <c r="M98" s="287"/>
      <c r="N98" s="287"/>
      <c r="O98" s="287"/>
    </row>
    <row r="99" spans="1:15" ht="16.5" x14ac:dyDescent="0.15">
      <c r="A99" s="287"/>
      <c r="B99" s="287"/>
      <c r="C99" s="287"/>
      <c r="D99" s="287"/>
      <c r="E99" s="287"/>
      <c r="F99" s="287"/>
      <c r="G99" s="287"/>
      <c r="H99" s="287"/>
      <c r="I99" s="287"/>
      <c r="J99" s="287"/>
      <c r="K99" s="287"/>
      <c r="L99" s="287"/>
      <c r="M99" s="287"/>
      <c r="N99" s="287"/>
      <c r="O99" s="287"/>
    </row>
    <row r="100" spans="1:15" ht="16.5" x14ac:dyDescent="0.15">
      <c r="A100" s="287"/>
      <c r="B100" s="287"/>
      <c r="C100" s="287"/>
      <c r="D100" s="287"/>
      <c r="E100" s="287"/>
      <c r="F100" s="287"/>
      <c r="G100" s="287"/>
      <c r="H100" s="287"/>
      <c r="I100" s="287"/>
      <c r="J100" s="287"/>
      <c r="K100" s="287"/>
      <c r="L100" s="287"/>
      <c r="M100" s="287"/>
      <c r="N100" s="287"/>
      <c r="O100" s="287"/>
    </row>
    <row r="101" spans="1:15" ht="16.5" x14ac:dyDescent="0.15">
      <c r="A101" s="287"/>
      <c r="B101" s="287"/>
      <c r="C101" s="287"/>
      <c r="D101" s="287"/>
      <c r="E101" s="287"/>
      <c r="F101" s="287"/>
      <c r="G101" s="287"/>
      <c r="H101" s="287"/>
      <c r="I101" s="287"/>
      <c r="J101" s="287"/>
      <c r="K101" s="287"/>
      <c r="L101" s="287"/>
      <c r="M101" s="287"/>
      <c r="N101" s="287"/>
      <c r="O101" s="287"/>
    </row>
    <row r="102" spans="1:15" ht="16.5" x14ac:dyDescent="0.15">
      <c r="A102" s="287"/>
      <c r="B102" s="287"/>
      <c r="C102" s="287"/>
      <c r="D102" s="287"/>
      <c r="E102" s="287"/>
      <c r="F102" s="287"/>
      <c r="G102" s="287"/>
      <c r="H102" s="287"/>
      <c r="I102" s="287"/>
      <c r="J102" s="287"/>
      <c r="K102" s="287"/>
      <c r="L102" s="287"/>
      <c r="M102" s="287"/>
      <c r="N102" s="287"/>
      <c r="O102" s="287"/>
    </row>
    <row r="103" spans="1:15" ht="16.5" x14ac:dyDescent="0.15">
      <c r="A103" s="287"/>
      <c r="B103" s="287"/>
      <c r="C103" s="287"/>
      <c r="D103" s="287"/>
      <c r="E103" s="287"/>
      <c r="F103" s="287"/>
      <c r="G103" s="287"/>
      <c r="H103" s="287"/>
      <c r="I103" s="287"/>
      <c r="J103" s="287"/>
      <c r="K103" s="287"/>
      <c r="L103" s="287"/>
      <c r="M103" s="287"/>
      <c r="N103" s="287"/>
      <c r="O103" s="287"/>
    </row>
    <row r="104" spans="1:15" ht="16.5" x14ac:dyDescent="0.15">
      <c r="A104" s="287"/>
      <c r="B104" s="287"/>
      <c r="C104" s="287"/>
      <c r="D104" s="287"/>
      <c r="E104" s="287"/>
      <c r="F104" s="287"/>
      <c r="G104" s="287"/>
      <c r="H104" s="287"/>
      <c r="I104" s="287"/>
      <c r="J104" s="287"/>
      <c r="K104" s="287"/>
      <c r="L104" s="287"/>
      <c r="M104" s="287"/>
      <c r="N104" s="287"/>
      <c r="O104" s="287"/>
    </row>
    <row r="105" spans="1:15" ht="16.5" x14ac:dyDescent="0.15">
      <c r="A105" s="287"/>
      <c r="B105" s="287"/>
      <c r="C105" s="287"/>
      <c r="D105" s="287"/>
      <c r="E105" s="287"/>
      <c r="F105" s="287"/>
      <c r="G105" s="287"/>
      <c r="H105" s="287"/>
      <c r="I105" s="287"/>
      <c r="J105" s="287"/>
      <c r="K105" s="287"/>
      <c r="L105" s="287"/>
      <c r="M105" s="287"/>
      <c r="N105" s="287"/>
      <c r="O105" s="287"/>
    </row>
    <row r="106" spans="1:15" ht="16.5" x14ac:dyDescent="0.15">
      <c r="A106" s="287"/>
      <c r="B106" s="287"/>
      <c r="C106" s="287"/>
      <c r="D106" s="287"/>
      <c r="E106" s="287"/>
      <c r="F106" s="287"/>
      <c r="G106" s="287"/>
      <c r="H106" s="287"/>
      <c r="I106" s="287"/>
      <c r="J106" s="287"/>
      <c r="K106" s="287"/>
      <c r="L106" s="287"/>
      <c r="M106" s="287"/>
      <c r="N106" s="287"/>
      <c r="O106" s="287"/>
    </row>
    <row r="107" spans="1:15" ht="16.5" x14ac:dyDescent="0.15">
      <c r="A107" s="287"/>
      <c r="B107" s="287"/>
      <c r="C107" s="287"/>
      <c r="D107" s="287"/>
      <c r="E107" s="287"/>
      <c r="F107" s="287"/>
      <c r="G107" s="287"/>
      <c r="H107" s="287"/>
      <c r="I107" s="287"/>
      <c r="J107" s="287"/>
      <c r="K107" s="287"/>
      <c r="L107" s="287"/>
      <c r="M107" s="287"/>
      <c r="N107" s="287"/>
      <c r="O107" s="287"/>
    </row>
    <row r="108" spans="1:15" ht="16.5" x14ac:dyDescent="0.15">
      <c r="A108" s="287"/>
      <c r="B108" s="287"/>
      <c r="C108" s="287"/>
      <c r="D108" s="287"/>
      <c r="E108" s="287"/>
      <c r="F108" s="287"/>
      <c r="G108" s="287"/>
      <c r="H108" s="287"/>
      <c r="I108" s="287"/>
      <c r="J108" s="287"/>
      <c r="K108" s="287"/>
      <c r="L108" s="287"/>
      <c r="M108" s="287"/>
      <c r="N108" s="287"/>
      <c r="O108" s="287"/>
    </row>
    <row r="109" spans="1:15" ht="16.5" x14ac:dyDescent="0.15">
      <c r="A109" s="287"/>
      <c r="B109" s="287"/>
      <c r="C109" s="287"/>
      <c r="D109" s="287"/>
      <c r="E109" s="287"/>
      <c r="F109" s="287"/>
      <c r="G109" s="287"/>
      <c r="H109" s="287"/>
      <c r="I109" s="287"/>
      <c r="J109" s="287"/>
      <c r="K109" s="287"/>
      <c r="L109" s="287"/>
      <c r="M109" s="287"/>
      <c r="N109" s="287"/>
      <c r="O109" s="287"/>
    </row>
    <row r="110" spans="1:15" ht="16.5" x14ac:dyDescent="0.15">
      <c r="A110" s="287"/>
      <c r="B110" s="287"/>
      <c r="C110" s="287"/>
      <c r="D110" s="287"/>
      <c r="E110" s="287"/>
      <c r="F110" s="287"/>
      <c r="G110" s="287"/>
      <c r="H110" s="287"/>
      <c r="I110" s="287"/>
      <c r="J110" s="287"/>
      <c r="K110" s="287"/>
      <c r="L110" s="287"/>
      <c r="M110" s="287"/>
      <c r="N110" s="287"/>
      <c r="O110" s="287"/>
    </row>
    <row r="111" spans="1:15" ht="16.5" x14ac:dyDescent="0.15">
      <c r="A111" s="287"/>
      <c r="B111" s="287"/>
      <c r="C111" s="287"/>
      <c r="D111" s="287"/>
      <c r="E111" s="287"/>
      <c r="F111" s="287"/>
      <c r="G111" s="287"/>
      <c r="H111" s="287"/>
      <c r="I111" s="287"/>
      <c r="J111" s="287"/>
      <c r="K111" s="287"/>
      <c r="L111" s="287"/>
      <c r="M111" s="287"/>
      <c r="N111" s="287"/>
      <c r="O111" s="287"/>
    </row>
    <row r="112" spans="1:15" ht="16.5" x14ac:dyDescent="0.15">
      <c r="A112" s="287"/>
      <c r="B112" s="287"/>
      <c r="C112" s="287"/>
      <c r="D112" s="287"/>
      <c r="E112" s="287"/>
      <c r="F112" s="287"/>
      <c r="G112" s="287"/>
      <c r="H112" s="287"/>
      <c r="I112" s="287"/>
      <c r="J112" s="287"/>
      <c r="K112" s="287"/>
      <c r="L112" s="287"/>
      <c r="M112" s="287"/>
      <c r="N112" s="287"/>
      <c r="O112" s="287"/>
    </row>
    <row r="113" spans="1:15" ht="16.5" x14ac:dyDescent="0.15">
      <c r="A113" s="287"/>
      <c r="B113" s="287"/>
      <c r="C113" s="287"/>
      <c r="D113" s="287"/>
      <c r="E113" s="287"/>
      <c r="F113" s="287"/>
      <c r="G113" s="287"/>
      <c r="H113" s="287"/>
      <c r="I113" s="287"/>
      <c r="J113" s="287"/>
      <c r="K113" s="287"/>
      <c r="L113" s="287"/>
      <c r="M113" s="287"/>
      <c r="N113" s="287"/>
      <c r="O113" s="287"/>
    </row>
    <row r="114" spans="1:15" ht="16.5" x14ac:dyDescent="0.15">
      <c r="A114" s="287"/>
      <c r="B114" s="287"/>
      <c r="C114" s="287"/>
      <c r="D114" s="287"/>
      <c r="E114" s="287"/>
      <c r="F114" s="287"/>
      <c r="G114" s="287"/>
      <c r="H114" s="287"/>
      <c r="I114" s="287"/>
      <c r="J114" s="287"/>
      <c r="K114" s="287"/>
      <c r="L114" s="287"/>
      <c r="M114" s="287"/>
      <c r="N114" s="287"/>
      <c r="O114" s="287"/>
    </row>
    <row r="115" spans="1:15" ht="16.5" x14ac:dyDescent="0.15">
      <c r="A115" s="287"/>
      <c r="B115" s="287"/>
      <c r="C115" s="287"/>
      <c r="D115" s="287"/>
      <c r="E115" s="287"/>
      <c r="F115" s="287"/>
      <c r="G115" s="287"/>
      <c r="H115" s="287"/>
      <c r="I115" s="287"/>
      <c r="J115" s="287"/>
      <c r="K115" s="287"/>
      <c r="L115" s="287"/>
      <c r="M115" s="287"/>
      <c r="N115" s="287"/>
      <c r="O115" s="287"/>
    </row>
  </sheetData>
  <phoneticPr fontId="5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301" r:id="rId4" name="CommandButton1">
          <controlPr defaultSize="0" autoLine="0" r:id="rId5">
            <anchor moveWithCells="1">
              <from>
                <xdr:col>9</xdr:col>
                <xdr:colOff>438150</xdr:colOff>
                <xdr:row>5</xdr:row>
                <xdr:rowOff>19050</xdr:rowOff>
              </from>
              <to>
                <xdr:col>11</xdr:col>
                <xdr:colOff>552450</xdr:colOff>
                <xdr:row>7</xdr:row>
                <xdr:rowOff>47625</xdr:rowOff>
              </to>
            </anchor>
          </controlPr>
        </control>
      </mc:Choice>
      <mc:Fallback>
        <control shapeId="12301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B10"/>
  <sheetViews>
    <sheetView workbookViewId="0"/>
  </sheetViews>
  <sheetFormatPr defaultRowHeight="16.5" x14ac:dyDescent="0.15"/>
  <cols>
    <col min="1" max="1" width="18.44140625" style="337" bestFit="1" customWidth="1"/>
    <col min="2" max="2" width="7.5546875" style="338" bestFit="1" customWidth="1"/>
    <col min="3" max="16384" width="8.88671875" style="338"/>
  </cols>
  <sheetData>
    <row r="1" spans="1:2" ht="20.100000000000001" customHeight="1" x14ac:dyDescent="0.15"/>
    <row r="2" spans="1:2" ht="20.100000000000001" customHeight="1" x14ac:dyDescent="0.15">
      <c r="A2" s="337" t="s">
        <v>107</v>
      </c>
      <c r="B2" s="339">
        <f>단계양수시험!B12</f>
        <v>324</v>
      </c>
    </row>
    <row r="3" spans="1:2" ht="20.100000000000001" customHeight="1" x14ac:dyDescent="0.15">
      <c r="A3" s="340" t="s">
        <v>108</v>
      </c>
      <c r="B3" s="341">
        <f>단계양수시험!G31</f>
        <v>21.97</v>
      </c>
    </row>
    <row r="4" spans="1:2" ht="20.100000000000001" customHeight="1" x14ac:dyDescent="0.15">
      <c r="A4" s="340" t="s">
        <v>109</v>
      </c>
      <c r="B4" s="338">
        <f>단계양수시험!G46</f>
        <v>45.79</v>
      </c>
    </row>
    <row r="5" spans="1:2" ht="20.100000000000001" customHeight="1" x14ac:dyDescent="0.15">
      <c r="A5" s="342" t="s">
        <v>110</v>
      </c>
      <c r="B5" s="338">
        <f>2/3</f>
        <v>0.66666666666666663</v>
      </c>
    </row>
    <row r="6" spans="1:2" ht="20.100000000000001" customHeight="1" x14ac:dyDescent="0.15">
      <c r="A6" s="340"/>
    </row>
    <row r="7" spans="1:2" ht="20.100000000000001" customHeight="1" x14ac:dyDescent="0.15">
      <c r="A7" s="340" t="s">
        <v>111</v>
      </c>
      <c r="B7" s="338">
        <f>B2*(B4/B3)^(2/3)</f>
        <v>528.65466383895409</v>
      </c>
    </row>
    <row r="8" spans="1:2" ht="20.100000000000001" customHeight="1" x14ac:dyDescent="0.15">
      <c r="A8" s="340" t="s">
        <v>112</v>
      </c>
      <c r="B8" s="338">
        <f>INT(B7)</f>
        <v>528</v>
      </c>
    </row>
    <row r="9" spans="1:2" ht="24.75" customHeight="1" x14ac:dyDescent="0.15"/>
    <row r="10" spans="1:2" ht="24.75" customHeight="1" x14ac:dyDescent="0.15"/>
  </sheetData>
  <phoneticPr fontId="5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3313" r:id="rId4" name="CommandButton1">
          <controlPr defaultSize="0" autoLine="0" r:id="rId5">
            <anchor moveWithCells="1">
              <from>
                <xdr:col>3</xdr:col>
                <xdr:colOff>571500</xdr:colOff>
                <xdr:row>8</xdr:row>
                <xdr:rowOff>219075</xdr:rowOff>
              </from>
              <to>
                <xdr:col>5</xdr:col>
                <xdr:colOff>647700</xdr:colOff>
                <xdr:row>10</xdr:row>
                <xdr:rowOff>104775</xdr:rowOff>
              </to>
            </anchor>
          </controlPr>
        </control>
      </mc:Choice>
      <mc:Fallback>
        <control shapeId="13313" r:id="rId4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EF715"/>
  <sheetViews>
    <sheetView showGridLines="0" zoomScaleNormal="100" zoomScaleSheetLayoutView="100" workbookViewId="0"/>
  </sheetViews>
  <sheetFormatPr defaultRowHeight="13.5" x14ac:dyDescent="0.15"/>
  <cols>
    <col min="1" max="1" width="4.6640625" style="4" customWidth="1"/>
    <col min="2" max="2" width="13.21875" style="4" customWidth="1"/>
    <col min="3" max="3" width="10.5546875" style="4" customWidth="1"/>
    <col min="4" max="4" width="8.5546875" style="4" customWidth="1"/>
    <col min="5" max="5" width="4.6640625" style="4" customWidth="1"/>
    <col min="6" max="6" width="11.21875" style="4" bestFit="1" customWidth="1"/>
    <col min="7" max="7" width="7" style="4" customWidth="1"/>
    <col min="8" max="8" width="6.6640625" style="4" customWidth="1"/>
    <col min="9" max="9" width="8.44140625" style="5" bestFit="1" customWidth="1"/>
    <col min="10" max="10" width="13" style="4" customWidth="1"/>
    <col min="11" max="15" width="8.88671875" style="4"/>
    <col min="16" max="17" width="8.77734375" style="4" bestFit="1" customWidth="1"/>
    <col min="18" max="18" width="8.88671875" style="4"/>
    <col min="19" max="19" width="3.33203125" style="4" bestFit="1" customWidth="1"/>
    <col min="20" max="20" width="4.88671875" style="4" bestFit="1" customWidth="1"/>
    <col min="21" max="21" width="6.6640625" style="96" bestFit="1" customWidth="1"/>
    <col min="22" max="23" width="7.77734375" style="4" customWidth="1"/>
    <col min="24" max="24" width="7.21875" style="4" bestFit="1" customWidth="1"/>
    <col min="25" max="25" width="4.88671875" style="4" bestFit="1" customWidth="1"/>
    <col min="26" max="26" width="8" bestFit="1" customWidth="1"/>
    <col min="27" max="27" width="5.6640625" bestFit="1" customWidth="1"/>
    <col min="28" max="28" width="5.6640625" customWidth="1"/>
    <col min="29" max="29" width="4.88671875" bestFit="1" customWidth="1"/>
    <col min="30" max="30" width="6" bestFit="1" customWidth="1"/>
    <col min="31" max="34" width="4.88671875" customWidth="1"/>
    <col min="35" max="16384" width="8.88671875" style="4"/>
  </cols>
  <sheetData>
    <row r="1" spans="1:136" ht="22.5" x14ac:dyDescent="0.25">
      <c r="A1" s="233" t="s">
        <v>175</v>
      </c>
      <c r="J1" s="2"/>
    </row>
    <row r="2" spans="1:136" s="2" customFormat="1" ht="18.75" x14ac:dyDescent="0.25">
      <c r="A2" s="76"/>
      <c r="B2" s="4"/>
      <c r="C2" s="4"/>
      <c r="D2" s="4"/>
      <c r="E2" s="4"/>
      <c r="F2" s="4"/>
      <c r="G2" s="4"/>
      <c r="H2" s="4"/>
      <c r="I2" s="5"/>
      <c r="J2" s="3"/>
      <c r="Q2" s="30" t="s">
        <v>43</v>
      </c>
      <c r="T2" s="31" t="s">
        <v>44</v>
      </c>
      <c r="U2" s="97"/>
      <c r="V2" s="31"/>
    </row>
    <row r="3" spans="1:136" s="3" customFormat="1" ht="22.5" x14ac:dyDescent="0.15">
      <c r="A3" s="232" t="s">
        <v>3</v>
      </c>
      <c r="B3" s="1"/>
      <c r="C3" s="1"/>
      <c r="D3" s="1"/>
      <c r="E3" s="1"/>
      <c r="F3" s="1"/>
      <c r="G3" s="1"/>
      <c r="H3" s="60"/>
      <c r="I3" s="1"/>
      <c r="Q3" s="29" t="s">
        <v>42</v>
      </c>
      <c r="S3" s="11" t="s">
        <v>15</v>
      </c>
      <c r="T3" s="11" t="s">
        <v>16</v>
      </c>
      <c r="U3" s="98" t="s">
        <v>17</v>
      </c>
      <c r="V3" s="11" t="s">
        <v>19</v>
      </c>
      <c r="W3" s="11" t="s">
        <v>21</v>
      </c>
      <c r="X3" s="11" t="s">
        <v>20</v>
      </c>
      <c r="Y3" s="11" t="s">
        <v>22</v>
      </c>
      <c r="AC3" s="3">
        <v>0</v>
      </c>
      <c r="AI3" s="11"/>
    </row>
    <row r="4" spans="1:136" s="3" customFormat="1" ht="23.1" customHeight="1" x14ac:dyDescent="0.15">
      <c r="A4" s="448" t="s">
        <v>192</v>
      </c>
      <c r="B4" s="448"/>
      <c r="C4" s="211" t="str">
        <f>입력표!I44</f>
        <v>두산인프라코어 지하수 관정개발을 위한 지하수영향조사</v>
      </c>
      <c r="D4" s="212"/>
      <c r="E4" s="212"/>
      <c r="F4" s="212"/>
      <c r="G4" s="212"/>
      <c r="H4" s="213"/>
      <c r="I4" s="214"/>
      <c r="P4" s="3">
        <v>1</v>
      </c>
      <c r="Q4" s="64">
        <v>-1.08</v>
      </c>
      <c r="R4" s="14">
        <f>B12</f>
        <v>324</v>
      </c>
      <c r="S4" s="3">
        <f>$R$4</f>
        <v>324</v>
      </c>
      <c r="T4" s="372">
        <v>5.8816255416085772</v>
      </c>
      <c r="U4" s="95">
        <f>입력표!M44/2/1000</f>
        <v>0.125</v>
      </c>
      <c r="V4" s="29">
        <v>5.0000000000000001E-4</v>
      </c>
      <c r="W4" s="3">
        <f t="shared" ref="W4:W43" si="0">X4/1440</f>
        <v>6.9444444444444447E-4</v>
      </c>
      <c r="X4" s="12">
        <f>D12</f>
        <v>1</v>
      </c>
      <c r="Y4" s="10">
        <f t="shared" ref="Y4:Y43" si="1">2.3*S4/(4*PI()*T4)*LOG10((2.25*T4*W4)/(U4*U4*V4))</f>
        <v>30.958405424871611</v>
      </c>
      <c r="Z4" s="13">
        <f>Z22</f>
        <v>29.951623879952706</v>
      </c>
      <c r="AA4" s="10">
        <f>$Z$4</f>
        <v>29.951623879952706</v>
      </c>
      <c r="AB4" s="10">
        <f>X4</f>
        <v>1</v>
      </c>
      <c r="AC4" s="10">
        <f>Y4-AA4</f>
        <v>1.0067815449189048</v>
      </c>
      <c r="AD4" s="83">
        <f>INT((AC4-AE4)*100)/100</f>
        <v>2.08</v>
      </c>
      <c r="AE4" s="6">
        <f>Q4</f>
        <v>-1.08</v>
      </c>
      <c r="AF4" s="13">
        <f t="shared" ref="AF4:AF21" si="2">AF5-0.01</f>
        <v>0.80999999999999983</v>
      </c>
      <c r="AG4" s="10"/>
      <c r="AH4" s="10"/>
      <c r="AI4" s="10"/>
    </row>
    <row r="5" spans="1:136" s="3" customFormat="1" ht="23.1" customHeight="1" x14ac:dyDescent="0.15">
      <c r="A5" s="448" t="s">
        <v>45</v>
      </c>
      <c r="B5" s="448"/>
      <c r="C5" s="215" t="str">
        <f>입력표!I45</f>
        <v>개화지구</v>
      </c>
      <c r="D5" s="212"/>
      <c r="E5" s="212"/>
      <c r="F5" s="216"/>
      <c r="G5" s="212"/>
      <c r="H5" s="217" t="str">
        <f>입력표!J48</f>
        <v>공  번 : W - 1</v>
      </c>
      <c r="I5" s="218"/>
      <c r="P5" s="3">
        <v>2</v>
      </c>
      <c r="Q5" s="64"/>
      <c r="S5" s="3">
        <f t="shared" ref="S5:S23" si="3">$R$4</f>
        <v>324</v>
      </c>
      <c r="T5" s="3">
        <f>$T4</f>
        <v>5.8816255416085772</v>
      </c>
      <c r="U5" s="99">
        <f>$U4</f>
        <v>0.125</v>
      </c>
      <c r="V5" s="3">
        <f>$V4</f>
        <v>5.0000000000000001E-4</v>
      </c>
      <c r="W5" s="3">
        <f t="shared" si="0"/>
        <v>1.3888888888888889E-3</v>
      </c>
      <c r="X5" s="12">
        <f t="shared" ref="X5:X24" si="4">D13</f>
        <v>2</v>
      </c>
      <c r="Y5" s="10">
        <f t="shared" si="1"/>
        <v>33.993522047163232</v>
      </c>
      <c r="AA5" s="10">
        <f t="shared" ref="AA5:AA23" si="5">$Z$4</f>
        <v>29.951623879952706</v>
      </c>
      <c r="AB5" s="10">
        <f t="shared" ref="AB5:AB43" si="6">X5</f>
        <v>2</v>
      </c>
      <c r="AC5" s="10">
        <f t="shared" ref="AC5:AC43" si="7">Y5-AA5</f>
        <v>4.0418981672105261</v>
      </c>
      <c r="AD5" s="83">
        <f t="shared" ref="AD5:AD16" si="8">INT((AC5-AE5)*100)/100</f>
        <v>4.04</v>
      </c>
      <c r="AE5" s="6">
        <f t="shared" ref="AE5:AE16" si="9">Q5</f>
        <v>0</v>
      </c>
      <c r="AF5" s="13">
        <f t="shared" si="2"/>
        <v>0.81999999999999984</v>
      </c>
      <c r="AG5" s="10"/>
      <c r="AH5" s="10"/>
      <c r="AI5" s="10"/>
    </row>
    <row r="6" spans="1:136" s="3" customFormat="1" ht="23.1" customHeight="1" x14ac:dyDescent="0.15">
      <c r="A6" s="448" t="s">
        <v>46</v>
      </c>
      <c r="B6" s="448"/>
      <c r="C6" s="219" t="str">
        <f>입력표!I46</f>
        <v>충청남도 보령시 성주면 개화리 산 52-5</v>
      </c>
      <c r="D6" s="212"/>
      <c r="E6" s="212"/>
      <c r="F6" s="212"/>
      <c r="G6" s="212"/>
      <c r="H6" s="213"/>
      <c r="I6" s="214"/>
      <c r="P6" s="3">
        <v>3</v>
      </c>
      <c r="Q6" s="64"/>
      <c r="S6" s="3">
        <f t="shared" si="3"/>
        <v>324</v>
      </c>
      <c r="T6" s="3">
        <f t="shared" ref="T6:T51" si="10">$T5</f>
        <v>5.8816255416085772</v>
      </c>
      <c r="U6" s="99">
        <f t="shared" ref="U6:U51" si="11">$U5</f>
        <v>0.125</v>
      </c>
      <c r="V6" s="3">
        <f t="shared" ref="V6:V51" si="12">$V5</f>
        <v>5.0000000000000001E-4</v>
      </c>
      <c r="W6" s="3">
        <f t="shared" si="0"/>
        <v>2.0833333333333333E-3</v>
      </c>
      <c r="X6" s="12">
        <f t="shared" si="4"/>
        <v>3</v>
      </c>
      <c r="Y6" s="10">
        <f t="shared" si="1"/>
        <v>35.768951456519282</v>
      </c>
      <c r="AA6" s="10">
        <f t="shared" si="5"/>
        <v>29.951623879952706</v>
      </c>
      <c r="AB6" s="10">
        <f t="shared" si="6"/>
        <v>3</v>
      </c>
      <c r="AC6" s="10">
        <f t="shared" si="7"/>
        <v>5.8173275765665764</v>
      </c>
      <c r="AD6" s="83">
        <f t="shared" si="8"/>
        <v>5.81</v>
      </c>
      <c r="AE6" s="6">
        <f t="shared" si="9"/>
        <v>0</v>
      </c>
      <c r="AF6" s="13">
        <f t="shared" si="2"/>
        <v>0.82999999999999985</v>
      </c>
      <c r="AG6" s="10"/>
      <c r="AH6" s="10"/>
      <c r="AI6" s="10"/>
    </row>
    <row r="7" spans="1:136" s="3" customFormat="1" ht="23.1" customHeight="1" x14ac:dyDescent="0.15">
      <c r="A7" s="448" t="s">
        <v>165</v>
      </c>
      <c r="B7" s="448"/>
      <c r="C7" s="220" t="str">
        <f>입력표!I47</f>
        <v>산수개발㈜</v>
      </c>
      <c r="D7" s="221"/>
      <c r="E7" s="212"/>
      <c r="F7" s="222"/>
      <c r="G7" s="223" t="str">
        <f>입력표!I49</f>
        <v>개화지구</v>
      </c>
      <c r="H7" s="224"/>
      <c r="I7" s="225"/>
      <c r="P7" s="3">
        <v>4</v>
      </c>
      <c r="Q7" s="64"/>
      <c r="S7" s="3">
        <f t="shared" si="3"/>
        <v>324</v>
      </c>
      <c r="T7" s="3">
        <f t="shared" si="10"/>
        <v>5.8816255416085772</v>
      </c>
      <c r="U7" s="99">
        <f t="shared" si="11"/>
        <v>0.125</v>
      </c>
      <c r="V7" s="3">
        <f t="shared" si="12"/>
        <v>5.0000000000000001E-4</v>
      </c>
      <c r="W7" s="3">
        <f t="shared" si="0"/>
        <v>2.7777777777777779E-3</v>
      </c>
      <c r="X7" s="12">
        <f t="shared" si="4"/>
        <v>4</v>
      </c>
      <c r="Y7" s="10">
        <f t="shared" si="1"/>
        <v>37.02863866945485</v>
      </c>
      <c r="AA7" s="10">
        <f t="shared" si="5"/>
        <v>29.951623879952706</v>
      </c>
      <c r="AB7" s="10">
        <f t="shared" si="6"/>
        <v>4</v>
      </c>
      <c r="AC7" s="10">
        <f t="shared" si="7"/>
        <v>7.0770147895021438</v>
      </c>
      <c r="AD7" s="83">
        <f t="shared" si="8"/>
        <v>7.07</v>
      </c>
      <c r="AE7" s="6">
        <f t="shared" si="9"/>
        <v>0</v>
      </c>
      <c r="AF7" s="13">
        <f t="shared" si="2"/>
        <v>0.83999999999999986</v>
      </c>
      <c r="AG7" s="10"/>
      <c r="AH7" s="10"/>
      <c r="AI7" s="10"/>
    </row>
    <row r="8" spans="1:136" s="3" customFormat="1" ht="23.1" customHeight="1" x14ac:dyDescent="0.15">
      <c r="A8" s="226" t="s">
        <v>5</v>
      </c>
      <c r="B8" s="226"/>
      <c r="C8" s="449">
        <f>입력표!I48</f>
        <v>3</v>
      </c>
      <c r="D8" s="450"/>
      <c r="E8" s="451"/>
      <c r="F8" s="227" t="s">
        <v>6</v>
      </c>
      <c r="G8" s="223" t="str">
        <f>G7</f>
        <v>개화지구</v>
      </c>
      <c r="H8" s="224"/>
      <c r="I8" s="228"/>
      <c r="K8" s="409"/>
      <c r="P8" s="3">
        <v>5</v>
      </c>
      <c r="Q8" s="64"/>
      <c r="S8" s="3">
        <f t="shared" si="3"/>
        <v>324</v>
      </c>
      <c r="T8" s="3">
        <f t="shared" si="10"/>
        <v>5.8816255416085772</v>
      </c>
      <c r="U8" s="99">
        <f t="shared" si="11"/>
        <v>0.125</v>
      </c>
      <c r="V8" s="3">
        <f t="shared" si="12"/>
        <v>5.0000000000000001E-4</v>
      </c>
      <c r="W8" s="3">
        <f t="shared" si="0"/>
        <v>3.472222222222222E-3</v>
      </c>
      <c r="X8" s="12">
        <f t="shared" si="4"/>
        <v>5</v>
      </c>
      <c r="Y8" s="10">
        <f t="shared" si="1"/>
        <v>38.005727981430162</v>
      </c>
      <c r="AA8" s="10">
        <f t="shared" si="5"/>
        <v>29.951623879952706</v>
      </c>
      <c r="AB8" s="10">
        <f t="shared" si="6"/>
        <v>5</v>
      </c>
      <c r="AC8" s="10">
        <f t="shared" si="7"/>
        <v>8.0541041014774564</v>
      </c>
      <c r="AD8" s="83">
        <f t="shared" si="8"/>
        <v>8.0500000000000007</v>
      </c>
      <c r="AE8" s="6">
        <f t="shared" si="9"/>
        <v>0</v>
      </c>
      <c r="AF8" s="13">
        <f t="shared" si="2"/>
        <v>0.84999999999999987</v>
      </c>
      <c r="AG8" s="10"/>
      <c r="AH8" s="10"/>
      <c r="AI8" s="10"/>
    </row>
    <row r="9" spans="1:136" s="3" customFormat="1" ht="23.1" customHeight="1" x14ac:dyDescent="0.15">
      <c r="A9" s="226" t="s">
        <v>7</v>
      </c>
      <c r="B9" s="226"/>
      <c r="C9" s="229" t="s">
        <v>168</v>
      </c>
      <c r="D9" s="452">
        <f>입력표!M44</f>
        <v>250</v>
      </c>
      <c r="E9" s="452"/>
      <c r="F9" s="210" t="s">
        <v>8</v>
      </c>
      <c r="G9" s="454">
        <f>입력표!M45</f>
        <v>100</v>
      </c>
      <c r="H9" s="454"/>
      <c r="I9" s="210"/>
      <c r="P9" s="3">
        <v>10</v>
      </c>
      <c r="Q9" s="64"/>
      <c r="S9" s="3">
        <f t="shared" si="3"/>
        <v>324</v>
      </c>
      <c r="T9" s="3">
        <f t="shared" si="10"/>
        <v>5.8816255416085772</v>
      </c>
      <c r="U9" s="99">
        <f t="shared" si="11"/>
        <v>0.125</v>
      </c>
      <c r="V9" s="3">
        <f t="shared" si="12"/>
        <v>5.0000000000000001E-4</v>
      </c>
      <c r="W9" s="3">
        <f t="shared" si="0"/>
        <v>6.9444444444444441E-3</v>
      </c>
      <c r="X9" s="12">
        <f t="shared" si="4"/>
        <v>10</v>
      </c>
      <c r="Y9" s="10">
        <f t="shared" si="1"/>
        <v>41.04084460372178</v>
      </c>
      <c r="AA9" s="10">
        <f t="shared" si="5"/>
        <v>29.951623879952706</v>
      </c>
      <c r="AB9" s="10">
        <f t="shared" si="6"/>
        <v>10</v>
      </c>
      <c r="AC9" s="10">
        <f t="shared" si="7"/>
        <v>11.089220723769074</v>
      </c>
      <c r="AD9" s="83">
        <f t="shared" si="8"/>
        <v>11.08</v>
      </c>
      <c r="AE9" s="6">
        <f t="shared" si="9"/>
        <v>0</v>
      </c>
      <c r="AF9" s="13">
        <f t="shared" si="2"/>
        <v>0.85999999999999988</v>
      </c>
      <c r="AG9" s="10"/>
      <c r="AH9" s="10"/>
      <c r="AI9" s="10"/>
    </row>
    <row r="10" spans="1:136" s="3" customFormat="1" ht="23.1" customHeight="1" x14ac:dyDescent="0.15">
      <c r="A10" s="226" t="s">
        <v>4</v>
      </c>
      <c r="B10" s="226"/>
      <c r="C10" s="229" t="s">
        <v>169</v>
      </c>
      <c r="D10" s="445">
        <f>입력표!M48</f>
        <v>12</v>
      </c>
      <c r="E10" s="446"/>
      <c r="F10" s="230" t="s">
        <v>0</v>
      </c>
      <c r="G10" s="455" t="s">
        <v>0</v>
      </c>
      <c r="H10" s="455"/>
      <c r="I10" s="218"/>
      <c r="P10" s="3">
        <v>15</v>
      </c>
      <c r="Q10" s="64"/>
      <c r="S10" s="3">
        <f t="shared" si="3"/>
        <v>324</v>
      </c>
      <c r="T10" s="3">
        <f t="shared" si="10"/>
        <v>5.8816255416085772</v>
      </c>
      <c r="U10" s="99">
        <f t="shared" si="11"/>
        <v>0.125</v>
      </c>
      <c r="V10" s="3">
        <f t="shared" si="12"/>
        <v>5.0000000000000001E-4</v>
      </c>
      <c r="W10" s="3">
        <f t="shared" si="0"/>
        <v>1.0416666666666666E-2</v>
      </c>
      <c r="X10" s="12">
        <f t="shared" si="4"/>
        <v>15</v>
      </c>
      <c r="Y10" s="10">
        <f t="shared" si="1"/>
        <v>42.816274013077837</v>
      </c>
      <c r="AA10" s="10">
        <f t="shared" si="5"/>
        <v>29.951623879952706</v>
      </c>
      <c r="AB10" s="10">
        <f t="shared" si="6"/>
        <v>15</v>
      </c>
      <c r="AC10" s="10">
        <f t="shared" si="7"/>
        <v>12.864650133125132</v>
      </c>
      <c r="AD10" s="83">
        <f t="shared" si="8"/>
        <v>12.86</v>
      </c>
      <c r="AE10" s="6">
        <f t="shared" si="9"/>
        <v>0</v>
      </c>
      <c r="AF10" s="13">
        <f t="shared" si="2"/>
        <v>0.86999999999999988</v>
      </c>
      <c r="AG10" s="10"/>
      <c r="AH10" s="10"/>
      <c r="AI10" s="10"/>
    </row>
    <row r="11" spans="1:136" s="3" customFormat="1" ht="23.1" customHeight="1" x14ac:dyDescent="0.15">
      <c r="A11" s="210" t="s">
        <v>10</v>
      </c>
      <c r="B11" s="231" t="s">
        <v>170</v>
      </c>
      <c r="C11" s="229" t="s">
        <v>171</v>
      </c>
      <c r="D11" s="447" t="s">
        <v>172</v>
      </c>
      <c r="E11" s="447"/>
      <c r="F11" s="231" t="s">
        <v>173</v>
      </c>
      <c r="G11" s="456" t="s">
        <v>174</v>
      </c>
      <c r="H11" s="456"/>
      <c r="I11" s="210" t="s">
        <v>164</v>
      </c>
      <c r="J11" s="408">
        <f>G12-J13</f>
        <v>0.12000000000000011</v>
      </c>
      <c r="P11" s="3">
        <v>20</v>
      </c>
      <c r="Q11" s="64"/>
      <c r="S11" s="3">
        <f t="shared" si="3"/>
        <v>324</v>
      </c>
      <c r="T11" s="3">
        <f t="shared" si="10"/>
        <v>5.8816255416085772</v>
      </c>
      <c r="U11" s="99">
        <f t="shared" si="11"/>
        <v>0.125</v>
      </c>
      <c r="V11" s="3">
        <f t="shared" si="12"/>
        <v>5.0000000000000001E-4</v>
      </c>
      <c r="W11" s="3">
        <f t="shared" si="0"/>
        <v>1.3888888888888888E-2</v>
      </c>
      <c r="X11" s="12">
        <f t="shared" si="4"/>
        <v>20</v>
      </c>
      <c r="Y11" s="10">
        <f t="shared" si="1"/>
        <v>44.075961226013405</v>
      </c>
      <c r="AA11" s="10">
        <f t="shared" si="5"/>
        <v>29.951623879952706</v>
      </c>
      <c r="AB11" s="10">
        <f t="shared" si="6"/>
        <v>20</v>
      </c>
      <c r="AC11" s="10">
        <f t="shared" si="7"/>
        <v>14.124337346060699</v>
      </c>
      <c r="AD11" s="83">
        <f t="shared" si="8"/>
        <v>14.12</v>
      </c>
      <c r="AE11" s="6">
        <f t="shared" si="9"/>
        <v>0</v>
      </c>
      <c r="AF11" s="13">
        <f t="shared" si="2"/>
        <v>0.87999999999999989</v>
      </c>
      <c r="AG11" s="10"/>
      <c r="AH11" s="10"/>
      <c r="AI11" s="10"/>
    </row>
    <row r="12" spans="1:136" s="3" customFormat="1" ht="23.1" customHeight="1" x14ac:dyDescent="0.15">
      <c r="A12" s="205">
        <v>1</v>
      </c>
      <c r="B12" s="206">
        <f>입력표!D20</f>
        <v>324</v>
      </c>
      <c r="C12" s="207">
        <v>0.41736111111111113</v>
      </c>
      <c r="D12" s="453">
        <v>1</v>
      </c>
      <c r="E12" s="453"/>
      <c r="F12" s="208">
        <f>G12+$D$10</f>
        <v>14.08</v>
      </c>
      <c r="G12" s="457">
        <f>AD4</f>
        <v>2.08</v>
      </c>
      <c r="H12" s="457"/>
      <c r="I12" s="210" t="s">
        <v>12</v>
      </c>
      <c r="J12" s="8"/>
      <c r="P12" s="3">
        <v>25</v>
      </c>
      <c r="Q12" s="64"/>
      <c r="S12" s="3">
        <f t="shared" si="3"/>
        <v>324</v>
      </c>
      <c r="T12" s="3">
        <f t="shared" si="10"/>
        <v>5.8816255416085772</v>
      </c>
      <c r="U12" s="99">
        <f t="shared" si="11"/>
        <v>0.125</v>
      </c>
      <c r="V12" s="3">
        <f t="shared" si="12"/>
        <v>5.0000000000000001E-4</v>
      </c>
      <c r="W12" s="3">
        <f t="shared" si="0"/>
        <v>1.7361111111111112E-2</v>
      </c>
      <c r="X12" s="12">
        <f t="shared" si="4"/>
        <v>25</v>
      </c>
      <c r="Y12" s="10">
        <f t="shared" si="1"/>
        <v>45.053050537988717</v>
      </c>
      <c r="AA12" s="10">
        <f t="shared" si="5"/>
        <v>29.951623879952706</v>
      </c>
      <c r="AB12" s="10">
        <f t="shared" si="6"/>
        <v>25</v>
      </c>
      <c r="AC12" s="10">
        <f t="shared" si="7"/>
        <v>15.101426658036011</v>
      </c>
      <c r="AD12" s="83">
        <f t="shared" si="8"/>
        <v>15.1</v>
      </c>
      <c r="AE12" s="6">
        <f t="shared" si="9"/>
        <v>0</v>
      </c>
      <c r="AF12" s="13">
        <f t="shared" si="2"/>
        <v>0.8899999999999999</v>
      </c>
      <c r="AG12" s="10"/>
      <c r="AH12" s="10"/>
      <c r="AI12" s="10"/>
      <c r="EF12" s="3">
        <v>2.46</v>
      </c>
    </row>
    <row r="13" spans="1:136" s="3" customFormat="1" ht="23.1" customHeight="1" x14ac:dyDescent="0.15">
      <c r="A13" s="205"/>
      <c r="B13" s="205"/>
      <c r="C13" s="207"/>
      <c r="D13" s="453">
        <v>2</v>
      </c>
      <c r="E13" s="453"/>
      <c r="F13" s="208">
        <f t="shared" ref="F13:F28" si="13">G13+$D$10</f>
        <v>16.04</v>
      </c>
      <c r="G13" s="457">
        <f t="shared" ref="G13:G51" si="14">AD5</f>
        <v>4.04</v>
      </c>
      <c r="H13" s="457"/>
      <c r="I13" s="209"/>
      <c r="J13" s="8">
        <f>G13-G12</f>
        <v>1.96</v>
      </c>
      <c r="P13" s="3">
        <v>30</v>
      </c>
      <c r="Q13" s="64"/>
      <c r="S13" s="3">
        <f t="shared" si="3"/>
        <v>324</v>
      </c>
      <c r="T13" s="3">
        <f t="shared" si="10"/>
        <v>5.8816255416085772</v>
      </c>
      <c r="U13" s="99">
        <f t="shared" si="11"/>
        <v>0.125</v>
      </c>
      <c r="V13" s="3">
        <f t="shared" si="12"/>
        <v>5.0000000000000001E-4</v>
      </c>
      <c r="W13" s="3">
        <f t="shared" si="0"/>
        <v>2.0833333333333332E-2</v>
      </c>
      <c r="X13" s="12">
        <f t="shared" si="4"/>
        <v>30</v>
      </c>
      <c r="Y13" s="10">
        <f t="shared" si="1"/>
        <v>45.851390635369462</v>
      </c>
      <c r="AA13" s="10">
        <f t="shared" si="5"/>
        <v>29.951623879952706</v>
      </c>
      <c r="AB13" s="10">
        <f t="shared" si="6"/>
        <v>30</v>
      </c>
      <c r="AC13" s="10">
        <f t="shared" si="7"/>
        <v>15.899766755416756</v>
      </c>
      <c r="AD13" s="83">
        <f t="shared" si="8"/>
        <v>15.89</v>
      </c>
      <c r="AE13" s="6">
        <f t="shared" si="9"/>
        <v>0</v>
      </c>
      <c r="AF13" s="13">
        <f t="shared" si="2"/>
        <v>0.89999999999999991</v>
      </c>
      <c r="AG13" s="10"/>
      <c r="AH13" s="10"/>
      <c r="AI13" s="10"/>
      <c r="EF13" s="3">
        <v>3.77</v>
      </c>
    </row>
    <row r="14" spans="1:136" s="3" customFormat="1" ht="23.1" customHeight="1" x14ac:dyDescent="0.15">
      <c r="A14" s="205"/>
      <c r="B14" s="205"/>
      <c r="C14" s="207"/>
      <c r="D14" s="453">
        <v>3</v>
      </c>
      <c r="E14" s="453"/>
      <c r="F14" s="208">
        <f t="shared" si="13"/>
        <v>17.809999999999999</v>
      </c>
      <c r="G14" s="457">
        <f t="shared" si="14"/>
        <v>5.81</v>
      </c>
      <c r="H14" s="457"/>
      <c r="I14" s="209"/>
      <c r="J14" s="8">
        <f t="shared" ref="J14:J51" si="15">G14-G13</f>
        <v>1.7699999999999996</v>
      </c>
      <c r="Q14" s="64"/>
      <c r="S14" s="3">
        <f t="shared" si="3"/>
        <v>324</v>
      </c>
      <c r="T14" s="3">
        <f t="shared" si="10"/>
        <v>5.8816255416085772</v>
      </c>
      <c r="U14" s="99">
        <f t="shared" si="11"/>
        <v>0.125</v>
      </c>
      <c r="V14" s="3">
        <f t="shared" si="12"/>
        <v>5.0000000000000001E-4</v>
      </c>
      <c r="W14" s="3">
        <f t="shared" si="0"/>
        <v>2.4305555555555556E-2</v>
      </c>
      <c r="X14" s="12">
        <f t="shared" si="4"/>
        <v>35</v>
      </c>
      <c r="Y14" s="10">
        <f t="shared" si="1"/>
        <v>46.526377570039394</v>
      </c>
      <c r="AA14" s="10">
        <f t="shared" si="5"/>
        <v>29.951623879952706</v>
      </c>
      <c r="AB14" s="10">
        <f t="shared" si="6"/>
        <v>35</v>
      </c>
      <c r="AC14" s="10">
        <f t="shared" si="7"/>
        <v>16.574753690086688</v>
      </c>
      <c r="AD14" s="83">
        <f t="shared" si="8"/>
        <v>16.57</v>
      </c>
      <c r="AE14" s="6">
        <f t="shared" si="9"/>
        <v>0</v>
      </c>
      <c r="AF14" s="13">
        <f t="shared" si="2"/>
        <v>0.90999999999999992</v>
      </c>
      <c r="AG14" s="10"/>
      <c r="AH14" s="10"/>
      <c r="AI14" s="10"/>
      <c r="EF14" s="3">
        <v>4.87</v>
      </c>
    </row>
    <row r="15" spans="1:136" s="3" customFormat="1" ht="23.1" customHeight="1" x14ac:dyDescent="0.15">
      <c r="A15" s="205"/>
      <c r="B15" s="205"/>
      <c r="C15" s="207"/>
      <c r="D15" s="453">
        <v>4</v>
      </c>
      <c r="E15" s="453"/>
      <c r="F15" s="208">
        <f t="shared" si="13"/>
        <v>19.07</v>
      </c>
      <c r="G15" s="457">
        <f t="shared" si="14"/>
        <v>7.07</v>
      </c>
      <c r="H15" s="457"/>
      <c r="I15" s="209"/>
      <c r="J15" s="8">
        <f t="shared" si="15"/>
        <v>1.2600000000000007</v>
      </c>
      <c r="Q15" s="64"/>
      <c r="S15" s="3">
        <f t="shared" si="3"/>
        <v>324</v>
      </c>
      <c r="T15" s="3">
        <f t="shared" si="10"/>
        <v>5.8816255416085772</v>
      </c>
      <c r="U15" s="99">
        <f t="shared" si="11"/>
        <v>0.125</v>
      </c>
      <c r="V15" s="3">
        <f t="shared" si="12"/>
        <v>5.0000000000000001E-4</v>
      </c>
      <c r="W15" s="3">
        <f t="shared" si="0"/>
        <v>2.7777777777777776E-2</v>
      </c>
      <c r="X15" s="12">
        <f t="shared" si="4"/>
        <v>40</v>
      </c>
      <c r="Y15" s="10">
        <f t="shared" si="1"/>
        <v>47.111077848305023</v>
      </c>
      <c r="AA15" s="10">
        <f t="shared" si="5"/>
        <v>29.951623879952706</v>
      </c>
      <c r="AB15" s="10">
        <f t="shared" si="6"/>
        <v>40</v>
      </c>
      <c r="AC15" s="10">
        <f t="shared" si="7"/>
        <v>17.159453968352317</v>
      </c>
      <c r="AD15" s="83">
        <f t="shared" si="8"/>
        <v>17.149999999999999</v>
      </c>
      <c r="AE15" s="6">
        <f t="shared" si="9"/>
        <v>0</v>
      </c>
      <c r="AF15" s="13">
        <f t="shared" si="2"/>
        <v>0.91999999999999993</v>
      </c>
      <c r="AG15" s="10"/>
      <c r="AH15" s="10"/>
      <c r="AI15" s="10"/>
      <c r="EF15" s="3">
        <v>5.79</v>
      </c>
    </row>
    <row r="16" spans="1:136" s="3" customFormat="1" ht="23.1" customHeight="1" x14ac:dyDescent="0.15">
      <c r="A16" s="205"/>
      <c r="B16" s="205"/>
      <c r="C16" s="207"/>
      <c r="D16" s="453">
        <v>5</v>
      </c>
      <c r="E16" s="453"/>
      <c r="F16" s="208">
        <f t="shared" si="13"/>
        <v>20.05</v>
      </c>
      <c r="G16" s="457">
        <f t="shared" si="14"/>
        <v>8.0500000000000007</v>
      </c>
      <c r="H16" s="457"/>
      <c r="I16" s="209"/>
      <c r="J16" s="8">
        <f t="shared" si="15"/>
        <v>0.98000000000000043</v>
      </c>
      <c r="L16" s="11" t="s">
        <v>94</v>
      </c>
      <c r="M16" s="11" t="s">
        <v>95</v>
      </c>
      <c r="S16" s="3">
        <f t="shared" si="3"/>
        <v>324</v>
      </c>
      <c r="T16" s="3">
        <f t="shared" si="10"/>
        <v>5.8816255416085772</v>
      </c>
      <c r="U16" s="99">
        <f t="shared" si="11"/>
        <v>0.125</v>
      </c>
      <c r="V16" s="3">
        <f t="shared" si="12"/>
        <v>5.0000000000000001E-4</v>
      </c>
      <c r="W16" s="3">
        <f t="shared" si="0"/>
        <v>3.125E-2</v>
      </c>
      <c r="X16" s="12">
        <f t="shared" si="4"/>
        <v>45</v>
      </c>
      <c r="Y16" s="10">
        <f t="shared" si="1"/>
        <v>47.62682004472552</v>
      </c>
      <c r="AA16" s="10">
        <f t="shared" si="5"/>
        <v>29.951623879952706</v>
      </c>
      <c r="AB16" s="10">
        <f t="shared" si="6"/>
        <v>45</v>
      </c>
      <c r="AC16" s="10">
        <f t="shared" si="7"/>
        <v>17.675196164772814</v>
      </c>
      <c r="AD16" s="83">
        <f t="shared" si="8"/>
        <v>17.670000000000002</v>
      </c>
      <c r="AE16" s="6">
        <f t="shared" si="9"/>
        <v>0</v>
      </c>
      <c r="AF16" s="13">
        <f t="shared" si="2"/>
        <v>0.92999999999999994</v>
      </c>
      <c r="AG16" s="10"/>
      <c r="AH16" s="10"/>
      <c r="AI16" s="10"/>
      <c r="EF16" s="3">
        <v>6.75</v>
      </c>
    </row>
    <row r="17" spans="1:136" s="3" customFormat="1" ht="23.1" customHeight="1" x14ac:dyDescent="0.15">
      <c r="A17" s="205"/>
      <c r="B17" s="205"/>
      <c r="C17" s="207"/>
      <c r="D17" s="453">
        <v>10</v>
      </c>
      <c r="E17" s="453"/>
      <c r="F17" s="208">
        <f t="shared" si="13"/>
        <v>23.08</v>
      </c>
      <c r="G17" s="457">
        <f t="shared" si="14"/>
        <v>11.08</v>
      </c>
      <c r="H17" s="457"/>
      <c r="I17" s="209"/>
      <c r="J17" s="8">
        <f t="shared" si="15"/>
        <v>3.0299999999999994</v>
      </c>
      <c r="K17" s="29">
        <f>D12</f>
        <v>1</v>
      </c>
      <c r="L17" s="3">
        <f>INT(B12/1440*10000)/10000</f>
        <v>0.22500000000000001</v>
      </c>
      <c r="M17" s="3">
        <f>K17*L17</f>
        <v>0.22500000000000001</v>
      </c>
      <c r="N17" s="3">
        <f>INT((8*2.54/2/100)^2*3.14159*100000)/100000</f>
        <v>3.2419999999999997E-2</v>
      </c>
      <c r="O17" s="3">
        <f>INT(M17/N17*100)/100</f>
        <v>6.94</v>
      </c>
      <c r="P17" s="13">
        <f>INT((G12-O17)*100)/100</f>
        <v>-4.8600000000000003</v>
      </c>
      <c r="S17" s="3">
        <f t="shared" si="3"/>
        <v>324</v>
      </c>
      <c r="T17" s="3">
        <f t="shared" si="10"/>
        <v>5.8816255416085772</v>
      </c>
      <c r="U17" s="99">
        <f t="shared" si="11"/>
        <v>0.125</v>
      </c>
      <c r="V17" s="3">
        <f t="shared" si="12"/>
        <v>5.0000000000000001E-4</v>
      </c>
      <c r="W17" s="3">
        <f t="shared" si="0"/>
        <v>3.4722222222222224E-2</v>
      </c>
      <c r="X17" s="12">
        <f t="shared" si="4"/>
        <v>50</v>
      </c>
      <c r="Y17" s="10">
        <f t="shared" si="1"/>
        <v>48.088167160280328</v>
      </c>
      <c r="AA17" s="10">
        <f t="shared" si="5"/>
        <v>29.951623879952706</v>
      </c>
      <c r="AB17" s="10">
        <f t="shared" si="6"/>
        <v>50</v>
      </c>
      <c r="AC17" s="10">
        <f t="shared" si="7"/>
        <v>18.136543280327622</v>
      </c>
      <c r="AD17" s="83">
        <f t="shared" ref="AD17:AD22" si="16">INT(AC17*100)/100</f>
        <v>18.13</v>
      </c>
      <c r="AF17" s="13">
        <f t="shared" si="2"/>
        <v>0.94</v>
      </c>
      <c r="AG17" s="10"/>
      <c r="AH17" s="10"/>
      <c r="AI17" s="10"/>
      <c r="EF17" s="3">
        <v>7.73</v>
      </c>
    </row>
    <row r="18" spans="1:136" s="3" customFormat="1" ht="23.1" customHeight="1" x14ac:dyDescent="0.15">
      <c r="A18" s="205"/>
      <c r="B18" s="205"/>
      <c r="C18" s="207"/>
      <c r="D18" s="453">
        <v>15</v>
      </c>
      <c r="E18" s="453"/>
      <c r="F18" s="208">
        <f t="shared" si="13"/>
        <v>24.86</v>
      </c>
      <c r="G18" s="457">
        <f t="shared" si="14"/>
        <v>12.86</v>
      </c>
      <c r="H18" s="457"/>
      <c r="I18" s="209"/>
      <c r="J18" s="8">
        <f t="shared" si="15"/>
        <v>1.7799999999999994</v>
      </c>
      <c r="K18" s="29">
        <f>D13</f>
        <v>2</v>
      </c>
      <c r="L18" s="3">
        <f>L17</f>
        <v>0.22500000000000001</v>
      </c>
      <c r="M18" s="3">
        <f t="shared" ref="M18:M32" si="17">K18*L18</f>
        <v>0.45</v>
      </c>
      <c r="N18" s="3">
        <f>N17</f>
        <v>3.2419999999999997E-2</v>
      </c>
      <c r="O18" s="3">
        <f>INT(M18/N18*100)/100</f>
        <v>13.88</v>
      </c>
      <c r="P18" s="13">
        <f>INT((G13-O18)*100*0.98)/100</f>
        <v>-9.65</v>
      </c>
      <c r="S18" s="3">
        <f t="shared" si="3"/>
        <v>324</v>
      </c>
      <c r="T18" s="3">
        <f t="shared" si="10"/>
        <v>5.8816255416085772</v>
      </c>
      <c r="U18" s="99">
        <f t="shared" si="11"/>
        <v>0.125</v>
      </c>
      <c r="V18" s="3">
        <f t="shared" si="12"/>
        <v>5.0000000000000001E-4</v>
      </c>
      <c r="W18" s="3">
        <f t="shared" si="0"/>
        <v>3.8194444444444448E-2</v>
      </c>
      <c r="X18" s="12">
        <f t="shared" si="4"/>
        <v>55</v>
      </c>
      <c r="Y18" s="10">
        <f t="shared" si="1"/>
        <v>48.505506390837432</v>
      </c>
      <c r="AA18" s="10">
        <f t="shared" si="5"/>
        <v>29.951623879952706</v>
      </c>
      <c r="AB18" s="10">
        <f t="shared" si="6"/>
        <v>55</v>
      </c>
      <c r="AC18" s="10">
        <f t="shared" si="7"/>
        <v>18.553882510884726</v>
      </c>
      <c r="AD18" s="83">
        <f t="shared" si="16"/>
        <v>18.55</v>
      </c>
      <c r="AF18" s="13">
        <f t="shared" si="2"/>
        <v>0.95</v>
      </c>
      <c r="AG18" s="10"/>
      <c r="AH18" s="10"/>
      <c r="AI18" s="10"/>
      <c r="EF18" s="3">
        <v>8.74</v>
      </c>
    </row>
    <row r="19" spans="1:136" s="3" customFormat="1" ht="23.1" customHeight="1" x14ac:dyDescent="0.15">
      <c r="A19" s="205"/>
      <c r="B19" s="205"/>
      <c r="C19" s="207"/>
      <c r="D19" s="453">
        <v>20</v>
      </c>
      <c r="E19" s="453"/>
      <c r="F19" s="208">
        <f t="shared" si="13"/>
        <v>26.119999999999997</v>
      </c>
      <c r="G19" s="457">
        <f t="shared" si="14"/>
        <v>14.12</v>
      </c>
      <c r="H19" s="457"/>
      <c r="I19" s="209"/>
      <c r="J19" s="8">
        <f t="shared" si="15"/>
        <v>1.2599999999999998</v>
      </c>
      <c r="K19" s="29">
        <f t="shared" ref="K19:K32" si="18">D14</f>
        <v>3</v>
      </c>
      <c r="L19" s="3">
        <f>L18</f>
        <v>0.22500000000000001</v>
      </c>
      <c r="M19" s="3">
        <f t="shared" si="17"/>
        <v>0.67500000000000004</v>
      </c>
      <c r="N19" s="3">
        <f t="shared" ref="N19:N32" si="19">N18</f>
        <v>3.2419999999999997E-2</v>
      </c>
      <c r="O19" s="3">
        <f>INT(M19/N19*100)/100</f>
        <v>20.82</v>
      </c>
      <c r="P19" s="13">
        <f>INT((G14-O19)*100*0.95)/100</f>
        <v>-14.26</v>
      </c>
      <c r="S19" s="3">
        <f t="shared" si="3"/>
        <v>324</v>
      </c>
      <c r="T19" s="3">
        <f t="shared" si="10"/>
        <v>5.8816255416085772</v>
      </c>
      <c r="U19" s="99">
        <f t="shared" si="11"/>
        <v>0.125</v>
      </c>
      <c r="V19" s="3">
        <f t="shared" si="12"/>
        <v>5.0000000000000001E-4</v>
      </c>
      <c r="W19" s="3">
        <f t="shared" si="0"/>
        <v>4.1666666666666664E-2</v>
      </c>
      <c r="X19" s="12">
        <f t="shared" si="4"/>
        <v>60</v>
      </c>
      <c r="Y19" s="10">
        <f t="shared" si="1"/>
        <v>48.88650725766108</v>
      </c>
      <c r="AA19" s="10">
        <f t="shared" si="5"/>
        <v>29.951623879952706</v>
      </c>
      <c r="AB19" s="10">
        <f t="shared" si="6"/>
        <v>60</v>
      </c>
      <c r="AC19" s="10">
        <f t="shared" si="7"/>
        <v>18.934883377708374</v>
      </c>
      <c r="AD19" s="83">
        <f t="shared" si="16"/>
        <v>18.93</v>
      </c>
      <c r="AF19" s="13">
        <f t="shared" si="2"/>
        <v>0.96</v>
      </c>
      <c r="AG19" s="10"/>
      <c r="AH19" s="10"/>
      <c r="AI19" s="10"/>
      <c r="EF19" s="3">
        <v>9.7799999999999994</v>
      </c>
    </row>
    <row r="20" spans="1:136" s="3" customFormat="1" ht="23.1" customHeight="1" x14ac:dyDescent="0.15">
      <c r="A20" s="205"/>
      <c r="B20" s="205"/>
      <c r="C20" s="207"/>
      <c r="D20" s="453">
        <v>25</v>
      </c>
      <c r="E20" s="453"/>
      <c r="F20" s="208">
        <f t="shared" si="13"/>
        <v>27.1</v>
      </c>
      <c r="G20" s="457">
        <f t="shared" si="14"/>
        <v>15.1</v>
      </c>
      <c r="H20" s="457"/>
      <c r="I20" s="209"/>
      <c r="J20" s="8">
        <f t="shared" si="15"/>
        <v>0.98000000000000043</v>
      </c>
      <c r="K20" s="29">
        <f t="shared" si="18"/>
        <v>4</v>
      </c>
      <c r="L20" s="3">
        <f>L19</f>
        <v>0.22500000000000001</v>
      </c>
      <c r="M20" s="3">
        <f t="shared" si="17"/>
        <v>0.9</v>
      </c>
      <c r="N20" s="3">
        <f t="shared" si="19"/>
        <v>3.2419999999999997E-2</v>
      </c>
      <c r="O20" s="3">
        <f>INT(M20/N20*100)/100</f>
        <v>27.76</v>
      </c>
      <c r="P20" s="13">
        <f>INT((G15-O20)*100*0.91)/100</f>
        <v>-18.829999999999998</v>
      </c>
      <c r="S20" s="3">
        <f t="shared" si="3"/>
        <v>324</v>
      </c>
      <c r="T20" s="3">
        <f t="shared" si="10"/>
        <v>5.8816255416085772</v>
      </c>
      <c r="U20" s="99">
        <f t="shared" si="11"/>
        <v>0.125</v>
      </c>
      <c r="V20" s="3">
        <f t="shared" si="12"/>
        <v>5.0000000000000001E-4</v>
      </c>
      <c r="W20" s="3">
        <f t="shared" si="0"/>
        <v>5.2083333333333336E-2</v>
      </c>
      <c r="X20" s="12">
        <f t="shared" si="4"/>
        <v>75</v>
      </c>
      <c r="Y20" s="10">
        <f t="shared" si="1"/>
        <v>49.863596569636385</v>
      </c>
      <c r="AA20" s="10">
        <f t="shared" si="5"/>
        <v>29.951623879952706</v>
      </c>
      <c r="AB20" s="10">
        <f t="shared" si="6"/>
        <v>75</v>
      </c>
      <c r="AC20" s="10">
        <f t="shared" si="7"/>
        <v>19.91197268968368</v>
      </c>
      <c r="AD20" s="83">
        <f t="shared" si="16"/>
        <v>19.91</v>
      </c>
      <c r="AF20" s="13">
        <f t="shared" si="2"/>
        <v>0.97</v>
      </c>
      <c r="AG20" s="10"/>
      <c r="AH20" s="10"/>
      <c r="AI20" s="10"/>
      <c r="EF20" s="3">
        <v>10</v>
      </c>
    </row>
    <row r="21" spans="1:136" s="3" customFormat="1" ht="23.1" customHeight="1" x14ac:dyDescent="0.15">
      <c r="A21" s="205"/>
      <c r="B21" s="205"/>
      <c r="C21" s="207"/>
      <c r="D21" s="453">
        <v>30</v>
      </c>
      <c r="E21" s="453"/>
      <c r="F21" s="208">
        <f t="shared" si="13"/>
        <v>27.89</v>
      </c>
      <c r="G21" s="457">
        <f t="shared" si="14"/>
        <v>15.89</v>
      </c>
      <c r="H21" s="457"/>
      <c r="I21" s="209"/>
      <c r="J21" s="8">
        <f t="shared" si="15"/>
        <v>0.79000000000000092</v>
      </c>
      <c r="K21" s="29">
        <f t="shared" si="18"/>
        <v>5</v>
      </c>
      <c r="L21" s="29">
        <f>L20</f>
        <v>0.22500000000000001</v>
      </c>
      <c r="M21" s="3">
        <f t="shared" si="17"/>
        <v>1.125</v>
      </c>
      <c r="N21" s="3">
        <f t="shared" si="19"/>
        <v>3.2419999999999997E-2</v>
      </c>
      <c r="O21" s="29">
        <f>INT(M21/N21*100)/100</f>
        <v>34.700000000000003</v>
      </c>
      <c r="P21" s="13">
        <f>INT((G16-O21)*100*0.86)/100</f>
        <v>-22.92</v>
      </c>
      <c r="S21" s="3">
        <f t="shared" si="3"/>
        <v>324</v>
      </c>
      <c r="T21" s="3">
        <f t="shared" si="10"/>
        <v>5.8816255416085772</v>
      </c>
      <c r="U21" s="99">
        <f t="shared" si="11"/>
        <v>0.125</v>
      </c>
      <c r="V21" s="3">
        <f t="shared" si="12"/>
        <v>5.0000000000000001E-4</v>
      </c>
      <c r="W21" s="3">
        <f t="shared" si="0"/>
        <v>6.25E-2</v>
      </c>
      <c r="X21" s="12">
        <f t="shared" si="4"/>
        <v>90</v>
      </c>
      <c r="Y21" s="10">
        <f t="shared" si="1"/>
        <v>50.661936667017137</v>
      </c>
      <c r="AA21" s="10">
        <f t="shared" si="5"/>
        <v>29.951623879952706</v>
      </c>
      <c r="AB21" s="10">
        <f t="shared" si="6"/>
        <v>90</v>
      </c>
      <c r="AC21" s="10">
        <f t="shared" si="7"/>
        <v>20.710312787064431</v>
      </c>
      <c r="AD21" s="83">
        <f t="shared" si="16"/>
        <v>20.71</v>
      </c>
      <c r="AF21" s="13">
        <f t="shared" si="2"/>
        <v>0.98</v>
      </c>
      <c r="AG21" s="10"/>
      <c r="AH21" s="10"/>
      <c r="AI21" s="10"/>
      <c r="EF21" s="3">
        <v>10.16</v>
      </c>
    </row>
    <row r="22" spans="1:136" s="3" customFormat="1" ht="23.1" customHeight="1" x14ac:dyDescent="0.15">
      <c r="A22" s="205"/>
      <c r="B22" s="205"/>
      <c r="C22" s="207"/>
      <c r="D22" s="453">
        <v>35</v>
      </c>
      <c r="E22" s="453"/>
      <c r="F22" s="208">
        <f t="shared" si="13"/>
        <v>28.57</v>
      </c>
      <c r="G22" s="457">
        <f t="shared" si="14"/>
        <v>16.57</v>
      </c>
      <c r="H22" s="457"/>
      <c r="I22" s="210"/>
      <c r="J22" s="8">
        <f t="shared" si="15"/>
        <v>0.67999999999999972</v>
      </c>
      <c r="K22" s="29">
        <f t="shared" si="18"/>
        <v>10</v>
      </c>
      <c r="L22" s="29">
        <f t="shared" ref="L22:L32" si="20">L21</f>
        <v>0.22500000000000001</v>
      </c>
      <c r="M22" s="3">
        <f t="shared" si="17"/>
        <v>2.25</v>
      </c>
      <c r="N22" s="3">
        <f t="shared" si="19"/>
        <v>3.2419999999999997E-2</v>
      </c>
      <c r="O22" s="29">
        <f t="shared" ref="O22:O30" si="21">INT(M22/N22*100)/100</f>
        <v>69.400000000000006</v>
      </c>
      <c r="P22" s="13">
        <f>INT((G17-O22)*100*0.8)/100</f>
        <v>-46.66</v>
      </c>
      <c r="S22" s="3">
        <f t="shared" si="3"/>
        <v>324</v>
      </c>
      <c r="T22" s="3">
        <f t="shared" si="10"/>
        <v>5.8816255416085772</v>
      </c>
      <c r="U22" s="99">
        <f t="shared" si="11"/>
        <v>0.125</v>
      </c>
      <c r="V22" s="3">
        <f t="shared" si="12"/>
        <v>5.0000000000000001E-4</v>
      </c>
      <c r="W22" s="3">
        <f t="shared" si="0"/>
        <v>7.2916666666666671E-2</v>
      </c>
      <c r="X22" s="12">
        <f t="shared" si="4"/>
        <v>105</v>
      </c>
      <c r="Y22" s="10">
        <f t="shared" si="1"/>
        <v>51.336923601687076</v>
      </c>
      <c r="Z22" s="10">
        <f>Y23-Z23</f>
        <v>29.951623879952706</v>
      </c>
      <c r="AA22" s="10">
        <f t="shared" si="5"/>
        <v>29.951623879952706</v>
      </c>
      <c r="AB22" s="10">
        <f t="shared" si="6"/>
        <v>105</v>
      </c>
      <c r="AC22" s="10">
        <f t="shared" si="7"/>
        <v>21.38529972173437</v>
      </c>
      <c r="AD22" s="83">
        <f t="shared" si="16"/>
        <v>21.38</v>
      </c>
      <c r="AF22" s="13">
        <f>AF23-0.01</f>
        <v>0.99</v>
      </c>
      <c r="AG22" s="10"/>
      <c r="AH22" s="10"/>
      <c r="AI22" s="10"/>
      <c r="EF22" s="3">
        <v>10.02</v>
      </c>
    </row>
    <row r="23" spans="1:136" s="3" customFormat="1" ht="23.1" customHeight="1" x14ac:dyDescent="0.15">
      <c r="A23" s="205"/>
      <c r="B23" s="205"/>
      <c r="C23" s="207"/>
      <c r="D23" s="453">
        <v>40</v>
      </c>
      <c r="E23" s="453"/>
      <c r="F23" s="208">
        <f t="shared" si="13"/>
        <v>29.15</v>
      </c>
      <c r="G23" s="457">
        <f t="shared" si="14"/>
        <v>17.149999999999999</v>
      </c>
      <c r="H23" s="457"/>
      <c r="I23" s="210"/>
      <c r="J23" s="8">
        <f t="shared" si="15"/>
        <v>0.57999999999999829</v>
      </c>
      <c r="K23" s="29">
        <f t="shared" si="18"/>
        <v>15</v>
      </c>
      <c r="L23" s="29">
        <f t="shared" si="20"/>
        <v>0.22500000000000001</v>
      </c>
      <c r="M23" s="3">
        <f t="shared" si="17"/>
        <v>3.375</v>
      </c>
      <c r="N23" s="3">
        <f t="shared" si="19"/>
        <v>3.2419999999999997E-2</v>
      </c>
      <c r="O23" s="29">
        <f t="shared" si="21"/>
        <v>104.1</v>
      </c>
      <c r="P23" s="13">
        <f t="shared" ref="P23:P32" si="22">INT((G18-O23)*100)/100</f>
        <v>-91.24</v>
      </c>
      <c r="S23" s="3">
        <f t="shared" si="3"/>
        <v>324</v>
      </c>
      <c r="T23" s="3">
        <f t="shared" si="10"/>
        <v>5.8816255416085772</v>
      </c>
      <c r="U23" s="99">
        <f t="shared" si="11"/>
        <v>0.125</v>
      </c>
      <c r="V23" s="3">
        <f t="shared" si="12"/>
        <v>5.0000000000000001E-4</v>
      </c>
      <c r="W23" s="3">
        <f t="shared" si="0"/>
        <v>8.3333333333333329E-2</v>
      </c>
      <c r="X23" s="12">
        <f t="shared" si="4"/>
        <v>120</v>
      </c>
      <c r="Y23" s="10">
        <f t="shared" si="1"/>
        <v>51.921623879952705</v>
      </c>
      <c r="Z23" s="10">
        <f>입력표!B20</f>
        <v>21.97</v>
      </c>
      <c r="AA23" s="10">
        <f t="shared" si="5"/>
        <v>29.951623879952706</v>
      </c>
      <c r="AB23" s="10">
        <f t="shared" si="6"/>
        <v>120</v>
      </c>
      <c r="AC23" s="10">
        <f t="shared" si="7"/>
        <v>21.97</v>
      </c>
      <c r="AD23" s="83">
        <f>INT((AC$3+AE23)*100)/100</f>
        <v>21.97</v>
      </c>
      <c r="AE23" s="10">
        <f>AG$23*AF23</f>
        <v>21.97</v>
      </c>
      <c r="AF23" s="10">
        <v>1</v>
      </c>
      <c r="AG23" s="10">
        <f>AC23-AC3</f>
        <v>21.97</v>
      </c>
      <c r="AH23" s="10"/>
      <c r="AI23" s="10"/>
      <c r="EF23" s="3">
        <v>10.02</v>
      </c>
    </row>
    <row r="24" spans="1:136" s="3" customFormat="1" ht="23.1" customHeight="1" x14ac:dyDescent="0.15">
      <c r="A24" s="205"/>
      <c r="B24" s="205"/>
      <c r="C24" s="207"/>
      <c r="D24" s="453">
        <v>45</v>
      </c>
      <c r="E24" s="453"/>
      <c r="F24" s="208">
        <f t="shared" si="13"/>
        <v>29.67</v>
      </c>
      <c r="G24" s="457">
        <f t="shared" si="14"/>
        <v>17.670000000000002</v>
      </c>
      <c r="H24" s="457"/>
      <c r="I24" s="210"/>
      <c r="J24" s="8">
        <f t="shared" si="15"/>
        <v>0.52000000000000313</v>
      </c>
      <c r="K24" s="29">
        <f t="shared" si="18"/>
        <v>20</v>
      </c>
      <c r="L24" s="29">
        <f t="shared" si="20"/>
        <v>0.22500000000000001</v>
      </c>
      <c r="M24" s="3">
        <f t="shared" si="17"/>
        <v>4.5</v>
      </c>
      <c r="N24" s="3">
        <f t="shared" si="19"/>
        <v>3.2419999999999997E-2</v>
      </c>
      <c r="O24" s="29">
        <f t="shared" si="21"/>
        <v>138.80000000000001</v>
      </c>
      <c r="P24" s="13">
        <f t="shared" si="22"/>
        <v>-124.68</v>
      </c>
      <c r="R24" s="14">
        <f>B32</f>
        <v>413</v>
      </c>
      <c r="S24" s="3">
        <f>$R$24</f>
        <v>413</v>
      </c>
      <c r="T24" s="3">
        <f t="shared" si="10"/>
        <v>5.8816255416085772</v>
      </c>
      <c r="U24" s="99">
        <f t="shared" si="11"/>
        <v>0.125</v>
      </c>
      <c r="V24" s="3">
        <f t="shared" si="12"/>
        <v>5.0000000000000001E-4</v>
      </c>
      <c r="W24" s="3">
        <f t="shared" si="0"/>
        <v>9.0277777777777776E-2</v>
      </c>
      <c r="X24" s="12">
        <f t="shared" si="4"/>
        <v>130</v>
      </c>
      <c r="Y24" s="10">
        <f t="shared" si="1"/>
        <v>66.630807777600296</v>
      </c>
      <c r="Z24" s="10">
        <f>Z27</f>
        <v>40.752882183416389</v>
      </c>
      <c r="AA24" s="10">
        <f>$Z$24</f>
        <v>40.752882183416389</v>
      </c>
      <c r="AB24" s="10">
        <f t="shared" si="6"/>
        <v>130</v>
      </c>
      <c r="AC24" s="10">
        <f t="shared" si="7"/>
        <v>25.877925594183907</v>
      </c>
      <c r="AD24" s="83">
        <f>INT((AC$23+AE24)*100)/100</f>
        <v>26.36</v>
      </c>
      <c r="AE24" s="10">
        <f>AF24*AG$28</f>
        <v>4.3979999999999988</v>
      </c>
      <c r="AF24" s="10">
        <v>0.6</v>
      </c>
      <c r="AG24" s="10"/>
      <c r="AH24" s="10"/>
      <c r="EF24" s="3">
        <v>10.02</v>
      </c>
    </row>
    <row r="25" spans="1:136" s="3" customFormat="1" ht="23.1" customHeight="1" x14ac:dyDescent="0.15">
      <c r="A25" s="205"/>
      <c r="B25" s="205"/>
      <c r="C25" s="207"/>
      <c r="D25" s="453">
        <v>50</v>
      </c>
      <c r="E25" s="453"/>
      <c r="F25" s="208">
        <f t="shared" si="13"/>
        <v>30.13</v>
      </c>
      <c r="G25" s="457">
        <f t="shared" si="14"/>
        <v>18.13</v>
      </c>
      <c r="H25" s="457"/>
      <c r="I25" s="210"/>
      <c r="J25" s="8">
        <f t="shared" si="15"/>
        <v>0.4599999999999973</v>
      </c>
      <c r="K25" s="29">
        <f t="shared" si="18"/>
        <v>25</v>
      </c>
      <c r="L25" s="29">
        <f t="shared" si="20"/>
        <v>0.22500000000000001</v>
      </c>
      <c r="M25" s="3">
        <f t="shared" si="17"/>
        <v>5.625</v>
      </c>
      <c r="N25" s="3">
        <f t="shared" si="19"/>
        <v>3.2419999999999997E-2</v>
      </c>
      <c r="O25" s="29">
        <f t="shared" si="21"/>
        <v>173.5</v>
      </c>
      <c r="P25" s="13">
        <f t="shared" si="22"/>
        <v>-158.4</v>
      </c>
      <c r="S25" s="3">
        <f>$R$24</f>
        <v>413</v>
      </c>
      <c r="T25" s="3">
        <f t="shared" si="10"/>
        <v>5.8816255416085772</v>
      </c>
      <c r="U25" s="99">
        <f t="shared" si="11"/>
        <v>0.125</v>
      </c>
      <c r="V25" s="3">
        <f t="shared" si="12"/>
        <v>5.0000000000000001E-4</v>
      </c>
      <c r="W25" s="3">
        <f t="shared" si="0"/>
        <v>9.7222222222222224E-2</v>
      </c>
      <c r="X25" s="12">
        <f t="shared" ref="X25:X43" si="23">D33</f>
        <v>140</v>
      </c>
      <c r="Y25" s="10">
        <f t="shared" si="1"/>
        <v>67.044445266787505</v>
      </c>
      <c r="AA25" s="10">
        <f>$Z$24</f>
        <v>40.752882183416389</v>
      </c>
      <c r="AB25" s="10">
        <f t="shared" si="6"/>
        <v>140</v>
      </c>
      <c r="AC25" s="10">
        <f t="shared" si="7"/>
        <v>26.291563083371116</v>
      </c>
      <c r="AD25" s="83">
        <f>INT((AC$23+AE25)*100)/100</f>
        <v>27.1</v>
      </c>
      <c r="AE25" s="10">
        <f>AF25*AG$28</f>
        <v>5.1309999999999985</v>
      </c>
      <c r="AF25" s="10">
        <v>0.7</v>
      </c>
      <c r="AG25" s="10"/>
      <c r="AH25" s="10"/>
      <c r="EF25" s="3">
        <v>10.02</v>
      </c>
    </row>
    <row r="26" spans="1:136" s="3" customFormat="1" ht="23.1" customHeight="1" x14ac:dyDescent="0.15">
      <c r="A26" s="205"/>
      <c r="B26" s="205"/>
      <c r="C26" s="207"/>
      <c r="D26" s="453">
        <v>55</v>
      </c>
      <c r="E26" s="453"/>
      <c r="F26" s="208">
        <f t="shared" si="13"/>
        <v>30.55</v>
      </c>
      <c r="G26" s="457">
        <f t="shared" si="14"/>
        <v>18.55</v>
      </c>
      <c r="H26" s="457"/>
      <c r="I26" s="210"/>
      <c r="J26" s="8">
        <f t="shared" si="15"/>
        <v>0.42000000000000171</v>
      </c>
      <c r="K26" s="29">
        <f t="shared" si="18"/>
        <v>30</v>
      </c>
      <c r="L26" s="29">
        <f t="shared" si="20"/>
        <v>0.22500000000000001</v>
      </c>
      <c r="M26" s="3">
        <f t="shared" si="17"/>
        <v>6.75</v>
      </c>
      <c r="N26" s="3">
        <f t="shared" si="19"/>
        <v>3.2419999999999997E-2</v>
      </c>
      <c r="O26" s="3">
        <f t="shared" si="21"/>
        <v>208.2</v>
      </c>
      <c r="P26" s="13">
        <f t="shared" si="22"/>
        <v>-192.31</v>
      </c>
      <c r="S26" s="3">
        <f>$R$24</f>
        <v>413</v>
      </c>
      <c r="T26" s="3">
        <f t="shared" si="10"/>
        <v>5.8816255416085772</v>
      </c>
      <c r="U26" s="99">
        <f t="shared" si="11"/>
        <v>0.125</v>
      </c>
      <c r="V26" s="3">
        <f t="shared" si="12"/>
        <v>5.0000000000000001E-4</v>
      </c>
      <c r="W26" s="3">
        <f t="shared" si="0"/>
        <v>0.10416666666666667</v>
      </c>
      <c r="X26" s="12">
        <f t="shared" si="23"/>
        <v>150</v>
      </c>
      <c r="Y26" s="10">
        <f t="shared" si="1"/>
        <v>67.429532556377382</v>
      </c>
      <c r="AA26" s="10">
        <f>$Z$24</f>
        <v>40.752882183416389</v>
      </c>
      <c r="AB26" s="10">
        <f t="shared" si="6"/>
        <v>150</v>
      </c>
      <c r="AC26" s="10">
        <f t="shared" si="7"/>
        <v>26.676650372960992</v>
      </c>
      <c r="AD26" s="83">
        <f>INT((AC$23+AE26)*100)/100</f>
        <v>27.83</v>
      </c>
      <c r="AE26" s="10">
        <f>AF26*AG$28</f>
        <v>5.863999999999999</v>
      </c>
      <c r="AF26" s="10">
        <v>0.8</v>
      </c>
      <c r="AG26" s="10"/>
      <c r="AH26" s="10"/>
      <c r="EF26" s="3">
        <v>10.06</v>
      </c>
    </row>
    <row r="27" spans="1:136" s="3" customFormat="1" ht="23.1" customHeight="1" x14ac:dyDescent="0.15">
      <c r="A27" s="205"/>
      <c r="B27" s="205"/>
      <c r="C27" s="207" t="s">
        <v>0</v>
      </c>
      <c r="D27" s="453">
        <v>60</v>
      </c>
      <c r="E27" s="453"/>
      <c r="F27" s="208">
        <f t="shared" si="13"/>
        <v>30.93</v>
      </c>
      <c r="G27" s="457">
        <f t="shared" si="14"/>
        <v>18.93</v>
      </c>
      <c r="H27" s="457"/>
      <c r="I27" s="210"/>
      <c r="J27" s="8">
        <f t="shared" si="15"/>
        <v>0.37999999999999901</v>
      </c>
      <c r="K27" s="29">
        <f t="shared" si="18"/>
        <v>35</v>
      </c>
      <c r="L27" s="29">
        <f t="shared" si="20"/>
        <v>0.22500000000000001</v>
      </c>
      <c r="M27" s="3">
        <f t="shared" si="17"/>
        <v>7.875</v>
      </c>
      <c r="N27" s="3">
        <f t="shared" si="19"/>
        <v>3.2419999999999997E-2</v>
      </c>
      <c r="O27" s="3">
        <f t="shared" si="21"/>
        <v>242.9</v>
      </c>
      <c r="P27" s="13">
        <f t="shared" si="22"/>
        <v>-226.33</v>
      </c>
      <c r="S27" s="3">
        <f>$R$24</f>
        <v>413</v>
      </c>
      <c r="T27" s="3">
        <f t="shared" si="10"/>
        <v>5.8816255416085772</v>
      </c>
      <c r="U27" s="99">
        <f t="shared" si="11"/>
        <v>0.125</v>
      </c>
      <c r="V27" s="3">
        <f t="shared" si="12"/>
        <v>5.0000000000000001E-4</v>
      </c>
      <c r="W27" s="3">
        <f t="shared" si="0"/>
        <v>0.125</v>
      </c>
      <c r="X27" s="12">
        <f t="shared" si="23"/>
        <v>180</v>
      </c>
      <c r="Y27" s="10">
        <f t="shared" si="1"/>
        <v>68.44716977927321</v>
      </c>
      <c r="Z27" s="10">
        <f>Y28-Z28</f>
        <v>40.752882183416389</v>
      </c>
      <c r="AA27" s="10">
        <f>$Z$24</f>
        <v>40.752882183416389</v>
      </c>
      <c r="AB27" s="10">
        <f t="shared" si="6"/>
        <v>180</v>
      </c>
      <c r="AC27" s="10">
        <f t="shared" si="7"/>
        <v>27.694287595856821</v>
      </c>
      <c r="AD27" s="83">
        <f>INT((AC$23+AE27)*100)/100</f>
        <v>28.56</v>
      </c>
      <c r="AE27" s="10">
        <f>AF27*AG$28</f>
        <v>6.5969999999999986</v>
      </c>
      <c r="AF27" s="10">
        <v>0.9</v>
      </c>
      <c r="AG27" s="10"/>
      <c r="AH27" s="10"/>
      <c r="EF27" s="3">
        <v>10.06</v>
      </c>
    </row>
    <row r="28" spans="1:136" s="3" customFormat="1" ht="23.1" customHeight="1" x14ac:dyDescent="0.15">
      <c r="A28" s="205"/>
      <c r="B28" s="205"/>
      <c r="C28" s="207"/>
      <c r="D28" s="453">
        <v>75</v>
      </c>
      <c r="E28" s="453"/>
      <c r="F28" s="208">
        <f t="shared" si="13"/>
        <v>31.91</v>
      </c>
      <c r="G28" s="457">
        <f t="shared" si="14"/>
        <v>19.91</v>
      </c>
      <c r="H28" s="457"/>
      <c r="I28" s="210"/>
      <c r="J28" s="8">
        <f t="shared" si="15"/>
        <v>0.98000000000000043</v>
      </c>
      <c r="K28" s="29">
        <f t="shared" si="18"/>
        <v>40</v>
      </c>
      <c r="L28" s="29">
        <f t="shared" si="20"/>
        <v>0.22500000000000001</v>
      </c>
      <c r="M28" s="3">
        <f t="shared" si="17"/>
        <v>9</v>
      </c>
      <c r="N28" s="3">
        <f t="shared" si="19"/>
        <v>3.2419999999999997E-2</v>
      </c>
      <c r="O28" s="3">
        <f t="shared" si="21"/>
        <v>277.60000000000002</v>
      </c>
      <c r="P28" s="13">
        <f t="shared" si="22"/>
        <v>-260.45</v>
      </c>
      <c r="S28" s="3">
        <f>$R$24</f>
        <v>413</v>
      </c>
      <c r="T28" s="3">
        <f t="shared" si="10"/>
        <v>5.8816255416085772</v>
      </c>
      <c r="U28" s="99">
        <f t="shared" si="11"/>
        <v>0.125</v>
      </c>
      <c r="V28" s="3">
        <f t="shared" si="12"/>
        <v>5.0000000000000001E-4</v>
      </c>
      <c r="W28" s="3">
        <f t="shared" si="0"/>
        <v>0.16666666666666666</v>
      </c>
      <c r="X28" s="12">
        <f t="shared" si="23"/>
        <v>240</v>
      </c>
      <c r="Y28" s="10">
        <f t="shared" si="1"/>
        <v>70.052882183416386</v>
      </c>
      <c r="Z28" s="10">
        <f>입력표!B21</f>
        <v>29.3</v>
      </c>
      <c r="AA28" s="10">
        <f>$Z$24</f>
        <v>40.752882183416389</v>
      </c>
      <c r="AB28" s="10">
        <f t="shared" si="6"/>
        <v>240</v>
      </c>
      <c r="AC28" s="10">
        <f t="shared" si="7"/>
        <v>29.299999999999997</v>
      </c>
      <c r="AD28" s="83">
        <f>INT((AC$23+AE28)*100)/100</f>
        <v>29.3</v>
      </c>
      <c r="AE28" s="10">
        <f>AF28*AG$28</f>
        <v>7.3299999999999983</v>
      </c>
      <c r="AF28" s="10">
        <v>1</v>
      </c>
      <c r="AG28" s="10">
        <f>AC28-AC23</f>
        <v>7.3299999999999983</v>
      </c>
      <c r="AH28" s="10"/>
      <c r="EF28" s="3">
        <v>10.15</v>
      </c>
    </row>
    <row r="29" spans="1:136" s="3" customFormat="1" ht="23.1" customHeight="1" x14ac:dyDescent="0.15">
      <c r="A29" s="205"/>
      <c r="B29" s="205"/>
      <c r="C29" s="207"/>
      <c r="D29" s="453">
        <v>90</v>
      </c>
      <c r="E29" s="453"/>
      <c r="F29" s="208">
        <f t="shared" ref="F29:F44" si="24">G29+$D$10</f>
        <v>32.71</v>
      </c>
      <c r="G29" s="457">
        <f t="shared" si="14"/>
        <v>20.71</v>
      </c>
      <c r="H29" s="457"/>
      <c r="I29" s="210"/>
      <c r="J29" s="8">
        <f t="shared" si="15"/>
        <v>0.80000000000000071</v>
      </c>
      <c r="K29" s="29">
        <f t="shared" si="18"/>
        <v>45</v>
      </c>
      <c r="L29" s="29">
        <f t="shared" si="20"/>
        <v>0.22500000000000001</v>
      </c>
      <c r="M29" s="3">
        <f t="shared" si="17"/>
        <v>10.125</v>
      </c>
      <c r="N29" s="3">
        <f t="shared" si="19"/>
        <v>3.2419999999999997E-2</v>
      </c>
      <c r="O29" s="3">
        <f t="shared" si="21"/>
        <v>312.3</v>
      </c>
      <c r="P29" s="13">
        <f t="shared" si="22"/>
        <v>-294.63</v>
      </c>
      <c r="R29" s="14">
        <f>B37</f>
        <v>501.5</v>
      </c>
      <c r="S29" s="3">
        <f>$R$29</f>
        <v>501.5</v>
      </c>
      <c r="T29" s="3">
        <f t="shared" si="10"/>
        <v>5.8816255416085772</v>
      </c>
      <c r="U29" s="99">
        <f t="shared" si="11"/>
        <v>0.125</v>
      </c>
      <c r="V29" s="3">
        <f t="shared" si="12"/>
        <v>5.0000000000000001E-4</v>
      </c>
      <c r="W29" s="3">
        <f t="shared" si="0"/>
        <v>0.1736111111111111</v>
      </c>
      <c r="X29" s="12">
        <f t="shared" si="23"/>
        <v>250</v>
      </c>
      <c r="Y29" s="10">
        <f t="shared" si="1"/>
        <v>85.340889175909581</v>
      </c>
      <c r="Z29" s="10">
        <f>Z32</f>
        <v>50.272293860085163</v>
      </c>
      <c r="AA29" s="10">
        <f>$Z$29</f>
        <v>50.272293860085163</v>
      </c>
      <c r="AB29" s="10">
        <f t="shared" si="6"/>
        <v>250</v>
      </c>
      <c r="AC29" s="10">
        <f t="shared" si="7"/>
        <v>35.068595315824417</v>
      </c>
      <c r="AD29" s="83">
        <f>INT((AC$28+AE29)*100)/100</f>
        <v>34.24</v>
      </c>
      <c r="AE29" s="10">
        <f>AF29*AG$33</f>
        <v>4.9440000000000008</v>
      </c>
      <c r="AF29" s="10">
        <v>0.6</v>
      </c>
      <c r="AG29" s="10"/>
      <c r="AH29" s="10"/>
      <c r="EF29" s="3">
        <v>10.15</v>
      </c>
    </row>
    <row r="30" spans="1:136" s="3" customFormat="1" ht="23.1" customHeight="1" x14ac:dyDescent="0.15">
      <c r="A30" s="205"/>
      <c r="B30" s="205"/>
      <c r="C30" s="207"/>
      <c r="D30" s="453">
        <v>105</v>
      </c>
      <c r="E30" s="453"/>
      <c r="F30" s="208">
        <f t="shared" si="24"/>
        <v>33.379999999999995</v>
      </c>
      <c r="G30" s="457">
        <f t="shared" si="14"/>
        <v>21.38</v>
      </c>
      <c r="H30" s="457"/>
      <c r="I30" s="210"/>
      <c r="J30" s="8">
        <f t="shared" si="15"/>
        <v>0.66999999999999815</v>
      </c>
      <c r="K30" s="29">
        <f t="shared" si="18"/>
        <v>50</v>
      </c>
      <c r="L30" s="29">
        <f t="shared" si="20"/>
        <v>0.22500000000000001</v>
      </c>
      <c r="M30" s="3">
        <f t="shared" si="17"/>
        <v>11.25</v>
      </c>
      <c r="N30" s="3">
        <f t="shared" si="19"/>
        <v>3.2419999999999997E-2</v>
      </c>
      <c r="O30" s="3">
        <f t="shared" si="21"/>
        <v>347</v>
      </c>
      <c r="P30" s="13">
        <f t="shared" si="22"/>
        <v>-328.87</v>
      </c>
      <c r="R30" s="3" t="s">
        <v>23</v>
      </c>
      <c r="S30" s="3">
        <f>$R$29</f>
        <v>501.5</v>
      </c>
      <c r="T30" s="3">
        <f t="shared" si="10"/>
        <v>5.8816255416085772</v>
      </c>
      <c r="U30" s="99">
        <f t="shared" si="11"/>
        <v>0.125</v>
      </c>
      <c r="V30" s="3">
        <f t="shared" si="12"/>
        <v>5.0000000000000001E-4</v>
      </c>
      <c r="W30" s="3">
        <f t="shared" si="0"/>
        <v>0.18055555555555555</v>
      </c>
      <c r="X30" s="12">
        <f t="shared" si="23"/>
        <v>260</v>
      </c>
      <c r="Y30" s="10">
        <f t="shared" si="1"/>
        <v>85.606711429482331</v>
      </c>
      <c r="AA30" s="10">
        <f>$Z$29</f>
        <v>50.272293860085163</v>
      </c>
      <c r="AB30" s="10">
        <f t="shared" si="6"/>
        <v>260</v>
      </c>
      <c r="AC30" s="10">
        <f t="shared" si="7"/>
        <v>35.334417569397168</v>
      </c>
      <c r="AD30" s="83">
        <f>INT((AC$28+AE30)*100)/100</f>
        <v>35.06</v>
      </c>
      <c r="AE30" s="10">
        <f>AF30*AG$33</f>
        <v>5.7680000000000007</v>
      </c>
      <c r="AF30" s="10">
        <v>0.7</v>
      </c>
      <c r="AG30" s="10"/>
      <c r="AH30" s="10"/>
      <c r="EF30" s="3">
        <v>10.15</v>
      </c>
    </row>
    <row r="31" spans="1:136" s="3" customFormat="1" ht="23.1" customHeight="1" x14ac:dyDescent="0.15">
      <c r="A31" s="205"/>
      <c r="B31" s="205"/>
      <c r="C31" s="207"/>
      <c r="D31" s="453">
        <v>120</v>
      </c>
      <c r="E31" s="453"/>
      <c r="F31" s="208">
        <f t="shared" si="24"/>
        <v>33.97</v>
      </c>
      <c r="G31" s="457">
        <f t="shared" si="14"/>
        <v>21.97</v>
      </c>
      <c r="H31" s="457"/>
      <c r="I31" s="210"/>
      <c r="J31" s="8">
        <f t="shared" si="15"/>
        <v>0.58999999999999986</v>
      </c>
      <c r="K31" s="29">
        <f t="shared" si="18"/>
        <v>55</v>
      </c>
      <c r="L31" s="29">
        <f t="shared" si="20"/>
        <v>0.22500000000000001</v>
      </c>
      <c r="M31" s="3">
        <f t="shared" si="17"/>
        <v>12.375</v>
      </c>
      <c r="N31" s="3">
        <f t="shared" si="19"/>
        <v>3.2419999999999997E-2</v>
      </c>
      <c r="O31" s="3">
        <f>INT(M31/N31*100)/100</f>
        <v>381.7</v>
      </c>
      <c r="P31" s="13">
        <f t="shared" si="22"/>
        <v>-363.15</v>
      </c>
      <c r="S31" s="3">
        <f>$R$29</f>
        <v>501.5</v>
      </c>
      <c r="T31" s="3">
        <f t="shared" si="10"/>
        <v>5.8816255416085772</v>
      </c>
      <c r="U31" s="99">
        <f t="shared" si="11"/>
        <v>0.125</v>
      </c>
      <c r="V31" s="3">
        <f t="shared" si="12"/>
        <v>5.0000000000000001E-4</v>
      </c>
      <c r="W31" s="3">
        <f t="shared" si="0"/>
        <v>0.1875</v>
      </c>
      <c r="X31" s="12">
        <f t="shared" si="23"/>
        <v>270</v>
      </c>
      <c r="Y31" s="10">
        <f t="shared" si="1"/>
        <v>85.862500226482737</v>
      </c>
      <c r="AA31" s="10">
        <f>$Z$29</f>
        <v>50.272293860085163</v>
      </c>
      <c r="AB31" s="10">
        <f t="shared" si="6"/>
        <v>270</v>
      </c>
      <c r="AC31" s="10">
        <f t="shared" si="7"/>
        <v>35.590206366397574</v>
      </c>
      <c r="AD31" s="83">
        <f>INT((AC$28+AE31)*100)/100</f>
        <v>35.89</v>
      </c>
      <c r="AE31" s="10">
        <f>AF31*AG$33</f>
        <v>6.5920000000000023</v>
      </c>
      <c r="AF31" s="10">
        <v>0.8</v>
      </c>
      <c r="AG31" s="10"/>
      <c r="AH31" s="10"/>
      <c r="EF31" s="3">
        <v>10.77</v>
      </c>
    </row>
    <row r="32" spans="1:136" s="3" customFormat="1" ht="23.1" customHeight="1" x14ac:dyDescent="0.15">
      <c r="A32" s="205">
        <v>2</v>
      </c>
      <c r="B32" s="206">
        <f>입력표!D21</f>
        <v>413</v>
      </c>
      <c r="C32" s="207">
        <v>0.50694444444444442</v>
      </c>
      <c r="D32" s="453">
        <v>130</v>
      </c>
      <c r="E32" s="453"/>
      <c r="F32" s="208">
        <f t="shared" si="24"/>
        <v>38.36</v>
      </c>
      <c r="G32" s="457">
        <f t="shared" si="14"/>
        <v>26.36</v>
      </c>
      <c r="H32" s="457"/>
      <c r="I32" s="210"/>
      <c r="J32" s="8">
        <f t="shared" si="15"/>
        <v>4.3900000000000006</v>
      </c>
      <c r="K32" s="29">
        <f t="shared" si="18"/>
        <v>60</v>
      </c>
      <c r="L32" s="29">
        <f t="shared" si="20"/>
        <v>0.22500000000000001</v>
      </c>
      <c r="M32" s="3">
        <f t="shared" si="17"/>
        <v>13.5</v>
      </c>
      <c r="N32" s="3">
        <f t="shared" si="19"/>
        <v>3.2419999999999997E-2</v>
      </c>
      <c r="O32" s="3">
        <f>INT(M32/N32*100)/100</f>
        <v>416.4</v>
      </c>
      <c r="P32" s="13">
        <f t="shared" si="22"/>
        <v>-397.47</v>
      </c>
      <c r="S32" s="3">
        <f>$R$29</f>
        <v>501.5</v>
      </c>
      <c r="T32" s="3">
        <f t="shared" si="10"/>
        <v>5.8816255416085772</v>
      </c>
      <c r="U32" s="99">
        <f t="shared" si="11"/>
        <v>0.125</v>
      </c>
      <c r="V32" s="3">
        <f t="shared" si="12"/>
        <v>5.0000000000000001E-4</v>
      </c>
      <c r="W32" s="3">
        <f t="shared" si="0"/>
        <v>0.20833333333333334</v>
      </c>
      <c r="X32" s="12">
        <f t="shared" si="23"/>
        <v>300</v>
      </c>
      <c r="Y32" s="10">
        <f t="shared" si="1"/>
        <v>86.576591517997358</v>
      </c>
      <c r="Z32" s="10">
        <f>Y33-Z33</f>
        <v>50.272293860085163</v>
      </c>
      <c r="AA32" s="10">
        <f>$Z$29</f>
        <v>50.272293860085163</v>
      </c>
      <c r="AB32" s="10">
        <f t="shared" si="6"/>
        <v>300</v>
      </c>
      <c r="AC32" s="10">
        <f t="shared" si="7"/>
        <v>36.304297657912194</v>
      </c>
      <c r="AD32" s="83">
        <f>INT((AC$28+AE32)*100)/100</f>
        <v>36.71</v>
      </c>
      <c r="AE32" s="10">
        <f>AF32*AG$33</f>
        <v>7.4160000000000021</v>
      </c>
      <c r="AF32" s="10">
        <v>0.9</v>
      </c>
      <c r="AG32" s="10"/>
      <c r="AH32" s="10"/>
      <c r="EF32" s="3">
        <v>14.26</v>
      </c>
    </row>
    <row r="33" spans="1:136" s="3" customFormat="1" ht="23.1" customHeight="1" x14ac:dyDescent="0.15">
      <c r="A33" s="205"/>
      <c r="B33" s="205"/>
      <c r="C33" s="207"/>
      <c r="D33" s="453">
        <v>140</v>
      </c>
      <c r="E33" s="453"/>
      <c r="F33" s="208">
        <f t="shared" si="24"/>
        <v>39.1</v>
      </c>
      <c r="G33" s="457">
        <f t="shared" si="14"/>
        <v>27.1</v>
      </c>
      <c r="H33" s="457"/>
      <c r="I33" s="210"/>
      <c r="J33" s="8">
        <f t="shared" si="15"/>
        <v>0.74000000000000199</v>
      </c>
      <c r="L33" s="7" t="s">
        <v>23</v>
      </c>
      <c r="P33" s="13"/>
      <c r="S33" s="3">
        <f>$R$29</f>
        <v>501.5</v>
      </c>
      <c r="T33" s="3">
        <f t="shared" si="10"/>
        <v>5.8816255416085772</v>
      </c>
      <c r="U33" s="99">
        <f t="shared" si="11"/>
        <v>0.125</v>
      </c>
      <c r="V33" s="3">
        <f t="shared" si="12"/>
        <v>5.0000000000000001E-4</v>
      </c>
      <c r="W33" s="3">
        <f t="shared" si="0"/>
        <v>0.25</v>
      </c>
      <c r="X33" s="12">
        <f t="shared" si="23"/>
        <v>360</v>
      </c>
      <c r="Y33" s="10">
        <f t="shared" si="1"/>
        <v>87.812293860085163</v>
      </c>
      <c r="Z33" s="10">
        <f>입력표!B22</f>
        <v>37.54</v>
      </c>
      <c r="AA33" s="10">
        <f>$Z$29</f>
        <v>50.272293860085163</v>
      </c>
      <c r="AB33" s="10">
        <f t="shared" si="6"/>
        <v>360</v>
      </c>
      <c r="AC33" s="10">
        <f t="shared" si="7"/>
        <v>37.54</v>
      </c>
      <c r="AD33" s="83">
        <f>INT((AC$28+AE33)*100)/100</f>
        <v>37.54</v>
      </c>
      <c r="AE33" s="10">
        <f>AF33*AG$33</f>
        <v>8.240000000000002</v>
      </c>
      <c r="AF33" s="10">
        <v>1</v>
      </c>
      <c r="AG33" s="10">
        <f>AC33-AC28</f>
        <v>8.240000000000002</v>
      </c>
      <c r="AH33" s="10"/>
      <c r="EF33" s="3">
        <v>15.41</v>
      </c>
    </row>
    <row r="34" spans="1:136" s="3" customFormat="1" ht="23.1" customHeight="1" x14ac:dyDescent="0.15">
      <c r="A34" s="205"/>
      <c r="B34" s="205"/>
      <c r="C34" s="207"/>
      <c r="D34" s="453">
        <v>150</v>
      </c>
      <c r="E34" s="453"/>
      <c r="F34" s="208">
        <f t="shared" si="24"/>
        <v>39.83</v>
      </c>
      <c r="G34" s="457">
        <f t="shared" si="14"/>
        <v>27.83</v>
      </c>
      <c r="H34" s="457"/>
      <c r="I34" s="210"/>
      <c r="J34" s="8">
        <f t="shared" si="15"/>
        <v>0.72999999999999687</v>
      </c>
      <c r="L34" s="7" t="s">
        <v>23</v>
      </c>
      <c r="R34" s="3">
        <f>B42</f>
        <v>590</v>
      </c>
      <c r="S34" s="3">
        <f>$R$34</f>
        <v>590</v>
      </c>
      <c r="T34" s="3">
        <f t="shared" si="10"/>
        <v>5.8816255416085772</v>
      </c>
      <c r="U34" s="99">
        <f t="shared" si="11"/>
        <v>0.125</v>
      </c>
      <c r="V34" s="3">
        <f t="shared" si="12"/>
        <v>5.0000000000000001E-4</v>
      </c>
      <c r="W34" s="3">
        <f t="shared" si="0"/>
        <v>0.25694444444444442</v>
      </c>
      <c r="X34" s="12">
        <f t="shared" si="23"/>
        <v>370</v>
      </c>
      <c r="Y34" s="10">
        <f t="shared" si="1"/>
        <v>103.52705071916418</v>
      </c>
      <c r="Z34" s="10">
        <f>Z37</f>
        <v>59.812455874926592</v>
      </c>
      <c r="AA34" s="10">
        <f>$Z$34</f>
        <v>59.812455874926592</v>
      </c>
      <c r="AB34" s="10">
        <f t="shared" si="6"/>
        <v>370</v>
      </c>
      <c r="AC34" s="10">
        <f t="shared" si="7"/>
        <v>43.714594844237588</v>
      </c>
      <c r="AD34" s="83">
        <f>INT((AC$33+AE34)*100)/100</f>
        <v>42.49</v>
      </c>
      <c r="AE34" s="10">
        <f>AG$38*AF34</f>
        <v>4.95</v>
      </c>
      <c r="AF34" s="10">
        <v>0.6</v>
      </c>
      <c r="AG34" s="10"/>
      <c r="AH34" s="10"/>
      <c r="EF34" s="3">
        <v>15.6</v>
      </c>
    </row>
    <row r="35" spans="1:136" s="3" customFormat="1" ht="23.1" customHeight="1" x14ac:dyDescent="0.15">
      <c r="A35" s="205"/>
      <c r="B35" s="205"/>
      <c r="C35" s="207"/>
      <c r="D35" s="453">
        <v>180</v>
      </c>
      <c r="E35" s="453"/>
      <c r="F35" s="208">
        <f t="shared" si="24"/>
        <v>40.56</v>
      </c>
      <c r="G35" s="457">
        <f t="shared" si="14"/>
        <v>28.56</v>
      </c>
      <c r="H35" s="457"/>
      <c r="I35" s="210"/>
      <c r="J35" s="8">
        <f t="shared" si="15"/>
        <v>0.73000000000000043</v>
      </c>
      <c r="L35" s="7" t="s">
        <v>23</v>
      </c>
      <c r="S35" s="3">
        <f>$R$34</f>
        <v>590</v>
      </c>
      <c r="T35" s="3">
        <f t="shared" si="10"/>
        <v>5.8816255416085772</v>
      </c>
      <c r="U35" s="99">
        <f t="shared" si="11"/>
        <v>0.125</v>
      </c>
      <c r="V35" s="3">
        <f t="shared" si="12"/>
        <v>5.0000000000000001E-4</v>
      </c>
      <c r="W35" s="3">
        <f t="shared" si="0"/>
        <v>0.2638888888888889</v>
      </c>
      <c r="X35" s="12">
        <f t="shared" si="23"/>
        <v>380</v>
      </c>
      <c r="Y35" s="10">
        <f t="shared" si="1"/>
        <v>103.73969386756178</v>
      </c>
      <c r="AA35" s="10">
        <f>$Z$34</f>
        <v>59.812455874926592</v>
      </c>
      <c r="AB35" s="10">
        <f t="shared" si="6"/>
        <v>380</v>
      </c>
      <c r="AC35" s="10">
        <f t="shared" si="7"/>
        <v>43.927237992635192</v>
      </c>
      <c r="AD35" s="83">
        <f>INT((AC$33+AE35)*100)/100</f>
        <v>43.31</v>
      </c>
      <c r="AE35" s="10">
        <f>AG$38*AF35</f>
        <v>5.7749999999999995</v>
      </c>
      <c r="AF35" s="10">
        <v>0.7</v>
      </c>
      <c r="AG35" s="10"/>
      <c r="AH35" s="10"/>
      <c r="EF35" s="3">
        <v>15.64</v>
      </c>
    </row>
    <row r="36" spans="1:136" s="3" customFormat="1" ht="23.1" customHeight="1" x14ac:dyDescent="0.15">
      <c r="A36" s="205"/>
      <c r="B36" s="205"/>
      <c r="C36" s="207"/>
      <c r="D36" s="453">
        <v>240</v>
      </c>
      <c r="E36" s="453"/>
      <c r="F36" s="208">
        <f t="shared" si="24"/>
        <v>41.3</v>
      </c>
      <c r="G36" s="457">
        <f t="shared" si="14"/>
        <v>29.3</v>
      </c>
      <c r="H36" s="457"/>
      <c r="I36" s="210"/>
      <c r="J36" s="8">
        <f t="shared" si="15"/>
        <v>0.74000000000000199</v>
      </c>
      <c r="L36" s="7" t="s">
        <v>23</v>
      </c>
      <c r="S36" s="3">
        <f>$R$34</f>
        <v>590</v>
      </c>
      <c r="T36" s="3">
        <f t="shared" si="10"/>
        <v>5.8816255416085772</v>
      </c>
      <c r="U36" s="99">
        <f t="shared" si="11"/>
        <v>0.125</v>
      </c>
      <c r="V36" s="3">
        <f t="shared" si="12"/>
        <v>5.0000000000000001E-4</v>
      </c>
      <c r="W36" s="3">
        <f t="shared" si="0"/>
        <v>0.27083333333333331</v>
      </c>
      <c r="X36" s="12">
        <f t="shared" si="23"/>
        <v>390</v>
      </c>
      <c r="Y36" s="10">
        <f t="shared" si="1"/>
        <v>103.94681318788795</v>
      </c>
      <c r="AA36" s="10">
        <f>$Z$34</f>
        <v>59.812455874926592</v>
      </c>
      <c r="AB36" s="10">
        <f t="shared" si="6"/>
        <v>390</v>
      </c>
      <c r="AC36" s="10">
        <f t="shared" si="7"/>
        <v>44.134357312961363</v>
      </c>
      <c r="AD36" s="83">
        <f>INT((AC$33+AE36)*100)/100</f>
        <v>44.14</v>
      </c>
      <c r="AE36" s="10">
        <f>AG$38*AF36</f>
        <v>6.6000000000000005</v>
      </c>
      <c r="AF36" s="10">
        <v>0.8</v>
      </c>
      <c r="AG36" s="10"/>
      <c r="AH36" s="10"/>
      <c r="EF36" s="3">
        <v>15.67</v>
      </c>
    </row>
    <row r="37" spans="1:136" s="3" customFormat="1" ht="23.1" customHeight="1" x14ac:dyDescent="0.15">
      <c r="A37" s="205">
        <v>3</v>
      </c>
      <c r="B37" s="206">
        <f>입력표!D22</f>
        <v>501.5</v>
      </c>
      <c r="C37" s="207">
        <v>0.59027777777777779</v>
      </c>
      <c r="D37" s="453">
        <v>250</v>
      </c>
      <c r="E37" s="453"/>
      <c r="F37" s="208">
        <f t="shared" si="24"/>
        <v>46.24</v>
      </c>
      <c r="G37" s="457">
        <f t="shared" si="14"/>
        <v>34.24</v>
      </c>
      <c r="H37" s="457"/>
      <c r="I37" s="210"/>
      <c r="J37" s="8">
        <f t="shared" si="15"/>
        <v>4.9400000000000013</v>
      </c>
      <c r="L37" s="7" t="s">
        <v>23</v>
      </c>
      <c r="S37" s="3">
        <f>$R$34</f>
        <v>590</v>
      </c>
      <c r="T37" s="3">
        <f t="shared" si="10"/>
        <v>5.8816255416085772</v>
      </c>
      <c r="U37" s="99">
        <f t="shared" si="11"/>
        <v>0.125</v>
      </c>
      <c r="V37" s="3">
        <f t="shared" si="12"/>
        <v>5.0000000000000001E-4</v>
      </c>
      <c r="W37" s="3">
        <f t="shared" si="0"/>
        <v>0.29166666666666669</v>
      </c>
      <c r="X37" s="12">
        <f t="shared" si="23"/>
        <v>420</v>
      </c>
      <c r="Y37" s="10">
        <f t="shared" si="1"/>
        <v>104.53772388672682</v>
      </c>
      <c r="Z37" s="10">
        <f>Y38-Z38</f>
        <v>59.812455874926592</v>
      </c>
      <c r="AA37" s="10">
        <f>$Z$34</f>
        <v>59.812455874926592</v>
      </c>
      <c r="AB37" s="10">
        <f t="shared" si="6"/>
        <v>420</v>
      </c>
      <c r="AC37" s="10">
        <f t="shared" si="7"/>
        <v>44.725268011800232</v>
      </c>
      <c r="AD37" s="83">
        <f>INT((AC$33+AE37)*100)/100</f>
        <v>44.96</v>
      </c>
      <c r="AE37" s="10">
        <f>AG$38*AF37</f>
        <v>7.4249999999999998</v>
      </c>
      <c r="AF37" s="10">
        <v>0.9</v>
      </c>
      <c r="AG37" s="10"/>
      <c r="AH37" s="10"/>
      <c r="EF37" s="3">
        <v>19.260000000000002</v>
      </c>
    </row>
    <row r="38" spans="1:136" s="3" customFormat="1" ht="23.1" customHeight="1" x14ac:dyDescent="0.15">
      <c r="A38" s="205"/>
      <c r="B38" s="205"/>
      <c r="C38" s="207"/>
      <c r="D38" s="453">
        <v>260</v>
      </c>
      <c r="E38" s="453"/>
      <c r="F38" s="208">
        <f t="shared" si="24"/>
        <v>47.06</v>
      </c>
      <c r="G38" s="457">
        <f t="shared" si="14"/>
        <v>35.06</v>
      </c>
      <c r="H38" s="457"/>
      <c r="I38" s="210"/>
      <c r="J38" s="8">
        <f t="shared" si="15"/>
        <v>0.82000000000000028</v>
      </c>
      <c r="L38" s="7" t="s">
        <v>23</v>
      </c>
      <c r="S38" s="3">
        <f>$R$34</f>
        <v>590</v>
      </c>
      <c r="T38" s="3">
        <f t="shared" si="10"/>
        <v>5.8816255416085772</v>
      </c>
      <c r="U38" s="99">
        <f t="shared" si="11"/>
        <v>0.125</v>
      </c>
      <c r="V38" s="3">
        <f t="shared" si="12"/>
        <v>5.0000000000000001E-4</v>
      </c>
      <c r="W38" s="3">
        <f t="shared" si="0"/>
        <v>0.33333333333333331</v>
      </c>
      <c r="X38" s="12">
        <f t="shared" si="23"/>
        <v>480</v>
      </c>
      <c r="Y38" s="10">
        <f t="shared" si="1"/>
        <v>105.60245587492659</v>
      </c>
      <c r="Z38" s="10">
        <f>입력표!B23</f>
        <v>45.79</v>
      </c>
      <c r="AA38" s="10">
        <f>$Z$34</f>
        <v>59.812455874926592</v>
      </c>
      <c r="AB38" s="10">
        <f t="shared" si="6"/>
        <v>480</v>
      </c>
      <c r="AC38" s="10">
        <f t="shared" si="7"/>
        <v>45.79</v>
      </c>
      <c r="AD38" s="83">
        <f>INT((AC$33+AE38)*100)/100</f>
        <v>45.79</v>
      </c>
      <c r="AE38" s="10">
        <f>AG$38*AF38</f>
        <v>8.25</v>
      </c>
      <c r="AF38" s="10">
        <v>1</v>
      </c>
      <c r="AG38" s="10">
        <f>AC38-AC33</f>
        <v>8.25</v>
      </c>
      <c r="AH38" s="10"/>
      <c r="EF38" s="3">
        <v>20.059999999999999</v>
      </c>
    </row>
    <row r="39" spans="1:136" s="3" customFormat="1" ht="23.1" customHeight="1" x14ac:dyDescent="0.15">
      <c r="A39" s="205"/>
      <c r="B39" s="205"/>
      <c r="C39" s="207"/>
      <c r="D39" s="453">
        <v>270</v>
      </c>
      <c r="E39" s="453"/>
      <c r="F39" s="208">
        <f t="shared" si="24"/>
        <v>47.89</v>
      </c>
      <c r="G39" s="457">
        <f t="shared" si="14"/>
        <v>35.89</v>
      </c>
      <c r="H39" s="457"/>
      <c r="I39" s="210"/>
      <c r="J39" s="8">
        <f t="shared" si="15"/>
        <v>0.82999999999999829</v>
      </c>
      <c r="K39" s="6" t="s">
        <v>23</v>
      </c>
      <c r="L39" s="7" t="s">
        <v>23</v>
      </c>
      <c r="R39" s="14">
        <f>B47</f>
        <v>678.5</v>
      </c>
      <c r="S39" s="3">
        <f>$R$39</f>
        <v>678.5</v>
      </c>
      <c r="T39" s="3">
        <f t="shared" si="10"/>
        <v>5.8816255416085772</v>
      </c>
      <c r="U39" s="99">
        <f t="shared" si="11"/>
        <v>0.125</v>
      </c>
      <c r="V39" s="3">
        <f t="shared" si="12"/>
        <v>5.0000000000000001E-4</v>
      </c>
      <c r="W39" s="3">
        <f t="shared" si="0"/>
        <v>0.34027777777777779</v>
      </c>
      <c r="X39" s="12">
        <f t="shared" si="23"/>
        <v>490</v>
      </c>
      <c r="Y39" s="10">
        <f t="shared" si="1"/>
        <v>121.63189677582706</v>
      </c>
      <c r="Z39" s="10">
        <f>Z42</f>
        <v>63.968981966582994</v>
      </c>
      <c r="AA39" s="10">
        <f>$Z$39</f>
        <v>63.968981966582994</v>
      </c>
      <c r="AB39" s="10">
        <f t="shared" si="6"/>
        <v>490</v>
      </c>
      <c r="AC39" s="10">
        <f t="shared" si="7"/>
        <v>57.662914809244064</v>
      </c>
      <c r="AD39" s="83">
        <f>INT((AC$38+AE39)*100)/100</f>
        <v>51.28</v>
      </c>
      <c r="AE39" s="10">
        <f>AG$43*AF39</f>
        <v>5.4920000000000018</v>
      </c>
      <c r="AF39" s="10">
        <v>0.4</v>
      </c>
      <c r="AG39" s="10"/>
      <c r="AH39" s="10"/>
      <c r="EF39" s="3">
        <v>20.46</v>
      </c>
    </row>
    <row r="40" spans="1:136" s="3" customFormat="1" ht="23.1" customHeight="1" x14ac:dyDescent="0.15">
      <c r="A40" s="205"/>
      <c r="B40" s="205"/>
      <c r="C40" s="207"/>
      <c r="D40" s="453">
        <v>300</v>
      </c>
      <c r="E40" s="453"/>
      <c r="F40" s="208">
        <f t="shared" si="24"/>
        <v>48.71</v>
      </c>
      <c r="G40" s="457">
        <f t="shared" si="14"/>
        <v>36.71</v>
      </c>
      <c r="H40" s="457"/>
      <c r="I40" s="210"/>
      <c r="J40" s="8">
        <f t="shared" si="15"/>
        <v>0.82000000000000028</v>
      </c>
      <c r="K40" s="6" t="s">
        <v>23</v>
      </c>
      <c r="L40" s="7" t="s">
        <v>23</v>
      </c>
      <c r="S40" s="3">
        <f>$R$39</f>
        <v>678.5</v>
      </c>
      <c r="T40" s="3">
        <f t="shared" si="10"/>
        <v>5.8816255416085772</v>
      </c>
      <c r="U40" s="99">
        <f t="shared" si="11"/>
        <v>0.125</v>
      </c>
      <c r="V40" s="3">
        <f t="shared" si="12"/>
        <v>5.0000000000000001E-4</v>
      </c>
      <c r="W40" s="3">
        <f t="shared" si="0"/>
        <v>0.34722222222222221</v>
      </c>
      <c r="X40" s="12">
        <f t="shared" si="23"/>
        <v>500</v>
      </c>
      <c r="Y40" s="10">
        <f t="shared" si="1"/>
        <v>121.81714938611127</v>
      </c>
      <c r="AA40" s="10">
        <f>$Z$39</f>
        <v>63.968981966582994</v>
      </c>
      <c r="AB40" s="10">
        <f t="shared" si="6"/>
        <v>500</v>
      </c>
      <c r="AC40" s="10">
        <f t="shared" si="7"/>
        <v>57.848167419528274</v>
      </c>
      <c r="AD40" s="83">
        <f>INT((AC$38+AE40)*100)/100</f>
        <v>53.34</v>
      </c>
      <c r="AE40" s="10">
        <f>AG$43*AF40</f>
        <v>7.5515000000000025</v>
      </c>
      <c r="AF40" s="10">
        <v>0.55000000000000004</v>
      </c>
      <c r="AG40" s="10"/>
      <c r="AH40" s="10"/>
      <c r="EF40" s="3">
        <v>20.66</v>
      </c>
    </row>
    <row r="41" spans="1:136" s="3" customFormat="1" ht="23.1" customHeight="1" x14ac:dyDescent="0.15">
      <c r="A41" s="205"/>
      <c r="B41" s="205"/>
      <c r="C41" s="207"/>
      <c r="D41" s="453">
        <v>360</v>
      </c>
      <c r="E41" s="453"/>
      <c r="F41" s="208">
        <f t="shared" si="24"/>
        <v>49.54</v>
      </c>
      <c r="G41" s="457">
        <f t="shared" si="14"/>
        <v>37.54</v>
      </c>
      <c r="H41" s="457"/>
      <c r="I41" s="210"/>
      <c r="J41" s="8">
        <f t="shared" si="15"/>
        <v>0.82999999999999829</v>
      </c>
      <c r="K41" s="6" t="s">
        <v>23</v>
      </c>
      <c r="L41" s="7" t="s">
        <v>23</v>
      </c>
      <c r="S41" s="3">
        <f>$R$39</f>
        <v>678.5</v>
      </c>
      <c r="T41" s="3">
        <f t="shared" si="10"/>
        <v>5.8816255416085772</v>
      </c>
      <c r="U41" s="99">
        <f t="shared" si="11"/>
        <v>0.125</v>
      </c>
      <c r="V41" s="3">
        <f t="shared" si="12"/>
        <v>5.0000000000000001E-4</v>
      </c>
      <c r="W41" s="3">
        <f t="shared" si="0"/>
        <v>0.35416666666666669</v>
      </c>
      <c r="X41" s="12">
        <f t="shared" si="23"/>
        <v>510</v>
      </c>
      <c r="Y41" s="10">
        <f t="shared" si="1"/>
        <v>121.99873338569344</v>
      </c>
      <c r="AA41" s="10">
        <f>$Z$39</f>
        <v>63.968981966582994</v>
      </c>
      <c r="AB41" s="10">
        <f t="shared" si="6"/>
        <v>510</v>
      </c>
      <c r="AC41" s="10">
        <f t="shared" si="7"/>
        <v>58.029751419110447</v>
      </c>
      <c r="AD41" s="83">
        <f>INT((AC$38+AE41)*100)/100</f>
        <v>55.4</v>
      </c>
      <c r="AE41" s="10">
        <f>AG$43*AF41</f>
        <v>9.6110000000000024</v>
      </c>
      <c r="AF41" s="10">
        <v>0.7</v>
      </c>
      <c r="AG41" s="10"/>
      <c r="AH41" s="10"/>
      <c r="EF41" s="3">
        <v>20.75</v>
      </c>
    </row>
    <row r="42" spans="1:136" s="3" customFormat="1" ht="23.1" customHeight="1" x14ac:dyDescent="0.15">
      <c r="A42" s="205">
        <v>4</v>
      </c>
      <c r="B42" s="206">
        <f>입력표!D23</f>
        <v>590</v>
      </c>
      <c r="C42" s="207">
        <v>0.67361111111111116</v>
      </c>
      <c r="D42" s="453">
        <v>370</v>
      </c>
      <c r="E42" s="453"/>
      <c r="F42" s="208">
        <f t="shared" si="24"/>
        <v>54.49</v>
      </c>
      <c r="G42" s="457">
        <f t="shared" si="14"/>
        <v>42.49</v>
      </c>
      <c r="H42" s="457"/>
      <c r="I42" s="210"/>
      <c r="J42" s="8">
        <f t="shared" si="15"/>
        <v>4.9500000000000028</v>
      </c>
      <c r="K42" s="6" t="s">
        <v>23</v>
      </c>
      <c r="L42" s="7" t="s">
        <v>23</v>
      </c>
      <c r="S42" s="3">
        <f>$R$39</f>
        <v>678.5</v>
      </c>
      <c r="T42" s="3">
        <f t="shared" si="10"/>
        <v>5.8816255416085772</v>
      </c>
      <c r="U42" s="99">
        <f t="shared" si="11"/>
        <v>0.125</v>
      </c>
      <c r="V42" s="3">
        <f t="shared" si="12"/>
        <v>5.0000000000000001E-4</v>
      </c>
      <c r="W42" s="3">
        <f t="shared" si="0"/>
        <v>0.375</v>
      </c>
      <c r="X42" s="12">
        <f t="shared" si="23"/>
        <v>540</v>
      </c>
      <c r="Y42" s="10">
        <f t="shared" si="1"/>
        <v>122.52285845453379</v>
      </c>
      <c r="Z42" s="10">
        <f>Y43-Z43</f>
        <v>63.968981966582994</v>
      </c>
      <c r="AA42" s="10">
        <f>$Z$39</f>
        <v>63.968981966582994</v>
      </c>
      <c r="AB42" s="10">
        <f t="shared" si="6"/>
        <v>540</v>
      </c>
      <c r="AC42" s="10">
        <f t="shared" si="7"/>
        <v>58.553876487950795</v>
      </c>
      <c r="AD42" s="83">
        <f>INT((AC$38+AE42)*100)/100</f>
        <v>57.46</v>
      </c>
      <c r="AE42" s="10">
        <f>AG$43*AF42</f>
        <v>11.670500000000002</v>
      </c>
      <c r="AF42" s="10">
        <v>0.85</v>
      </c>
      <c r="AG42" s="10"/>
      <c r="AH42" s="10"/>
      <c r="EF42" s="3">
        <v>29.31</v>
      </c>
    </row>
    <row r="43" spans="1:136" s="3" customFormat="1" ht="23.1" customHeight="1" x14ac:dyDescent="0.15">
      <c r="A43" s="205"/>
      <c r="B43" s="205"/>
      <c r="C43" s="207"/>
      <c r="D43" s="453">
        <v>380</v>
      </c>
      <c r="E43" s="453"/>
      <c r="F43" s="208">
        <f t="shared" si="24"/>
        <v>55.31</v>
      </c>
      <c r="G43" s="457">
        <f t="shared" si="14"/>
        <v>43.31</v>
      </c>
      <c r="H43" s="457"/>
      <c r="I43" s="210"/>
      <c r="J43" s="8">
        <f t="shared" si="15"/>
        <v>0.82000000000000028</v>
      </c>
      <c r="K43" s="6" t="s">
        <v>23</v>
      </c>
      <c r="L43" s="7" t="s">
        <v>23</v>
      </c>
      <c r="S43" s="3">
        <f>$R$39</f>
        <v>678.5</v>
      </c>
      <c r="T43" s="3">
        <f t="shared" si="10"/>
        <v>5.8816255416085772</v>
      </c>
      <c r="U43" s="99">
        <f t="shared" si="11"/>
        <v>0.125</v>
      </c>
      <c r="V43" s="3">
        <f t="shared" si="12"/>
        <v>5.0000000000000001E-4</v>
      </c>
      <c r="W43" s="3">
        <f t="shared" si="0"/>
        <v>0.41666666666666669</v>
      </c>
      <c r="X43" s="12">
        <f t="shared" si="23"/>
        <v>600</v>
      </c>
      <c r="Y43" s="10">
        <f t="shared" si="1"/>
        <v>123.488981966583</v>
      </c>
      <c r="Z43" s="10">
        <f>입력표!B24</f>
        <v>59.52</v>
      </c>
      <c r="AA43" s="10">
        <f>$Z$39</f>
        <v>63.968981966582994</v>
      </c>
      <c r="AB43" s="10">
        <f t="shared" si="6"/>
        <v>600</v>
      </c>
      <c r="AC43" s="10">
        <f t="shared" si="7"/>
        <v>59.52</v>
      </c>
      <c r="AD43" s="83">
        <f>INT((AC$38+AE43)*100)/100</f>
        <v>59.52</v>
      </c>
      <c r="AE43" s="10">
        <f>AG$43*AF43</f>
        <v>13.730000000000004</v>
      </c>
      <c r="AF43" s="10">
        <v>1</v>
      </c>
      <c r="AG43" s="10">
        <f>AC43-AC38</f>
        <v>13.730000000000004</v>
      </c>
      <c r="AH43" s="10"/>
      <c r="EF43" s="3">
        <v>31.81</v>
      </c>
    </row>
    <row r="44" spans="1:136" s="3" customFormat="1" ht="23.1" customHeight="1" x14ac:dyDescent="0.15">
      <c r="A44" s="205"/>
      <c r="B44" s="205"/>
      <c r="C44" s="207"/>
      <c r="D44" s="453">
        <v>390</v>
      </c>
      <c r="E44" s="453"/>
      <c r="F44" s="208">
        <f t="shared" si="24"/>
        <v>56.14</v>
      </c>
      <c r="G44" s="457">
        <f t="shared" si="14"/>
        <v>44.14</v>
      </c>
      <c r="H44" s="457"/>
      <c r="I44" s="210"/>
      <c r="J44" s="8">
        <f t="shared" si="15"/>
        <v>0.82999999999999829</v>
      </c>
      <c r="K44" s="6" t="s">
        <v>23</v>
      </c>
      <c r="L44" s="7" t="s">
        <v>23</v>
      </c>
      <c r="S44" s="3" t="s">
        <v>18</v>
      </c>
      <c r="T44" s="3" t="s">
        <v>18</v>
      </c>
      <c r="U44" s="99" t="s">
        <v>18</v>
      </c>
      <c r="V44" s="3" t="s">
        <v>18</v>
      </c>
      <c r="W44" s="3" t="s">
        <v>18</v>
      </c>
      <c r="X44" s="12" t="s">
        <v>18</v>
      </c>
      <c r="Y44" s="10" t="s">
        <v>18</v>
      </c>
      <c r="AE44" s="10"/>
      <c r="AF44" s="10"/>
      <c r="EF44" s="3">
        <v>35.83</v>
      </c>
    </row>
    <row r="45" spans="1:136" s="3" customFormat="1" ht="23.1" customHeight="1" x14ac:dyDescent="0.15">
      <c r="A45" s="205"/>
      <c r="B45" s="205"/>
      <c r="C45" s="207"/>
      <c r="D45" s="453">
        <v>420</v>
      </c>
      <c r="E45" s="453"/>
      <c r="F45" s="208">
        <f t="shared" ref="F45:F51" si="25">G45+$D$10</f>
        <v>56.96</v>
      </c>
      <c r="G45" s="457">
        <f t="shared" si="14"/>
        <v>44.96</v>
      </c>
      <c r="H45" s="457"/>
      <c r="I45" s="210"/>
      <c r="J45" s="8">
        <f t="shared" si="15"/>
        <v>0.82000000000000028</v>
      </c>
      <c r="K45" s="6" t="s">
        <v>23</v>
      </c>
      <c r="L45" s="7" t="s">
        <v>23</v>
      </c>
      <c r="S45" s="3" t="str">
        <f t="shared" ref="S45:S51" si="26">$S44</f>
        <v xml:space="preserve"> </v>
      </c>
      <c r="T45" s="3" t="str">
        <f t="shared" si="10"/>
        <v xml:space="preserve"> </v>
      </c>
      <c r="U45" s="99" t="str">
        <f t="shared" si="11"/>
        <v xml:space="preserve"> </v>
      </c>
      <c r="V45" s="3" t="str">
        <f t="shared" si="12"/>
        <v xml:space="preserve"> </v>
      </c>
      <c r="W45" s="3" t="s">
        <v>18</v>
      </c>
      <c r="X45" s="12" t="s">
        <v>18</v>
      </c>
      <c r="Y45" s="10" t="s">
        <v>18</v>
      </c>
      <c r="AE45" s="10"/>
      <c r="AF45" s="10"/>
      <c r="EF45" s="3">
        <v>35.96</v>
      </c>
    </row>
    <row r="46" spans="1:136" s="3" customFormat="1" ht="23.1" customHeight="1" x14ac:dyDescent="0.15">
      <c r="A46" s="205"/>
      <c r="B46" s="205"/>
      <c r="C46" s="207"/>
      <c r="D46" s="453">
        <v>480</v>
      </c>
      <c r="E46" s="453"/>
      <c r="F46" s="208">
        <f t="shared" si="25"/>
        <v>57.79</v>
      </c>
      <c r="G46" s="457">
        <f t="shared" si="14"/>
        <v>45.79</v>
      </c>
      <c r="H46" s="457"/>
      <c r="I46" s="210"/>
      <c r="J46" s="8">
        <f t="shared" si="15"/>
        <v>0.82999999999999829</v>
      </c>
      <c r="K46" s="6" t="s">
        <v>23</v>
      </c>
      <c r="L46" s="7" t="s">
        <v>23</v>
      </c>
      <c r="S46" s="3" t="str">
        <f t="shared" si="26"/>
        <v xml:space="preserve"> </v>
      </c>
      <c r="T46" s="3" t="str">
        <f t="shared" si="10"/>
        <v xml:space="preserve"> </v>
      </c>
      <c r="U46" s="99" t="str">
        <f t="shared" si="11"/>
        <v xml:space="preserve"> </v>
      </c>
      <c r="V46" s="3" t="str">
        <f t="shared" si="12"/>
        <v xml:space="preserve"> </v>
      </c>
      <c r="W46" s="3" t="s">
        <v>18</v>
      </c>
      <c r="X46" s="12" t="s">
        <v>18</v>
      </c>
      <c r="Y46" s="10" t="s">
        <v>18</v>
      </c>
      <c r="AE46" s="10"/>
      <c r="AF46" s="10"/>
      <c r="EF46" s="3">
        <v>36.01</v>
      </c>
    </row>
    <row r="47" spans="1:136" s="3" customFormat="1" ht="23.1" customHeight="1" x14ac:dyDescent="0.15">
      <c r="A47" s="205">
        <v>5</v>
      </c>
      <c r="B47" s="206">
        <f>입력표!D24</f>
        <v>678.5</v>
      </c>
      <c r="C47" s="207">
        <v>0.75694444444444453</v>
      </c>
      <c r="D47" s="453">
        <v>490</v>
      </c>
      <c r="E47" s="453"/>
      <c r="F47" s="208">
        <f t="shared" si="25"/>
        <v>63.28</v>
      </c>
      <c r="G47" s="457">
        <f t="shared" si="14"/>
        <v>51.28</v>
      </c>
      <c r="H47" s="457"/>
      <c r="I47" s="210"/>
      <c r="J47" s="8">
        <f t="shared" si="15"/>
        <v>5.490000000000002</v>
      </c>
      <c r="K47" s="6" t="s">
        <v>23</v>
      </c>
      <c r="S47" s="3" t="str">
        <f t="shared" si="26"/>
        <v xml:space="preserve"> </v>
      </c>
      <c r="T47" s="3" t="str">
        <f t="shared" si="10"/>
        <v xml:space="preserve"> </v>
      </c>
      <c r="U47" s="99" t="str">
        <f t="shared" si="11"/>
        <v xml:space="preserve"> </v>
      </c>
      <c r="V47" s="3" t="str">
        <f t="shared" si="12"/>
        <v xml:space="preserve"> </v>
      </c>
      <c r="W47" s="3" t="s">
        <v>18</v>
      </c>
      <c r="X47" s="12" t="s">
        <v>18</v>
      </c>
      <c r="Y47" s="10" t="s">
        <v>18</v>
      </c>
      <c r="AE47" s="10"/>
      <c r="AF47" s="10"/>
      <c r="EF47" s="3">
        <v>30.66</v>
      </c>
    </row>
    <row r="48" spans="1:136" s="3" customFormat="1" ht="23.1" customHeight="1" x14ac:dyDescent="0.15">
      <c r="A48" s="205"/>
      <c r="B48" s="205"/>
      <c r="C48" s="207"/>
      <c r="D48" s="453">
        <v>500</v>
      </c>
      <c r="E48" s="453"/>
      <c r="F48" s="208">
        <f t="shared" si="25"/>
        <v>65.34</v>
      </c>
      <c r="G48" s="457">
        <f t="shared" si="14"/>
        <v>53.34</v>
      </c>
      <c r="H48" s="457"/>
      <c r="I48" s="210"/>
      <c r="J48" s="8">
        <f t="shared" si="15"/>
        <v>2.0600000000000023</v>
      </c>
      <c r="K48" s="6" t="s">
        <v>23</v>
      </c>
      <c r="S48" s="3" t="str">
        <f t="shared" si="26"/>
        <v xml:space="preserve"> </v>
      </c>
      <c r="T48" s="3" t="str">
        <f t="shared" si="10"/>
        <v xml:space="preserve"> </v>
      </c>
      <c r="U48" s="99" t="str">
        <f t="shared" si="11"/>
        <v xml:space="preserve"> </v>
      </c>
      <c r="V48" s="3" t="str">
        <f t="shared" si="12"/>
        <v xml:space="preserve"> </v>
      </c>
      <c r="W48" s="3" t="s">
        <v>18</v>
      </c>
      <c r="X48" s="12" t="s">
        <v>18</v>
      </c>
      <c r="Y48" s="10" t="s">
        <v>18</v>
      </c>
      <c r="AE48" s="10"/>
      <c r="AF48" s="10"/>
      <c r="EF48" s="3">
        <v>30.83</v>
      </c>
    </row>
    <row r="49" spans="1:136" s="3" customFormat="1" ht="23.1" customHeight="1" x14ac:dyDescent="0.15">
      <c r="A49" s="205"/>
      <c r="B49" s="205"/>
      <c r="C49" s="207"/>
      <c r="D49" s="453">
        <v>510</v>
      </c>
      <c r="E49" s="453"/>
      <c r="F49" s="208">
        <f t="shared" si="25"/>
        <v>67.400000000000006</v>
      </c>
      <c r="G49" s="457">
        <f t="shared" si="14"/>
        <v>55.4</v>
      </c>
      <c r="H49" s="457"/>
      <c r="I49" s="210"/>
      <c r="J49" s="8">
        <f t="shared" si="15"/>
        <v>2.0599999999999952</v>
      </c>
      <c r="K49" s="6" t="s">
        <v>23</v>
      </c>
      <c r="S49" s="3" t="str">
        <f t="shared" si="26"/>
        <v xml:space="preserve"> </v>
      </c>
      <c r="T49" s="3" t="str">
        <f t="shared" si="10"/>
        <v xml:space="preserve"> </v>
      </c>
      <c r="U49" s="99" t="str">
        <f t="shared" si="11"/>
        <v xml:space="preserve"> </v>
      </c>
      <c r="V49" s="3" t="str">
        <f t="shared" si="12"/>
        <v xml:space="preserve"> </v>
      </c>
      <c r="W49" s="3" t="s">
        <v>18</v>
      </c>
      <c r="X49" s="12" t="s">
        <v>18</v>
      </c>
      <c r="Y49" s="10" t="s">
        <v>18</v>
      </c>
      <c r="AE49" s="10"/>
      <c r="AF49" s="10"/>
      <c r="EF49" s="3">
        <v>30.83</v>
      </c>
    </row>
    <row r="50" spans="1:136" s="3" customFormat="1" ht="23.1" customHeight="1" x14ac:dyDescent="0.15">
      <c r="A50" s="205"/>
      <c r="B50" s="205"/>
      <c r="C50" s="207"/>
      <c r="D50" s="453">
        <v>540</v>
      </c>
      <c r="E50" s="453"/>
      <c r="F50" s="208">
        <f t="shared" si="25"/>
        <v>69.460000000000008</v>
      </c>
      <c r="G50" s="457">
        <f t="shared" si="14"/>
        <v>57.46</v>
      </c>
      <c r="H50" s="457"/>
      <c r="I50" s="210"/>
      <c r="J50" s="8">
        <f t="shared" si="15"/>
        <v>2.0600000000000023</v>
      </c>
      <c r="K50" s="6" t="s">
        <v>23</v>
      </c>
      <c r="S50" s="3" t="str">
        <f t="shared" si="26"/>
        <v xml:space="preserve"> </v>
      </c>
      <c r="T50" s="3" t="str">
        <f t="shared" si="10"/>
        <v xml:space="preserve"> </v>
      </c>
      <c r="U50" s="99" t="str">
        <f t="shared" si="11"/>
        <v xml:space="preserve"> </v>
      </c>
      <c r="V50" s="3" t="str">
        <f t="shared" si="12"/>
        <v xml:space="preserve"> </v>
      </c>
      <c r="W50" s="3" t="s">
        <v>18</v>
      </c>
      <c r="X50" s="12" t="s">
        <v>18</v>
      </c>
      <c r="Y50" s="10" t="s">
        <v>18</v>
      </c>
      <c r="AE50" s="10"/>
      <c r="AF50" s="10"/>
      <c r="EF50" s="3">
        <v>30.83</v>
      </c>
    </row>
    <row r="51" spans="1:136" s="3" customFormat="1" ht="23.1" customHeight="1" x14ac:dyDescent="0.15">
      <c r="A51" s="205"/>
      <c r="B51" s="205"/>
      <c r="C51" s="207"/>
      <c r="D51" s="453">
        <v>600</v>
      </c>
      <c r="E51" s="453"/>
      <c r="F51" s="208">
        <f t="shared" si="25"/>
        <v>71.52000000000001</v>
      </c>
      <c r="G51" s="457">
        <f t="shared" si="14"/>
        <v>59.52</v>
      </c>
      <c r="H51" s="457"/>
      <c r="I51" s="210" t="s">
        <v>13</v>
      </c>
      <c r="J51" s="8">
        <f t="shared" si="15"/>
        <v>2.0600000000000023</v>
      </c>
      <c r="K51" s="6" t="s">
        <v>23</v>
      </c>
      <c r="S51" s="3" t="str">
        <f t="shared" si="26"/>
        <v xml:space="preserve"> </v>
      </c>
      <c r="T51" s="3" t="str">
        <f t="shared" si="10"/>
        <v xml:space="preserve"> </v>
      </c>
      <c r="U51" s="99" t="str">
        <f t="shared" si="11"/>
        <v xml:space="preserve"> </v>
      </c>
      <c r="V51" s="3" t="str">
        <f t="shared" si="12"/>
        <v xml:space="preserve"> </v>
      </c>
      <c r="W51" s="3" t="s">
        <v>18</v>
      </c>
      <c r="X51" s="12" t="s">
        <v>18</v>
      </c>
      <c r="Y51" s="10" t="s">
        <v>18</v>
      </c>
      <c r="AE51" s="10"/>
      <c r="AF51" s="10"/>
      <c r="EF51" s="3">
        <v>31.590000000000117</v>
      </c>
    </row>
    <row r="52" spans="1:136" s="3" customFormat="1" ht="17.25" customHeight="1" x14ac:dyDescent="0.15">
      <c r="J52" s="3" t="s">
        <v>23</v>
      </c>
      <c r="K52" s="6" t="s">
        <v>23</v>
      </c>
      <c r="S52" s="3" t="e">
        <f>#REF!</f>
        <v>#REF!</v>
      </c>
      <c r="T52" s="3" t="e">
        <f>#REF!</f>
        <v>#REF!</v>
      </c>
      <c r="U52" s="99" t="e">
        <f>#REF!</f>
        <v>#REF!</v>
      </c>
      <c r="V52" s="3" t="e">
        <f>#REF!</f>
        <v>#REF!</v>
      </c>
      <c r="W52" s="3" t="s">
        <v>18</v>
      </c>
      <c r="X52" s="12" t="s">
        <v>18</v>
      </c>
      <c r="Y52" s="10" t="s">
        <v>18</v>
      </c>
      <c r="AE52" s="10"/>
      <c r="AF52" s="10"/>
      <c r="EF52" s="3">
        <v>13.38</v>
      </c>
    </row>
    <row r="53" spans="1:136" s="3" customFormat="1" ht="17.25" customHeight="1" x14ac:dyDescent="0.15">
      <c r="J53" s="3" t="s">
        <v>23</v>
      </c>
      <c r="K53" s="6" t="s">
        <v>23</v>
      </c>
      <c r="S53" s="3" t="e">
        <f t="shared" ref="S53:S66" si="27">$S52</f>
        <v>#REF!</v>
      </c>
      <c r="T53" s="3" t="e">
        <f t="shared" ref="T53:T66" si="28">$T52</f>
        <v>#REF!</v>
      </c>
      <c r="U53" s="99" t="e">
        <f t="shared" ref="U53:U66" si="29">$U52</f>
        <v>#REF!</v>
      </c>
      <c r="V53" s="3" t="e">
        <f t="shared" ref="V53:V66" si="30">$V52</f>
        <v>#REF!</v>
      </c>
      <c r="W53" s="3" t="s">
        <v>18</v>
      </c>
      <c r="X53" s="12" t="s">
        <v>18</v>
      </c>
      <c r="Y53" s="10" t="s">
        <v>18</v>
      </c>
      <c r="AE53" s="10"/>
      <c r="AF53" s="10"/>
      <c r="EF53" s="3">
        <v>9.48</v>
      </c>
    </row>
    <row r="54" spans="1:136" s="3" customFormat="1" ht="17.25" customHeight="1" x14ac:dyDescent="0.15">
      <c r="J54" s="3" t="s">
        <v>23</v>
      </c>
      <c r="K54" s="6" t="s">
        <v>23</v>
      </c>
      <c r="S54" s="3" t="e">
        <f>$S53</f>
        <v>#REF!</v>
      </c>
      <c r="T54" s="3" t="e">
        <f>$T53</f>
        <v>#REF!</v>
      </c>
      <c r="U54" s="99" t="e">
        <f>$U53</f>
        <v>#REF!</v>
      </c>
      <c r="V54" s="3" t="e">
        <f>$V53</f>
        <v>#REF!</v>
      </c>
      <c r="W54" s="3" t="s">
        <v>18</v>
      </c>
      <c r="X54" s="12" t="s">
        <v>18</v>
      </c>
      <c r="Y54" s="10" t="s">
        <v>18</v>
      </c>
      <c r="AE54" s="10"/>
      <c r="AF54" s="10"/>
      <c r="EF54" s="3">
        <v>6.56</v>
      </c>
    </row>
    <row r="55" spans="1:136" s="3" customFormat="1" ht="17.25" customHeight="1" x14ac:dyDescent="0.15">
      <c r="J55" s="3" t="s">
        <v>23</v>
      </c>
      <c r="K55" s="6" t="s">
        <v>23</v>
      </c>
      <c r="S55" s="3" t="e">
        <f t="shared" si="27"/>
        <v>#REF!</v>
      </c>
      <c r="T55" s="3" t="e">
        <f t="shared" si="28"/>
        <v>#REF!</v>
      </c>
      <c r="U55" s="99" t="e">
        <f t="shared" si="29"/>
        <v>#REF!</v>
      </c>
      <c r="V55" s="3" t="e">
        <f t="shared" si="30"/>
        <v>#REF!</v>
      </c>
      <c r="W55" s="3" t="s">
        <v>18</v>
      </c>
      <c r="X55" s="12" t="s">
        <v>18</v>
      </c>
      <c r="Y55" s="10" t="s">
        <v>18</v>
      </c>
      <c r="AE55" s="10"/>
      <c r="AF55" s="10"/>
      <c r="EF55" s="3">
        <v>4.22</v>
      </c>
    </row>
    <row r="56" spans="1:136" s="3" customFormat="1" ht="17.25" customHeight="1" x14ac:dyDescent="0.15">
      <c r="J56" s="3" t="s">
        <v>23</v>
      </c>
      <c r="K56" s="6" t="s">
        <v>23</v>
      </c>
      <c r="S56" s="3" t="e">
        <f t="shared" si="27"/>
        <v>#REF!</v>
      </c>
      <c r="T56" s="3" t="e">
        <f t="shared" si="28"/>
        <v>#REF!</v>
      </c>
      <c r="U56" s="99" t="e">
        <f t="shared" si="29"/>
        <v>#REF!</v>
      </c>
      <c r="V56" s="3" t="e">
        <f t="shared" si="30"/>
        <v>#REF!</v>
      </c>
      <c r="W56" s="3" t="s">
        <v>18</v>
      </c>
      <c r="X56" s="12" t="s">
        <v>18</v>
      </c>
      <c r="Y56" s="10" t="s">
        <v>18</v>
      </c>
      <c r="AE56" s="10"/>
      <c r="AF56" s="10"/>
      <c r="EF56" s="3">
        <v>3.05</v>
      </c>
    </row>
    <row r="57" spans="1:136" s="3" customFormat="1" ht="17.25" customHeight="1" x14ac:dyDescent="0.15">
      <c r="J57" s="3" t="s">
        <v>23</v>
      </c>
      <c r="K57" s="6" t="s">
        <v>23</v>
      </c>
      <c r="S57" s="3" t="e">
        <f t="shared" si="27"/>
        <v>#REF!</v>
      </c>
      <c r="T57" s="3" t="e">
        <f t="shared" si="28"/>
        <v>#REF!</v>
      </c>
      <c r="U57" s="99" t="e">
        <f t="shared" si="29"/>
        <v>#REF!</v>
      </c>
      <c r="V57" s="3" t="e">
        <f t="shared" si="30"/>
        <v>#REF!</v>
      </c>
      <c r="W57" s="3" t="s">
        <v>18</v>
      </c>
      <c r="X57" s="12" t="s">
        <v>18</v>
      </c>
      <c r="Y57" s="10" t="s">
        <v>18</v>
      </c>
      <c r="AE57" s="10"/>
      <c r="AF57" s="10"/>
      <c r="EF57" s="3">
        <v>2.27</v>
      </c>
    </row>
    <row r="58" spans="1:136" s="3" customFormat="1" ht="17.25" customHeight="1" x14ac:dyDescent="0.15">
      <c r="J58" s="3" t="s">
        <v>23</v>
      </c>
      <c r="K58" s="6" t="s">
        <v>23</v>
      </c>
      <c r="S58" s="3" t="e">
        <f t="shared" si="27"/>
        <v>#REF!</v>
      </c>
      <c r="T58" s="3" t="e">
        <f t="shared" si="28"/>
        <v>#REF!</v>
      </c>
      <c r="U58" s="99" t="e">
        <f t="shared" si="29"/>
        <v>#REF!</v>
      </c>
      <c r="V58" s="3" t="e">
        <f t="shared" si="30"/>
        <v>#REF!</v>
      </c>
      <c r="W58" s="3" t="s">
        <v>18</v>
      </c>
      <c r="X58" s="12" t="s">
        <v>18</v>
      </c>
      <c r="Y58" s="10" t="s">
        <v>18</v>
      </c>
      <c r="AE58" s="10"/>
      <c r="AF58" s="10"/>
      <c r="EF58" s="3">
        <v>1.69</v>
      </c>
    </row>
    <row r="59" spans="1:136" s="3" customFormat="1" ht="17.25" customHeight="1" x14ac:dyDescent="0.15">
      <c r="J59" s="3" t="s">
        <v>23</v>
      </c>
      <c r="K59" s="6" t="s">
        <v>23</v>
      </c>
      <c r="S59" s="3" t="e">
        <f t="shared" si="27"/>
        <v>#REF!</v>
      </c>
      <c r="T59" s="3" t="e">
        <f t="shared" si="28"/>
        <v>#REF!</v>
      </c>
      <c r="U59" s="99" t="e">
        <f t="shared" si="29"/>
        <v>#REF!</v>
      </c>
      <c r="V59" s="3" t="e">
        <f t="shared" si="30"/>
        <v>#REF!</v>
      </c>
      <c r="W59" s="3" t="s">
        <v>18</v>
      </c>
      <c r="X59" s="12" t="s">
        <v>18</v>
      </c>
      <c r="Y59" s="10" t="s">
        <v>18</v>
      </c>
      <c r="AE59" s="10"/>
      <c r="AF59" s="10"/>
      <c r="EF59" s="3">
        <v>1.22</v>
      </c>
    </row>
    <row r="60" spans="1:136" s="3" customFormat="1" ht="17.25" customHeight="1" x14ac:dyDescent="0.15">
      <c r="J60" s="3" t="s">
        <v>23</v>
      </c>
      <c r="K60" s="6" t="s">
        <v>23</v>
      </c>
      <c r="S60" s="3" t="e">
        <f t="shared" si="27"/>
        <v>#REF!</v>
      </c>
      <c r="T60" s="3" t="e">
        <f t="shared" si="28"/>
        <v>#REF!</v>
      </c>
      <c r="U60" s="99" t="e">
        <f t="shared" si="29"/>
        <v>#REF!</v>
      </c>
      <c r="V60" s="3" t="e">
        <f t="shared" si="30"/>
        <v>#REF!</v>
      </c>
      <c r="W60" s="3" t="s">
        <v>18</v>
      </c>
      <c r="X60" s="12" t="s">
        <v>18</v>
      </c>
      <c r="Y60" s="10" t="s">
        <v>18</v>
      </c>
      <c r="AE60" s="10"/>
      <c r="AF60" s="10"/>
      <c r="EF60" s="3">
        <v>0.83</v>
      </c>
    </row>
    <row r="61" spans="1:136" s="3" customFormat="1" ht="17.25" customHeight="1" x14ac:dyDescent="0.15">
      <c r="J61" s="3" t="s">
        <v>23</v>
      </c>
      <c r="K61" s="6" t="s">
        <v>23</v>
      </c>
      <c r="S61" s="3" t="e">
        <f t="shared" si="27"/>
        <v>#REF!</v>
      </c>
      <c r="T61" s="3" t="e">
        <f t="shared" si="28"/>
        <v>#REF!</v>
      </c>
      <c r="U61" s="99" t="e">
        <f t="shared" si="29"/>
        <v>#REF!</v>
      </c>
      <c r="V61" s="3" t="e">
        <f t="shared" si="30"/>
        <v>#REF!</v>
      </c>
      <c r="W61" s="3" t="s">
        <v>18</v>
      </c>
      <c r="X61" s="12" t="s">
        <v>18</v>
      </c>
      <c r="Y61" s="10" t="s">
        <v>18</v>
      </c>
      <c r="AE61" s="10"/>
      <c r="AF61" s="10"/>
      <c r="EF61" s="3">
        <v>0.5699999999999994</v>
      </c>
    </row>
    <row r="62" spans="1:136" s="3" customFormat="1" ht="17.25" customHeight="1" x14ac:dyDescent="0.15">
      <c r="J62" s="3" t="s">
        <v>23</v>
      </c>
      <c r="K62" s="6" t="s">
        <v>23</v>
      </c>
      <c r="S62" s="3" t="e">
        <f t="shared" si="27"/>
        <v>#REF!</v>
      </c>
      <c r="T62" s="3" t="e">
        <f t="shared" si="28"/>
        <v>#REF!</v>
      </c>
      <c r="U62" s="99" t="e">
        <f t="shared" si="29"/>
        <v>#REF!</v>
      </c>
      <c r="V62" s="3" t="e">
        <f t="shared" si="30"/>
        <v>#REF!</v>
      </c>
      <c r="W62" s="3" t="s">
        <v>18</v>
      </c>
      <c r="X62" s="12" t="s">
        <v>18</v>
      </c>
      <c r="Y62" s="10" t="s">
        <v>18</v>
      </c>
      <c r="AE62" s="10"/>
      <c r="AF62" s="10"/>
      <c r="EF62" s="3">
        <v>0.38</v>
      </c>
    </row>
    <row r="63" spans="1:136" s="3" customFormat="1" ht="17.25" customHeight="1" x14ac:dyDescent="0.15">
      <c r="J63" s="3" t="s">
        <v>23</v>
      </c>
      <c r="K63" s="6" t="s">
        <v>23</v>
      </c>
      <c r="S63" s="3" t="e">
        <f t="shared" si="27"/>
        <v>#REF!</v>
      </c>
      <c r="T63" s="3" t="e">
        <f t="shared" si="28"/>
        <v>#REF!</v>
      </c>
      <c r="U63" s="99" t="e">
        <f t="shared" si="29"/>
        <v>#REF!</v>
      </c>
      <c r="V63" s="3" t="e">
        <f t="shared" si="30"/>
        <v>#REF!</v>
      </c>
      <c r="W63" s="3" t="s">
        <v>18</v>
      </c>
      <c r="X63" s="12" t="s">
        <v>18</v>
      </c>
      <c r="Y63" s="10" t="s">
        <v>18</v>
      </c>
      <c r="AE63" s="10"/>
      <c r="AF63" s="10"/>
      <c r="EF63" s="3">
        <v>0.27999999999999936</v>
      </c>
    </row>
    <row r="64" spans="1:136" s="3" customFormat="1" ht="17.25" customHeight="1" x14ac:dyDescent="0.15">
      <c r="J64" s="3" t="s">
        <v>23</v>
      </c>
      <c r="K64" s="6" t="s">
        <v>23</v>
      </c>
      <c r="S64" s="3" t="e">
        <f t="shared" si="27"/>
        <v>#REF!</v>
      </c>
      <c r="T64" s="3" t="e">
        <f t="shared" si="28"/>
        <v>#REF!</v>
      </c>
      <c r="U64" s="99" t="e">
        <f t="shared" si="29"/>
        <v>#REF!</v>
      </c>
      <c r="V64" s="3" t="e">
        <f t="shared" si="30"/>
        <v>#REF!</v>
      </c>
      <c r="W64" s="3" t="s">
        <v>18</v>
      </c>
      <c r="X64" s="12" t="s">
        <v>18</v>
      </c>
      <c r="Y64" s="10" t="s">
        <v>18</v>
      </c>
      <c r="AE64" s="10"/>
      <c r="AF64" s="10"/>
      <c r="EF64" s="3">
        <v>0.22</v>
      </c>
    </row>
    <row r="65" spans="10:136" s="3" customFormat="1" ht="17.25" customHeight="1" x14ac:dyDescent="0.15">
      <c r="J65" s="3" t="s">
        <v>23</v>
      </c>
      <c r="K65" s="6" t="s">
        <v>23</v>
      </c>
      <c r="S65" s="3" t="e">
        <f t="shared" si="27"/>
        <v>#REF!</v>
      </c>
      <c r="T65" s="3" t="e">
        <f t="shared" si="28"/>
        <v>#REF!</v>
      </c>
      <c r="U65" s="99" t="e">
        <f t="shared" si="29"/>
        <v>#REF!</v>
      </c>
      <c r="V65" s="3" t="e">
        <f t="shared" si="30"/>
        <v>#REF!</v>
      </c>
      <c r="W65" s="3" t="s">
        <v>18</v>
      </c>
      <c r="X65" s="12" t="s">
        <v>18</v>
      </c>
      <c r="Y65" s="10" t="s">
        <v>18</v>
      </c>
      <c r="AE65" s="10"/>
      <c r="AF65" s="10"/>
      <c r="EF65" s="3">
        <v>0.17</v>
      </c>
    </row>
    <row r="66" spans="10:136" s="3" customFormat="1" ht="17.25" customHeight="1" x14ac:dyDescent="0.15">
      <c r="J66" s="3" t="s">
        <v>23</v>
      </c>
      <c r="K66" s="6" t="s">
        <v>23</v>
      </c>
      <c r="S66" s="3" t="e">
        <f t="shared" si="27"/>
        <v>#REF!</v>
      </c>
      <c r="T66" s="3" t="e">
        <f t="shared" si="28"/>
        <v>#REF!</v>
      </c>
      <c r="U66" s="99" t="e">
        <f t="shared" si="29"/>
        <v>#REF!</v>
      </c>
      <c r="V66" s="3" t="e">
        <f t="shared" si="30"/>
        <v>#REF!</v>
      </c>
      <c r="W66" s="3" t="s">
        <v>18</v>
      </c>
      <c r="X66" s="12" t="s">
        <v>18</v>
      </c>
      <c r="Y66" s="10" t="s">
        <v>18</v>
      </c>
      <c r="AE66" s="10"/>
      <c r="AF66" s="10"/>
      <c r="EF66" s="3">
        <v>0.13</v>
      </c>
    </row>
    <row r="67" spans="10:136" s="3" customFormat="1" ht="17.25" customHeight="1" x14ac:dyDescent="0.15">
      <c r="J67" s="3" t="s">
        <v>23</v>
      </c>
      <c r="K67" s="6" t="s">
        <v>23</v>
      </c>
      <c r="R67" s="3" t="e">
        <f>$S66</f>
        <v>#REF!</v>
      </c>
      <c r="S67" s="3" t="e">
        <f>$T66</f>
        <v>#REF!</v>
      </c>
      <c r="T67" s="3" t="e">
        <f>$U66</f>
        <v>#REF!</v>
      </c>
      <c r="U67" s="99" t="e">
        <f>$V66</f>
        <v>#REF!</v>
      </c>
      <c r="V67" s="3" t="s">
        <v>18</v>
      </c>
      <c r="W67" s="12" t="s">
        <v>18</v>
      </c>
      <c r="X67" s="10" t="s">
        <v>18</v>
      </c>
      <c r="AD67" s="10"/>
      <c r="AE67" s="10"/>
      <c r="ED67" s="3">
        <v>9.9999999999999645E-2</v>
      </c>
    </row>
    <row r="68" spans="10:136" s="3" customFormat="1" ht="17.25" customHeight="1" x14ac:dyDescent="0.15">
      <c r="J68" s="3" t="s">
        <v>23</v>
      </c>
      <c r="K68" s="6" t="s">
        <v>23</v>
      </c>
      <c r="S68" s="3" t="e">
        <f>$R67</f>
        <v>#REF!</v>
      </c>
      <c r="T68" s="3" t="e">
        <f>$S67</f>
        <v>#REF!</v>
      </c>
      <c r="U68" s="99" t="e">
        <f>$T67</f>
        <v>#REF!</v>
      </c>
      <c r="V68" s="3" t="e">
        <f>$U67</f>
        <v>#REF!</v>
      </c>
      <c r="W68" s="3" t="s">
        <v>18</v>
      </c>
      <c r="X68" s="12" t="s">
        <v>18</v>
      </c>
      <c r="Y68" s="10" t="s">
        <v>18</v>
      </c>
      <c r="AE68" s="10"/>
      <c r="AF68" s="10"/>
    </row>
    <row r="69" spans="10:136" s="3" customFormat="1" ht="17.25" customHeight="1" x14ac:dyDescent="0.15">
      <c r="J69" s="3" t="s">
        <v>23</v>
      </c>
      <c r="K69" s="6" t="s">
        <v>23</v>
      </c>
      <c r="S69" s="3" t="e">
        <f t="shared" ref="S69:S75" si="31">$S68</f>
        <v>#REF!</v>
      </c>
      <c r="T69" s="3" t="e">
        <f t="shared" ref="T69:T75" si="32">$T68</f>
        <v>#REF!</v>
      </c>
      <c r="U69" s="99" t="e">
        <f t="shared" ref="U69:U75" si="33">$U68</f>
        <v>#REF!</v>
      </c>
      <c r="V69" s="3" t="e">
        <f t="shared" ref="V69:V75" si="34">$V68</f>
        <v>#REF!</v>
      </c>
      <c r="W69" s="3" t="s">
        <v>18</v>
      </c>
      <c r="X69" s="12" t="s">
        <v>18</v>
      </c>
      <c r="Y69" s="10" t="s">
        <v>18</v>
      </c>
      <c r="AE69" s="10"/>
      <c r="AF69" s="10"/>
    </row>
    <row r="70" spans="10:136" s="3" customFormat="1" ht="17.25" customHeight="1" x14ac:dyDescent="0.15">
      <c r="J70" s="3" t="s">
        <v>23</v>
      </c>
      <c r="K70" s="6" t="s">
        <v>23</v>
      </c>
      <c r="S70" s="3" t="e">
        <f t="shared" si="31"/>
        <v>#REF!</v>
      </c>
      <c r="T70" s="3" t="e">
        <f t="shared" si="32"/>
        <v>#REF!</v>
      </c>
      <c r="U70" s="99" t="e">
        <f t="shared" si="33"/>
        <v>#REF!</v>
      </c>
      <c r="V70" s="3" t="e">
        <f t="shared" si="34"/>
        <v>#REF!</v>
      </c>
      <c r="W70" s="3" t="s">
        <v>18</v>
      </c>
      <c r="X70" s="12" t="s">
        <v>18</v>
      </c>
      <c r="Y70" s="10" t="s">
        <v>18</v>
      </c>
      <c r="AE70" s="10"/>
      <c r="AF70" s="10"/>
    </row>
    <row r="71" spans="10:136" s="3" customFormat="1" ht="17.25" customHeight="1" x14ac:dyDescent="0.15">
      <c r="J71" s="3" t="s">
        <v>23</v>
      </c>
      <c r="K71" s="6" t="s">
        <v>23</v>
      </c>
      <c r="S71" s="3" t="e">
        <f t="shared" si="31"/>
        <v>#REF!</v>
      </c>
      <c r="T71" s="3" t="e">
        <f t="shared" si="32"/>
        <v>#REF!</v>
      </c>
      <c r="U71" s="99" t="e">
        <f t="shared" si="33"/>
        <v>#REF!</v>
      </c>
      <c r="V71" s="3" t="e">
        <f t="shared" si="34"/>
        <v>#REF!</v>
      </c>
      <c r="W71" s="3" t="s">
        <v>18</v>
      </c>
      <c r="X71" s="12" t="s">
        <v>18</v>
      </c>
      <c r="Y71" s="10" t="s">
        <v>18</v>
      </c>
      <c r="AE71" s="10"/>
      <c r="AF71" s="10"/>
    </row>
    <row r="72" spans="10:136" s="3" customFormat="1" ht="17.25" customHeight="1" x14ac:dyDescent="0.15">
      <c r="J72" s="3" t="s">
        <v>23</v>
      </c>
      <c r="K72" s="6" t="s">
        <v>23</v>
      </c>
      <c r="S72" s="3" t="e">
        <f t="shared" si="31"/>
        <v>#REF!</v>
      </c>
      <c r="T72" s="3" t="e">
        <f t="shared" si="32"/>
        <v>#REF!</v>
      </c>
      <c r="U72" s="99" t="e">
        <f t="shared" si="33"/>
        <v>#REF!</v>
      </c>
      <c r="V72" s="3" t="e">
        <f t="shared" si="34"/>
        <v>#REF!</v>
      </c>
      <c r="W72" s="3" t="s">
        <v>18</v>
      </c>
      <c r="X72" s="12" t="s">
        <v>18</v>
      </c>
      <c r="Y72" s="10" t="s">
        <v>18</v>
      </c>
      <c r="AE72" s="10"/>
      <c r="AF72" s="10"/>
    </row>
    <row r="73" spans="10:136" s="3" customFormat="1" ht="17.25" customHeight="1" x14ac:dyDescent="0.15">
      <c r="J73" s="3" t="s">
        <v>23</v>
      </c>
      <c r="K73" s="6" t="s">
        <v>23</v>
      </c>
      <c r="S73" s="3" t="e">
        <f t="shared" si="31"/>
        <v>#REF!</v>
      </c>
      <c r="T73" s="3" t="e">
        <f t="shared" si="32"/>
        <v>#REF!</v>
      </c>
      <c r="U73" s="99" t="e">
        <f t="shared" si="33"/>
        <v>#REF!</v>
      </c>
      <c r="V73" s="3" t="e">
        <f t="shared" si="34"/>
        <v>#REF!</v>
      </c>
      <c r="W73" s="3" t="s">
        <v>18</v>
      </c>
      <c r="X73" s="12" t="s">
        <v>18</v>
      </c>
      <c r="Y73" s="10" t="s">
        <v>18</v>
      </c>
      <c r="AE73" s="10"/>
      <c r="AF73" s="10"/>
    </row>
    <row r="74" spans="10:136" s="3" customFormat="1" ht="17.25" customHeight="1" x14ac:dyDescent="0.15">
      <c r="J74" s="3" t="s">
        <v>23</v>
      </c>
      <c r="S74" s="3" t="e">
        <f t="shared" si="31"/>
        <v>#REF!</v>
      </c>
      <c r="T74" s="3" t="e">
        <f t="shared" si="32"/>
        <v>#REF!</v>
      </c>
      <c r="U74" s="99" t="e">
        <f t="shared" si="33"/>
        <v>#REF!</v>
      </c>
      <c r="V74" s="3" t="e">
        <f t="shared" si="34"/>
        <v>#REF!</v>
      </c>
      <c r="W74" s="3" t="s">
        <v>18</v>
      </c>
      <c r="X74" s="12" t="s">
        <v>18</v>
      </c>
      <c r="Y74" s="10" t="s">
        <v>18</v>
      </c>
      <c r="AE74" s="10"/>
      <c r="AF74" s="10"/>
    </row>
    <row r="75" spans="10:136" s="3" customFormat="1" ht="17.25" customHeight="1" x14ac:dyDescent="0.15">
      <c r="J75" s="3" t="s">
        <v>23</v>
      </c>
      <c r="S75" s="3" t="e">
        <f t="shared" si="31"/>
        <v>#REF!</v>
      </c>
      <c r="T75" s="3" t="e">
        <f t="shared" si="32"/>
        <v>#REF!</v>
      </c>
      <c r="U75" s="99" t="e">
        <f t="shared" si="33"/>
        <v>#REF!</v>
      </c>
      <c r="V75" s="3" t="e">
        <f t="shared" si="34"/>
        <v>#REF!</v>
      </c>
      <c r="W75" s="3" t="s">
        <v>18</v>
      </c>
      <c r="X75" s="12" t="s">
        <v>18</v>
      </c>
      <c r="Y75" s="10" t="s">
        <v>18</v>
      </c>
      <c r="AE75" s="10"/>
      <c r="AF75" s="10"/>
    </row>
    <row r="76" spans="10:136" s="3" customFormat="1" ht="17.25" customHeight="1" x14ac:dyDescent="0.15">
      <c r="J76" s="3" t="s">
        <v>23</v>
      </c>
      <c r="U76" s="99"/>
      <c r="W76" s="3" t="s">
        <v>18</v>
      </c>
      <c r="X76" s="12" t="s">
        <v>18</v>
      </c>
      <c r="Y76" s="10" t="s">
        <v>18</v>
      </c>
      <c r="AE76" s="10"/>
      <c r="AF76" s="10"/>
    </row>
    <row r="77" spans="10:136" s="3" customFormat="1" ht="17.25" customHeight="1" x14ac:dyDescent="0.15">
      <c r="J77" s="3" t="s">
        <v>23</v>
      </c>
      <c r="U77" s="99"/>
      <c r="W77" s="3" t="s">
        <v>18</v>
      </c>
      <c r="X77" s="12" t="s">
        <v>18</v>
      </c>
      <c r="Y77" s="10" t="s">
        <v>18</v>
      </c>
      <c r="AE77" s="10"/>
      <c r="AF77" s="10"/>
    </row>
    <row r="78" spans="10:136" s="3" customFormat="1" ht="17.25" customHeight="1" x14ac:dyDescent="0.15">
      <c r="J78" s="3" t="s">
        <v>23</v>
      </c>
      <c r="U78" s="99"/>
      <c r="W78" s="3" t="s">
        <v>18</v>
      </c>
      <c r="X78" s="12" t="s">
        <v>18</v>
      </c>
      <c r="Y78" s="10" t="s">
        <v>18</v>
      </c>
      <c r="AE78" s="10"/>
      <c r="AF78" s="10"/>
    </row>
    <row r="79" spans="10:136" s="3" customFormat="1" ht="17.25" customHeight="1" x14ac:dyDescent="0.15">
      <c r="J79" s="3" t="s">
        <v>23</v>
      </c>
      <c r="U79" s="99"/>
      <c r="AE79" s="10"/>
      <c r="AF79" s="10"/>
    </row>
    <row r="80" spans="10:136" s="3" customFormat="1" ht="17.25" customHeight="1" x14ac:dyDescent="0.15">
      <c r="J80" s="3" t="s">
        <v>23</v>
      </c>
      <c r="U80" s="99"/>
      <c r="AE80" s="10"/>
      <c r="AF80" s="10"/>
    </row>
    <row r="81" spans="10:32" s="3" customFormat="1" ht="17.25" customHeight="1" x14ac:dyDescent="0.15">
      <c r="J81" s="3" t="s">
        <v>23</v>
      </c>
      <c r="U81" s="99"/>
      <c r="AE81" s="10"/>
      <c r="AF81" s="10"/>
    </row>
    <row r="82" spans="10:32" s="3" customFormat="1" ht="17.25" customHeight="1" x14ac:dyDescent="0.15">
      <c r="J82" s="3" t="s">
        <v>23</v>
      </c>
      <c r="U82" s="99"/>
      <c r="AE82" s="10"/>
      <c r="AF82" s="10"/>
    </row>
    <row r="83" spans="10:32" s="3" customFormat="1" ht="17.25" customHeight="1" x14ac:dyDescent="0.15">
      <c r="J83" s="3" t="s">
        <v>23</v>
      </c>
      <c r="U83" s="99"/>
      <c r="AE83" s="10"/>
      <c r="AF83" s="10"/>
    </row>
    <row r="84" spans="10:32" s="3" customFormat="1" ht="17.25" customHeight="1" x14ac:dyDescent="0.15">
      <c r="J84" s="3" t="s">
        <v>23</v>
      </c>
      <c r="U84" s="99"/>
      <c r="AE84" s="10"/>
      <c r="AF84" s="10"/>
    </row>
    <row r="85" spans="10:32" s="3" customFormat="1" ht="17.25" customHeight="1" x14ac:dyDescent="0.15">
      <c r="J85" s="3" t="s">
        <v>23</v>
      </c>
      <c r="U85" s="99"/>
      <c r="AE85" s="10"/>
      <c r="AF85" s="10"/>
    </row>
    <row r="86" spans="10:32" s="3" customFormat="1" ht="17.25" customHeight="1" x14ac:dyDescent="0.15">
      <c r="J86" s="3" t="s">
        <v>23</v>
      </c>
      <c r="U86" s="99"/>
      <c r="AE86" s="10"/>
      <c r="AF86" s="10"/>
    </row>
    <row r="87" spans="10:32" s="3" customFormat="1" ht="17.25" customHeight="1" x14ac:dyDescent="0.15">
      <c r="U87" s="99"/>
      <c r="AE87" s="10"/>
      <c r="AF87" s="10"/>
    </row>
    <row r="88" spans="10:32" s="3" customFormat="1" ht="17.25" customHeight="1" x14ac:dyDescent="0.15">
      <c r="U88" s="99"/>
      <c r="AE88" s="10"/>
      <c r="AF88" s="10"/>
    </row>
    <row r="89" spans="10:32" s="3" customFormat="1" ht="17.25" customHeight="1" x14ac:dyDescent="0.15">
      <c r="U89" s="99"/>
      <c r="AE89" s="10"/>
      <c r="AF89" s="10"/>
    </row>
    <row r="90" spans="10:32" s="3" customFormat="1" ht="17.25" customHeight="1" x14ac:dyDescent="0.15">
      <c r="U90" s="99"/>
      <c r="AE90" s="10"/>
      <c r="AF90" s="10"/>
    </row>
    <row r="91" spans="10:32" s="3" customFormat="1" ht="17.25" customHeight="1" x14ac:dyDescent="0.15">
      <c r="U91" s="99"/>
      <c r="AE91" s="10"/>
      <c r="AF91" s="10"/>
    </row>
    <row r="92" spans="10:32" s="3" customFormat="1" ht="17.25" customHeight="1" x14ac:dyDescent="0.15">
      <c r="U92" s="99"/>
      <c r="AE92" s="10"/>
      <c r="AF92" s="10"/>
    </row>
    <row r="93" spans="10:32" s="3" customFormat="1" ht="17.25" customHeight="1" x14ac:dyDescent="0.15">
      <c r="U93" s="99"/>
      <c r="AE93" s="10"/>
      <c r="AF93" s="10"/>
    </row>
    <row r="94" spans="10:32" s="3" customFormat="1" ht="17.25" customHeight="1" x14ac:dyDescent="0.15">
      <c r="U94" s="99"/>
      <c r="AE94" s="10"/>
      <c r="AF94" s="10"/>
    </row>
    <row r="95" spans="10:32" s="3" customFormat="1" ht="17.25" customHeight="1" x14ac:dyDescent="0.15">
      <c r="U95" s="99"/>
      <c r="AE95" s="10"/>
      <c r="AF95" s="10"/>
    </row>
    <row r="96" spans="10:32" s="3" customFormat="1" ht="17.25" customHeight="1" x14ac:dyDescent="0.15">
      <c r="U96" s="99"/>
      <c r="AE96" s="10"/>
      <c r="AF96" s="10"/>
    </row>
    <row r="97" spans="21:32" s="3" customFormat="1" ht="17.25" customHeight="1" x14ac:dyDescent="0.15">
      <c r="U97" s="99"/>
      <c r="AE97" s="10"/>
      <c r="AF97" s="10"/>
    </row>
    <row r="98" spans="21:32" s="3" customFormat="1" ht="17.25" customHeight="1" x14ac:dyDescent="0.15">
      <c r="U98" s="99"/>
      <c r="AE98" s="10"/>
      <c r="AF98" s="10"/>
    </row>
    <row r="99" spans="21:32" s="3" customFormat="1" ht="17.25" customHeight="1" x14ac:dyDescent="0.15">
      <c r="U99" s="99"/>
      <c r="AE99" s="10"/>
      <c r="AF99" s="10"/>
    </row>
    <row r="100" spans="21:32" s="3" customFormat="1" ht="17.25" customHeight="1" x14ac:dyDescent="0.15">
      <c r="U100" s="99"/>
      <c r="AE100" s="10"/>
      <c r="AF100" s="10"/>
    </row>
    <row r="101" spans="21:32" s="3" customFormat="1" ht="17.25" customHeight="1" x14ac:dyDescent="0.15">
      <c r="U101" s="99"/>
      <c r="AE101" s="10"/>
      <c r="AF101" s="10"/>
    </row>
    <row r="102" spans="21:32" s="3" customFormat="1" ht="17.25" customHeight="1" x14ac:dyDescent="0.15">
      <c r="U102" s="99"/>
      <c r="AE102" s="10"/>
      <c r="AF102" s="10"/>
    </row>
    <row r="103" spans="21:32" s="3" customFormat="1" ht="17.25" customHeight="1" x14ac:dyDescent="0.15">
      <c r="U103" s="99"/>
      <c r="AE103" s="10"/>
      <c r="AF103" s="10"/>
    </row>
    <row r="104" spans="21:32" s="3" customFormat="1" ht="17.25" customHeight="1" x14ac:dyDescent="0.15">
      <c r="U104" s="99"/>
      <c r="AE104" s="10"/>
      <c r="AF104" s="10"/>
    </row>
    <row r="105" spans="21:32" s="3" customFormat="1" ht="17.25" customHeight="1" x14ac:dyDescent="0.15">
      <c r="U105" s="99"/>
      <c r="AE105" s="10"/>
      <c r="AF105" s="10"/>
    </row>
    <row r="106" spans="21:32" s="3" customFormat="1" ht="17.25" customHeight="1" x14ac:dyDescent="0.15">
      <c r="U106" s="99"/>
      <c r="AE106" s="10"/>
      <c r="AF106" s="10"/>
    </row>
    <row r="107" spans="21:32" s="3" customFormat="1" ht="17.25" customHeight="1" x14ac:dyDescent="0.15">
      <c r="U107" s="99"/>
      <c r="AE107" s="10"/>
      <c r="AF107" s="10"/>
    </row>
    <row r="108" spans="21:32" s="3" customFormat="1" ht="17.25" customHeight="1" x14ac:dyDescent="0.15">
      <c r="U108" s="99"/>
      <c r="AE108" s="10"/>
      <c r="AF108" s="10"/>
    </row>
    <row r="109" spans="21:32" s="3" customFormat="1" ht="17.25" customHeight="1" x14ac:dyDescent="0.15">
      <c r="U109" s="99"/>
      <c r="AE109" s="10"/>
      <c r="AF109" s="10"/>
    </row>
    <row r="110" spans="21:32" s="3" customFormat="1" ht="17.25" customHeight="1" x14ac:dyDescent="0.15">
      <c r="U110" s="99"/>
      <c r="AE110" s="10"/>
      <c r="AF110" s="10"/>
    </row>
    <row r="111" spans="21:32" s="3" customFormat="1" ht="17.25" customHeight="1" x14ac:dyDescent="0.15">
      <c r="U111" s="99"/>
      <c r="AE111" s="10"/>
      <c r="AF111" s="10"/>
    </row>
    <row r="112" spans="21:32" s="3" customFormat="1" ht="17.25" customHeight="1" x14ac:dyDescent="0.15">
      <c r="U112" s="99"/>
      <c r="AE112" s="10"/>
      <c r="AF112" s="10"/>
    </row>
    <row r="113" spans="21:32" s="3" customFormat="1" ht="17.25" customHeight="1" x14ac:dyDescent="0.15">
      <c r="U113" s="99"/>
      <c r="AE113" s="10"/>
      <c r="AF113" s="10"/>
    </row>
    <row r="114" spans="21:32" s="3" customFormat="1" ht="17.25" customHeight="1" x14ac:dyDescent="0.15">
      <c r="U114" s="99"/>
      <c r="AE114" s="10"/>
      <c r="AF114" s="10"/>
    </row>
    <row r="115" spans="21:32" s="3" customFormat="1" ht="17.25" customHeight="1" x14ac:dyDescent="0.15">
      <c r="U115" s="99"/>
      <c r="AE115" s="10"/>
      <c r="AF115" s="10"/>
    </row>
    <row r="116" spans="21:32" s="3" customFormat="1" ht="17.25" customHeight="1" x14ac:dyDescent="0.15">
      <c r="U116" s="99"/>
      <c r="AE116" s="10"/>
      <c r="AF116" s="10"/>
    </row>
    <row r="117" spans="21:32" s="3" customFormat="1" ht="17.25" customHeight="1" x14ac:dyDescent="0.15">
      <c r="U117" s="99"/>
      <c r="AE117" s="10"/>
      <c r="AF117" s="10"/>
    </row>
    <row r="118" spans="21:32" s="3" customFormat="1" ht="17.25" customHeight="1" x14ac:dyDescent="0.15">
      <c r="U118" s="99"/>
      <c r="AE118" s="10"/>
      <c r="AF118" s="10"/>
    </row>
    <row r="119" spans="21:32" s="3" customFormat="1" ht="17.25" customHeight="1" x14ac:dyDescent="0.15">
      <c r="U119" s="99"/>
      <c r="AE119" s="10"/>
      <c r="AF119" s="10"/>
    </row>
    <row r="120" spans="21:32" s="3" customFormat="1" ht="17.25" customHeight="1" x14ac:dyDescent="0.15">
      <c r="U120" s="99"/>
      <c r="AE120" s="10"/>
      <c r="AF120" s="10"/>
    </row>
    <row r="121" spans="21:32" s="3" customFormat="1" ht="17.25" customHeight="1" x14ac:dyDescent="0.15">
      <c r="U121" s="99"/>
      <c r="AE121" s="10"/>
      <c r="AF121" s="10"/>
    </row>
    <row r="122" spans="21:32" s="3" customFormat="1" ht="17.25" customHeight="1" x14ac:dyDescent="0.15">
      <c r="U122" s="99"/>
      <c r="AE122" s="10"/>
      <c r="AF122" s="10"/>
    </row>
    <row r="123" spans="21:32" s="3" customFormat="1" ht="17.25" customHeight="1" x14ac:dyDescent="0.15">
      <c r="U123" s="99"/>
      <c r="AE123" s="10"/>
      <c r="AF123" s="10"/>
    </row>
    <row r="124" spans="21:32" s="3" customFormat="1" ht="17.25" customHeight="1" x14ac:dyDescent="0.15">
      <c r="U124" s="99"/>
      <c r="AE124" s="10"/>
      <c r="AF124" s="10"/>
    </row>
    <row r="125" spans="21:32" s="3" customFormat="1" ht="17.25" customHeight="1" x14ac:dyDescent="0.15">
      <c r="U125" s="99"/>
      <c r="AE125" s="10"/>
      <c r="AF125" s="10"/>
    </row>
    <row r="126" spans="21:32" s="3" customFormat="1" ht="17.25" customHeight="1" x14ac:dyDescent="0.15">
      <c r="U126" s="99"/>
      <c r="AE126" s="10"/>
      <c r="AF126" s="10"/>
    </row>
    <row r="127" spans="21:32" s="3" customFormat="1" ht="17.25" customHeight="1" x14ac:dyDescent="0.15">
      <c r="U127" s="99"/>
      <c r="AE127" s="10"/>
      <c r="AF127" s="10"/>
    </row>
    <row r="128" spans="21:32" s="3" customFormat="1" ht="17.25" customHeight="1" x14ac:dyDescent="0.15">
      <c r="U128" s="99"/>
      <c r="AE128" s="10"/>
      <c r="AF128" s="10"/>
    </row>
    <row r="129" spans="21:32" s="3" customFormat="1" ht="17.25" customHeight="1" x14ac:dyDescent="0.15">
      <c r="U129" s="99"/>
      <c r="AE129" s="10"/>
      <c r="AF129" s="10"/>
    </row>
    <row r="130" spans="21:32" s="3" customFormat="1" ht="17.25" customHeight="1" x14ac:dyDescent="0.15">
      <c r="U130" s="99"/>
      <c r="AE130" s="10"/>
      <c r="AF130" s="10"/>
    </row>
    <row r="131" spans="21:32" s="3" customFormat="1" ht="17.25" customHeight="1" x14ac:dyDescent="0.15">
      <c r="U131" s="99"/>
      <c r="AE131" s="10"/>
      <c r="AF131" s="10"/>
    </row>
    <row r="132" spans="21:32" s="3" customFormat="1" ht="17.25" customHeight="1" x14ac:dyDescent="0.15">
      <c r="U132" s="99"/>
      <c r="AE132" s="10"/>
      <c r="AF132" s="10"/>
    </row>
    <row r="133" spans="21:32" s="3" customFormat="1" ht="17.25" customHeight="1" x14ac:dyDescent="0.15">
      <c r="U133" s="99"/>
      <c r="AE133" s="10"/>
      <c r="AF133" s="10"/>
    </row>
    <row r="134" spans="21:32" s="3" customFormat="1" ht="17.25" customHeight="1" x14ac:dyDescent="0.15">
      <c r="U134" s="99"/>
      <c r="AE134" s="10"/>
      <c r="AF134" s="10"/>
    </row>
    <row r="135" spans="21:32" s="3" customFormat="1" ht="17.25" customHeight="1" x14ac:dyDescent="0.15">
      <c r="U135" s="99"/>
      <c r="AE135" s="10"/>
      <c r="AF135" s="10"/>
    </row>
    <row r="136" spans="21:32" s="3" customFormat="1" ht="17.25" customHeight="1" x14ac:dyDescent="0.15">
      <c r="U136" s="99"/>
      <c r="AE136" s="10"/>
      <c r="AF136" s="10"/>
    </row>
    <row r="137" spans="21:32" s="3" customFormat="1" ht="17.25" customHeight="1" x14ac:dyDescent="0.15">
      <c r="U137" s="99"/>
      <c r="AE137" s="10"/>
      <c r="AF137" s="10"/>
    </row>
    <row r="138" spans="21:32" s="3" customFormat="1" ht="17.25" customHeight="1" x14ac:dyDescent="0.15">
      <c r="U138" s="99"/>
      <c r="AE138" s="10"/>
      <c r="AF138" s="10"/>
    </row>
    <row r="139" spans="21:32" s="3" customFormat="1" ht="17.25" customHeight="1" x14ac:dyDescent="0.15">
      <c r="U139" s="99"/>
      <c r="AE139" s="10"/>
      <c r="AF139" s="10"/>
    </row>
    <row r="140" spans="21:32" s="3" customFormat="1" ht="17.25" customHeight="1" x14ac:dyDescent="0.15">
      <c r="U140" s="99"/>
      <c r="AE140" s="10"/>
      <c r="AF140" s="10"/>
    </row>
    <row r="141" spans="21:32" s="3" customFormat="1" ht="17.25" customHeight="1" x14ac:dyDescent="0.15">
      <c r="U141" s="99"/>
      <c r="AE141" s="10"/>
      <c r="AF141" s="10"/>
    </row>
    <row r="142" spans="21:32" s="3" customFormat="1" ht="17.25" customHeight="1" x14ac:dyDescent="0.15">
      <c r="U142" s="99"/>
      <c r="AE142" s="10"/>
      <c r="AF142" s="10"/>
    </row>
    <row r="143" spans="21:32" s="3" customFormat="1" ht="17.25" customHeight="1" x14ac:dyDescent="0.15">
      <c r="U143" s="99"/>
      <c r="AE143" s="10"/>
      <c r="AF143" s="10"/>
    </row>
    <row r="144" spans="21:32" s="3" customFormat="1" ht="17.25" customHeight="1" x14ac:dyDescent="0.15">
      <c r="U144" s="99"/>
      <c r="AE144" s="10"/>
      <c r="AF144" s="10"/>
    </row>
    <row r="145" spans="21:32" s="3" customFormat="1" ht="17.25" customHeight="1" x14ac:dyDescent="0.15">
      <c r="U145" s="99"/>
      <c r="AE145" s="10"/>
      <c r="AF145" s="10"/>
    </row>
    <row r="146" spans="21:32" s="3" customFormat="1" ht="17.25" customHeight="1" x14ac:dyDescent="0.15">
      <c r="U146" s="99"/>
      <c r="AE146" s="10"/>
      <c r="AF146" s="10"/>
    </row>
    <row r="147" spans="21:32" s="3" customFormat="1" ht="17.25" customHeight="1" x14ac:dyDescent="0.15">
      <c r="U147" s="99"/>
      <c r="AE147" s="10"/>
      <c r="AF147" s="10"/>
    </row>
    <row r="148" spans="21:32" s="3" customFormat="1" ht="17.25" customHeight="1" x14ac:dyDescent="0.15">
      <c r="U148" s="99"/>
      <c r="AE148" s="10"/>
      <c r="AF148" s="10"/>
    </row>
    <row r="149" spans="21:32" s="3" customFormat="1" ht="17.25" customHeight="1" x14ac:dyDescent="0.15">
      <c r="U149" s="99"/>
      <c r="AE149" s="10"/>
      <c r="AF149" s="10"/>
    </row>
    <row r="150" spans="21:32" s="3" customFormat="1" ht="17.25" customHeight="1" x14ac:dyDescent="0.15">
      <c r="U150" s="99"/>
      <c r="AE150" s="10"/>
      <c r="AF150" s="10"/>
    </row>
    <row r="151" spans="21:32" s="3" customFormat="1" ht="17.25" customHeight="1" x14ac:dyDescent="0.15">
      <c r="U151" s="99"/>
      <c r="AE151" s="10"/>
      <c r="AF151" s="10"/>
    </row>
    <row r="152" spans="21:32" s="3" customFormat="1" ht="17.25" customHeight="1" x14ac:dyDescent="0.15">
      <c r="U152" s="99"/>
      <c r="AE152" s="10"/>
      <c r="AF152" s="10"/>
    </row>
    <row r="153" spans="21:32" s="3" customFormat="1" ht="17.25" customHeight="1" x14ac:dyDescent="0.15">
      <c r="U153" s="99"/>
      <c r="AE153" s="10"/>
      <c r="AF153" s="10"/>
    </row>
    <row r="154" spans="21:32" s="3" customFormat="1" ht="17.25" customHeight="1" x14ac:dyDescent="0.15">
      <c r="U154" s="99"/>
      <c r="AE154" s="10"/>
      <c r="AF154" s="10"/>
    </row>
    <row r="155" spans="21:32" s="3" customFormat="1" ht="17.25" customHeight="1" x14ac:dyDescent="0.15">
      <c r="U155" s="99"/>
      <c r="AE155" s="10"/>
      <c r="AF155" s="10"/>
    </row>
    <row r="156" spans="21:32" s="3" customFormat="1" ht="17.25" customHeight="1" x14ac:dyDescent="0.15">
      <c r="U156" s="99"/>
      <c r="AE156" s="10"/>
      <c r="AF156" s="10"/>
    </row>
    <row r="157" spans="21:32" s="3" customFormat="1" ht="17.25" customHeight="1" x14ac:dyDescent="0.15">
      <c r="U157" s="99"/>
      <c r="AE157" s="10"/>
      <c r="AF157" s="10"/>
    </row>
    <row r="158" spans="21:32" s="3" customFormat="1" ht="17.25" customHeight="1" x14ac:dyDescent="0.15">
      <c r="U158" s="99"/>
      <c r="AE158" s="10"/>
      <c r="AF158" s="10"/>
    </row>
    <row r="159" spans="21:32" s="3" customFormat="1" ht="17.25" customHeight="1" x14ac:dyDescent="0.15">
      <c r="U159" s="99"/>
      <c r="AE159" s="10"/>
      <c r="AF159" s="10"/>
    </row>
    <row r="160" spans="21:32" s="3" customFormat="1" ht="17.25" customHeight="1" x14ac:dyDescent="0.15">
      <c r="U160" s="99"/>
      <c r="AE160" s="10"/>
      <c r="AF160" s="10"/>
    </row>
    <row r="161" spans="21:32" s="3" customFormat="1" ht="17.25" customHeight="1" x14ac:dyDescent="0.15">
      <c r="U161" s="99"/>
      <c r="AE161" s="10"/>
      <c r="AF161" s="10"/>
    </row>
    <row r="162" spans="21:32" s="3" customFormat="1" ht="17.25" customHeight="1" x14ac:dyDescent="0.15">
      <c r="U162" s="99"/>
      <c r="AE162" s="10"/>
      <c r="AF162" s="10"/>
    </row>
    <row r="163" spans="21:32" s="3" customFormat="1" ht="17.25" customHeight="1" x14ac:dyDescent="0.15">
      <c r="U163" s="99"/>
      <c r="AE163" s="10"/>
      <c r="AF163" s="10"/>
    </row>
    <row r="164" spans="21:32" s="3" customFormat="1" ht="17.25" customHeight="1" x14ac:dyDescent="0.15">
      <c r="U164" s="99"/>
      <c r="AE164" s="10"/>
      <c r="AF164" s="10"/>
    </row>
    <row r="165" spans="21:32" s="3" customFormat="1" ht="17.25" customHeight="1" x14ac:dyDescent="0.15">
      <c r="U165" s="99"/>
      <c r="AE165" s="10"/>
      <c r="AF165" s="10"/>
    </row>
    <row r="166" spans="21:32" s="3" customFormat="1" ht="17.25" customHeight="1" x14ac:dyDescent="0.15">
      <c r="U166" s="99"/>
      <c r="AE166" s="10"/>
      <c r="AF166" s="10"/>
    </row>
    <row r="167" spans="21:32" s="3" customFormat="1" ht="17.25" customHeight="1" x14ac:dyDescent="0.15">
      <c r="U167" s="99"/>
      <c r="AE167" s="10"/>
      <c r="AF167" s="10"/>
    </row>
    <row r="168" spans="21:32" s="3" customFormat="1" ht="17.25" customHeight="1" x14ac:dyDescent="0.15">
      <c r="U168" s="99"/>
      <c r="AE168" s="10"/>
      <c r="AF168" s="10"/>
    </row>
    <row r="169" spans="21:32" s="3" customFormat="1" ht="17.25" customHeight="1" x14ac:dyDescent="0.15">
      <c r="U169" s="99"/>
      <c r="AE169" s="10"/>
      <c r="AF169" s="10"/>
    </row>
    <row r="170" spans="21:32" s="3" customFormat="1" ht="17.25" customHeight="1" x14ac:dyDescent="0.15">
      <c r="U170" s="99"/>
      <c r="AE170" s="10"/>
      <c r="AF170" s="10"/>
    </row>
    <row r="171" spans="21:32" s="3" customFormat="1" ht="17.25" customHeight="1" x14ac:dyDescent="0.15">
      <c r="U171" s="99"/>
      <c r="AE171" s="10"/>
      <c r="AF171" s="10"/>
    </row>
    <row r="172" spans="21:32" s="3" customFormat="1" ht="17.25" customHeight="1" x14ac:dyDescent="0.15">
      <c r="U172" s="99"/>
      <c r="AE172" s="10"/>
      <c r="AF172" s="10"/>
    </row>
    <row r="173" spans="21:32" s="3" customFormat="1" ht="17.25" customHeight="1" x14ac:dyDescent="0.15">
      <c r="U173" s="99"/>
      <c r="AE173" s="10"/>
      <c r="AF173" s="10"/>
    </row>
    <row r="174" spans="21:32" s="3" customFormat="1" ht="17.25" customHeight="1" x14ac:dyDescent="0.15">
      <c r="U174" s="99"/>
      <c r="AE174" s="10"/>
      <c r="AF174" s="10"/>
    </row>
    <row r="175" spans="21:32" s="3" customFormat="1" ht="17.25" customHeight="1" x14ac:dyDescent="0.15">
      <c r="U175" s="99"/>
      <c r="AE175" s="10"/>
      <c r="AF175" s="10"/>
    </row>
    <row r="176" spans="21:32" s="3" customFormat="1" ht="17.25" customHeight="1" x14ac:dyDescent="0.15">
      <c r="U176" s="99"/>
      <c r="AE176" s="10"/>
      <c r="AF176" s="10"/>
    </row>
    <row r="177" spans="21:32" s="3" customFormat="1" ht="17.25" customHeight="1" x14ac:dyDescent="0.15">
      <c r="U177" s="99"/>
      <c r="AE177" s="10"/>
      <c r="AF177" s="10"/>
    </row>
    <row r="178" spans="21:32" s="3" customFormat="1" ht="17.25" customHeight="1" x14ac:dyDescent="0.15">
      <c r="U178" s="99"/>
      <c r="AE178" s="10"/>
      <c r="AF178" s="10"/>
    </row>
    <row r="179" spans="21:32" s="3" customFormat="1" ht="17.25" customHeight="1" x14ac:dyDescent="0.15">
      <c r="U179" s="99"/>
      <c r="AE179" s="10"/>
      <c r="AF179" s="10"/>
    </row>
    <row r="180" spans="21:32" s="3" customFormat="1" ht="17.25" customHeight="1" x14ac:dyDescent="0.15">
      <c r="U180" s="99"/>
      <c r="AE180" s="10"/>
      <c r="AF180" s="10"/>
    </row>
    <row r="181" spans="21:32" s="3" customFormat="1" ht="17.25" customHeight="1" x14ac:dyDescent="0.15">
      <c r="U181" s="99"/>
      <c r="AE181" s="10"/>
      <c r="AF181" s="10"/>
    </row>
    <row r="182" spans="21:32" s="3" customFormat="1" ht="17.25" customHeight="1" x14ac:dyDescent="0.15">
      <c r="U182" s="99"/>
      <c r="AE182" s="10"/>
      <c r="AF182" s="10"/>
    </row>
    <row r="183" spans="21:32" s="3" customFormat="1" ht="17.25" customHeight="1" x14ac:dyDescent="0.15">
      <c r="U183" s="99"/>
      <c r="AE183" s="10"/>
      <c r="AF183" s="10"/>
    </row>
    <row r="184" spans="21:32" s="3" customFormat="1" ht="17.25" customHeight="1" x14ac:dyDescent="0.15">
      <c r="U184" s="99"/>
      <c r="AE184" s="10"/>
      <c r="AF184" s="10"/>
    </row>
    <row r="185" spans="21:32" s="3" customFormat="1" ht="17.25" customHeight="1" x14ac:dyDescent="0.15">
      <c r="U185" s="99"/>
      <c r="AE185" s="10"/>
      <c r="AF185" s="10"/>
    </row>
    <row r="186" spans="21:32" s="3" customFormat="1" ht="17.25" customHeight="1" x14ac:dyDescent="0.15">
      <c r="U186" s="99"/>
      <c r="AE186" s="10"/>
      <c r="AF186" s="10"/>
    </row>
    <row r="187" spans="21:32" s="3" customFormat="1" ht="17.25" customHeight="1" x14ac:dyDescent="0.15">
      <c r="U187" s="99"/>
      <c r="AE187" s="10"/>
      <c r="AF187" s="10"/>
    </row>
    <row r="188" spans="21:32" s="3" customFormat="1" ht="17.25" customHeight="1" x14ac:dyDescent="0.15">
      <c r="U188" s="99"/>
      <c r="AE188" s="10"/>
      <c r="AF188" s="10"/>
    </row>
    <row r="189" spans="21:32" s="3" customFormat="1" ht="17.25" customHeight="1" x14ac:dyDescent="0.15">
      <c r="U189" s="99"/>
      <c r="AE189" s="10"/>
      <c r="AF189" s="10"/>
    </row>
    <row r="190" spans="21:32" s="3" customFormat="1" ht="17.25" customHeight="1" x14ac:dyDescent="0.15">
      <c r="U190" s="99"/>
      <c r="AE190" s="10"/>
      <c r="AF190" s="10"/>
    </row>
    <row r="191" spans="21:32" s="3" customFormat="1" ht="17.25" customHeight="1" x14ac:dyDescent="0.15">
      <c r="U191" s="99"/>
      <c r="AE191" s="10"/>
      <c r="AF191" s="10"/>
    </row>
    <row r="192" spans="21:32" s="3" customFormat="1" ht="17.25" customHeight="1" x14ac:dyDescent="0.15">
      <c r="U192" s="99"/>
      <c r="AE192" s="10"/>
      <c r="AF192" s="10"/>
    </row>
    <row r="193" spans="21:32" s="3" customFormat="1" ht="17.25" customHeight="1" x14ac:dyDescent="0.15">
      <c r="U193" s="99"/>
      <c r="AE193" s="10"/>
      <c r="AF193" s="10"/>
    </row>
    <row r="194" spans="21:32" s="3" customFormat="1" ht="17.25" customHeight="1" x14ac:dyDescent="0.15">
      <c r="U194" s="99"/>
      <c r="AE194" s="10"/>
      <c r="AF194" s="10"/>
    </row>
    <row r="195" spans="21:32" s="3" customFormat="1" ht="17.25" customHeight="1" x14ac:dyDescent="0.15">
      <c r="U195" s="99"/>
      <c r="AE195" s="10"/>
      <c r="AF195" s="10"/>
    </row>
    <row r="196" spans="21:32" s="3" customFormat="1" ht="17.25" customHeight="1" x14ac:dyDescent="0.15">
      <c r="U196" s="99"/>
      <c r="AE196" s="10"/>
      <c r="AF196" s="10"/>
    </row>
    <row r="197" spans="21:32" s="3" customFormat="1" ht="17.25" customHeight="1" x14ac:dyDescent="0.15">
      <c r="U197" s="99"/>
      <c r="AE197" s="10"/>
      <c r="AF197" s="10"/>
    </row>
    <row r="198" spans="21:32" s="3" customFormat="1" ht="17.25" customHeight="1" x14ac:dyDescent="0.15">
      <c r="U198" s="99"/>
      <c r="AE198" s="10"/>
      <c r="AF198" s="10"/>
    </row>
    <row r="199" spans="21:32" s="3" customFormat="1" ht="17.25" customHeight="1" x14ac:dyDescent="0.15">
      <c r="U199" s="99"/>
      <c r="AE199" s="10"/>
      <c r="AF199" s="10"/>
    </row>
    <row r="200" spans="21:32" s="3" customFormat="1" ht="17.25" customHeight="1" x14ac:dyDescent="0.15">
      <c r="U200" s="99"/>
      <c r="AE200" s="10"/>
      <c r="AF200" s="10"/>
    </row>
    <row r="201" spans="21:32" s="3" customFormat="1" ht="17.25" customHeight="1" x14ac:dyDescent="0.15">
      <c r="U201" s="99"/>
      <c r="AE201" s="10"/>
      <c r="AF201" s="10"/>
    </row>
    <row r="202" spans="21:32" s="3" customFormat="1" ht="17.25" customHeight="1" x14ac:dyDescent="0.15">
      <c r="U202" s="99"/>
      <c r="AE202" s="10"/>
      <c r="AF202" s="10"/>
    </row>
    <row r="203" spans="21:32" s="3" customFormat="1" ht="17.25" customHeight="1" x14ac:dyDescent="0.15">
      <c r="U203" s="99"/>
      <c r="AE203" s="10"/>
      <c r="AF203" s="10"/>
    </row>
    <row r="204" spans="21:32" s="3" customFormat="1" ht="17.25" customHeight="1" x14ac:dyDescent="0.15">
      <c r="U204" s="99"/>
      <c r="AE204" s="10"/>
      <c r="AF204" s="10"/>
    </row>
    <row r="205" spans="21:32" s="3" customFormat="1" ht="17.25" customHeight="1" x14ac:dyDescent="0.15">
      <c r="U205" s="99"/>
      <c r="AE205" s="10"/>
      <c r="AF205" s="10"/>
    </row>
    <row r="206" spans="21:32" s="3" customFormat="1" ht="17.25" customHeight="1" x14ac:dyDescent="0.15">
      <c r="U206" s="99"/>
      <c r="AE206" s="10"/>
      <c r="AF206" s="10"/>
    </row>
    <row r="207" spans="21:32" s="3" customFormat="1" ht="17.25" customHeight="1" x14ac:dyDescent="0.15">
      <c r="U207" s="99"/>
      <c r="AE207" s="10"/>
      <c r="AF207" s="10"/>
    </row>
    <row r="208" spans="21:32" s="3" customFormat="1" ht="17.25" customHeight="1" x14ac:dyDescent="0.15">
      <c r="U208" s="99"/>
      <c r="AE208" s="10"/>
      <c r="AF208" s="10"/>
    </row>
    <row r="209" spans="21:32" s="3" customFormat="1" ht="17.25" customHeight="1" x14ac:dyDescent="0.15">
      <c r="U209" s="99"/>
      <c r="AE209" s="10"/>
      <c r="AF209" s="10"/>
    </row>
    <row r="210" spans="21:32" s="3" customFormat="1" ht="17.25" customHeight="1" x14ac:dyDescent="0.15">
      <c r="U210" s="99"/>
      <c r="AE210" s="10"/>
      <c r="AF210" s="10"/>
    </row>
    <row r="211" spans="21:32" s="3" customFormat="1" ht="17.25" customHeight="1" x14ac:dyDescent="0.15">
      <c r="U211" s="99"/>
      <c r="AE211" s="10"/>
      <c r="AF211" s="10"/>
    </row>
    <row r="212" spans="21:32" s="3" customFormat="1" ht="17.25" customHeight="1" x14ac:dyDescent="0.15">
      <c r="U212" s="99"/>
      <c r="AE212" s="10"/>
      <c r="AF212" s="10"/>
    </row>
    <row r="213" spans="21:32" s="3" customFormat="1" ht="17.25" customHeight="1" x14ac:dyDescent="0.15">
      <c r="U213" s="99"/>
      <c r="AE213" s="10"/>
      <c r="AF213" s="10"/>
    </row>
    <row r="214" spans="21:32" s="3" customFormat="1" ht="17.25" customHeight="1" x14ac:dyDescent="0.15">
      <c r="U214" s="99"/>
      <c r="AE214" s="10"/>
      <c r="AF214" s="10"/>
    </row>
    <row r="215" spans="21:32" s="3" customFormat="1" ht="17.25" customHeight="1" x14ac:dyDescent="0.15">
      <c r="U215" s="99"/>
      <c r="AE215" s="10"/>
      <c r="AF215" s="10"/>
    </row>
    <row r="216" spans="21:32" s="3" customFormat="1" ht="17.25" customHeight="1" x14ac:dyDescent="0.15">
      <c r="U216" s="99"/>
      <c r="AE216" s="10"/>
      <c r="AF216" s="10"/>
    </row>
    <row r="217" spans="21:32" s="3" customFormat="1" ht="17.25" customHeight="1" x14ac:dyDescent="0.15">
      <c r="U217" s="99"/>
      <c r="AE217" s="10"/>
      <c r="AF217" s="10"/>
    </row>
    <row r="218" spans="21:32" s="3" customFormat="1" ht="17.25" customHeight="1" x14ac:dyDescent="0.15">
      <c r="U218" s="99"/>
      <c r="AE218" s="10"/>
      <c r="AF218" s="10"/>
    </row>
    <row r="219" spans="21:32" s="3" customFormat="1" ht="17.25" customHeight="1" x14ac:dyDescent="0.15">
      <c r="U219" s="99"/>
      <c r="AE219" s="10"/>
      <c r="AF219" s="10"/>
    </row>
    <row r="220" spans="21:32" s="3" customFormat="1" ht="17.25" customHeight="1" x14ac:dyDescent="0.15">
      <c r="U220" s="99"/>
      <c r="AE220" s="10"/>
      <c r="AF220" s="10"/>
    </row>
    <row r="221" spans="21:32" s="3" customFormat="1" ht="17.25" customHeight="1" x14ac:dyDescent="0.15">
      <c r="U221" s="99"/>
      <c r="AE221" s="10"/>
      <c r="AF221" s="10"/>
    </row>
    <row r="222" spans="21:32" s="3" customFormat="1" ht="17.25" customHeight="1" x14ac:dyDescent="0.15">
      <c r="U222" s="99"/>
      <c r="AE222" s="10"/>
      <c r="AF222" s="10"/>
    </row>
    <row r="223" spans="21:32" s="3" customFormat="1" ht="17.25" customHeight="1" x14ac:dyDescent="0.15">
      <c r="U223" s="99"/>
      <c r="AE223" s="10"/>
      <c r="AF223" s="10"/>
    </row>
    <row r="224" spans="21:32" s="3" customFormat="1" ht="17.25" customHeight="1" x14ac:dyDescent="0.15">
      <c r="U224" s="99"/>
      <c r="AE224" s="10"/>
      <c r="AF224" s="10"/>
    </row>
    <row r="225" spans="21:32" s="3" customFormat="1" ht="17.25" customHeight="1" x14ac:dyDescent="0.15">
      <c r="U225" s="99"/>
      <c r="AE225" s="10"/>
      <c r="AF225" s="10"/>
    </row>
    <row r="226" spans="21:32" s="3" customFormat="1" ht="17.25" customHeight="1" x14ac:dyDescent="0.15">
      <c r="U226" s="99"/>
      <c r="AE226" s="10"/>
      <c r="AF226" s="10"/>
    </row>
    <row r="227" spans="21:32" s="3" customFormat="1" ht="17.25" customHeight="1" x14ac:dyDescent="0.15">
      <c r="U227" s="99"/>
      <c r="AE227" s="10"/>
      <c r="AF227" s="10"/>
    </row>
    <row r="228" spans="21:32" s="3" customFormat="1" ht="17.25" customHeight="1" x14ac:dyDescent="0.15">
      <c r="U228" s="99"/>
      <c r="AE228" s="10"/>
      <c r="AF228" s="10"/>
    </row>
    <row r="229" spans="21:32" s="3" customFormat="1" ht="17.25" customHeight="1" x14ac:dyDescent="0.15">
      <c r="U229" s="99"/>
      <c r="AE229" s="10"/>
      <c r="AF229" s="10"/>
    </row>
    <row r="230" spans="21:32" s="3" customFormat="1" ht="17.25" customHeight="1" x14ac:dyDescent="0.15">
      <c r="U230" s="99"/>
      <c r="AE230" s="10"/>
      <c r="AF230" s="10"/>
    </row>
    <row r="231" spans="21:32" s="3" customFormat="1" ht="17.25" customHeight="1" x14ac:dyDescent="0.15">
      <c r="U231" s="99"/>
      <c r="AE231" s="10"/>
      <c r="AF231" s="10"/>
    </row>
    <row r="232" spans="21:32" s="3" customFormat="1" ht="17.25" customHeight="1" x14ac:dyDescent="0.15">
      <c r="U232" s="99"/>
      <c r="AE232" s="10"/>
      <c r="AF232" s="10"/>
    </row>
    <row r="233" spans="21:32" s="3" customFormat="1" ht="17.25" customHeight="1" x14ac:dyDescent="0.15">
      <c r="U233" s="99"/>
      <c r="AE233" s="10"/>
      <c r="AF233" s="10"/>
    </row>
    <row r="234" spans="21:32" s="3" customFormat="1" ht="17.25" customHeight="1" x14ac:dyDescent="0.15">
      <c r="U234" s="99"/>
      <c r="AE234" s="10"/>
      <c r="AF234" s="10"/>
    </row>
    <row r="235" spans="21:32" s="3" customFormat="1" ht="17.25" customHeight="1" x14ac:dyDescent="0.15">
      <c r="U235" s="99"/>
      <c r="AE235" s="10"/>
      <c r="AF235" s="10"/>
    </row>
    <row r="236" spans="21:32" s="3" customFormat="1" ht="17.25" customHeight="1" x14ac:dyDescent="0.15">
      <c r="U236" s="99"/>
      <c r="AE236" s="10"/>
      <c r="AF236" s="10"/>
    </row>
    <row r="237" spans="21:32" s="3" customFormat="1" ht="17.25" customHeight="1" x14ac:dyDescent="0.15">
      <c r="U237" s="99"/>
      <c r="AE237" s="10"/>
      <c r="AF237" s="10"/>
    </row>
    <row r="238" spans="21:32" s="3" customFormat="1" ht="17.25" customHeight="1" x14ac:dyDescent="0.15">
      <c r="U238" s="99"/>
      <c r="AE238" s="10"/>
      <c r="AF238" s="10"/>
    </row>
    <row r="239" spans="21:32" s="3" customFormat="1" ht="17.25" customHeight="1" x14ac:dyDescent="0.15">
      <c r="U239" s="99"/>
      <c r="AE239" s="10"/>
      <c r="AF239" s="10"/>
    </row>
    <row r="240" spans="21:32" s="3" customFormat="1" ht="17.25" customHeight="1" x14ac:dyDescent="0.15">
      <c r="U240" s="99"/>
      <c r="AE240" s="10"/>
      <c r="AF240" s="10"/>
    </row>
    <row r="241" spans="21:32" s="3" customFormat="1" ht="17.25" customHeight="1" x14ac:dyDescent="0.15">
      <c r="U241" s="99"/>
      <c r="AE241" s="10"/>
      <c r="AF241" s="10"/>
    </row>
    <row r="242" spans="21:32" s="3" customFormat="1" ht="17.25" customHeight="1" x14ac:dyDescent="0.15">
      <c r="U242" s="99"/>
      <c r="AE242" s="10"/>
      <c r="AF242" s="10"/>
    </row>
    <row r="243" spans="21:32" s="3" customFormat="1" ht="17.25" customHeight="1" x14ac:dyDescent="0.15">
      <c r="U243" s="99"/>
      <c r="AE243" s="10"/>
      <c r="AF243" s="10"/>
    </row>
    <row r="244" spans="21:32" s="3" customFormat="1" ht="17.25" customHeight="1" x14ac:dyDescent="0.15">
      <c r="U244" s="99"/>
      <c r="AE244" s="10"/>
      <c r="AF244" s="10"/>
    </row>
    <row r="245" spans="21:32" s="3" customFormat="1" ht="17.25" customHeight="1" x14ac:dyDescent="0.15">
      <c r="U245" s="99"/>
      <c r="AE245" s="10"/>
      <c r="AF245" s="10"/>
    </row>
    <row r="246" spans="21:32" s="3" customFormat="1" ht="17.25" customHeight="1" x14ac:dyDescent="0.15">
      <c r="U246" s="99"/>
      <c r="AE246" s="10"/>
      <c r="AF246" s="10"/>
    </row>
    <row r="247" spans="21:32" s="3" customFormat="1" ht="17.25" customHeight="1" x14ac:dyDescent="0.15">
      <c r="U247" s="99"/>
      <c r="AE247" s="10"/>
      <c r="AF247" s="10"/>
    </row>
    <row r="248" spans="21:32" s="3" customFormat="1" ht="17.25" customHeight="1" x14ac:dyDescent="0.15">
      <c r="U248" s="99"/>
      <c r="AE248" s="10"/>
      <c r="AF248" s="10"/>
    </row>
    <row r="249" spans="21:32" s="3" customFormat="1" ht="17.25" customHeight="1" x14ac:dyDescent="0.15">
      <c r="U249" s="99"/>
      <c r="AE249" s="10"/>
      <c r="AF249" s="10"/>
    </row>
    <row r="250" spans="21:32" s="3" customFormat="1" ht="17.25" customHeight="1" x14ac:dyDescent="0.15">
      <c r="U250" s="99"/>
      <c r="AE250" s="10"/>
      <c r="AF250" s="10"/>
    </row>
    <row r="251" spans="21:32" s="3" customFormat="1" ht="17.25" customHeight="1" x14ac:dyDescent="0.15">
      <c r="U251" s="99"/>
      <c r="AE251" s="10"/>
      <c r="AF251" s="10"/>
    </row>
    <row r="252" spans="21:32" s="3" customFormat="1" ht="17.25" customHeight="1" x14ac:dyDescent="0.15">
      <c r="U252" s="99"/>
      <c r="AE252" s="10"/>
      <c r="AF252" s="10"/>
    </row>
    <row r="253" spans="21:32" s="3" customFormat="1" ht="17.25" customHeight="1" x14ac:dyDescent="0.15">
      <c r="U253" s="99"/>
      <c r="AE253" s="10"/>
      <c r="AF253" s="10"/>
    </row>
    <row r="254" spans="21:32" s="3" customFormat="1" ht="17.25" customHeight="1" x14ac:dyDescent="0.15">
      <c r="U254" s="99"/>
      <c r="AE254" s="10"/>
      <c r="AF254" s="10"/>
    </row>
    <row r="255" spans="21:32" s="3" customFormat="1" ht="17.25" customHeight="1" x14ac:dyDescent="0.15">
      <c r="U255" s="99"/>
      <c r="AE255" s="10"/>
      <c r="AF255" s="10"/>
    </row>
    <row r="256" spans="21:32" s="3" customFormat="1" ht="17.25" customHeight="1" x14ac:dyDescent="0.15">
      <c r="U256" s="99"/>
      <c r="AE256" s="10"/>
      <c r="AF256" s="10"/>
    </row>
    <row r="257" spans="21:32" s="3" customFormat="1" ht="17.25" customHeight="1" x14ac:dyDescent="0.15">
      <c r="U257" s="99"/>
      <c r="AE257" s="10"/>
      <c r="AF257" s="10"/>
    </row>
    <row r="258" spans="21:32" s="3" customFormat="1" ht="17.25" customHeight="1" x14ac:dyDescent="0.15">
      <c r="U258" s="99"/>
      <c r="AE258" s="10"/>
      <c r="AF258" s="10"/>
    </row>
    <row r="259" spans="21:32" s="3" customFormat="1" ht="17.25" customHeight="1" x14ac:dyDescent="0.15">
      <c r="U259" s="99"/>
      <c r="AE259" s="10"/>
      <c r="AF259" s="10"/>
    </row>
    <row r="260" spans="21:32" s="3" customFormat="1" ht="17.25" customHeight="1" x14ac:dyDescent="0.15">
      <c r="U260" s="99"/>
      <c r="AE260" s="10"/>
      <c r="AF260" s="10"/>
    </row>
    <row r="261" spans="21:32" s="3" customFormat="1" ht="17.25" customHeight="1" x14ac:dyDescent="0.15">
      <c r="U261" s="99"/>
      <c r="AE261" s="10"/>
      <c r="AF261" s="10"/>
    </row>
    <row r="262" spans="21:32" s="3" customFormat="1" ht="17.25" customHeight="1" x14ac:dyDescent="0.15">
      <c r="U262" s="99"/>
      <c r="AE262" s="10"/>
      <c r="AF262" s="10"/>
    </row>
    <row r="263" spans="21:32" s="3" customFormat="1" ht="17.25" customHeight="1" x14ac:dyDescent="0.15">
      <c r="U263" s="99"/>
      <c r="AE263" s="10"/>
      <c r="AF263" s="10"/>
    </row>
    <row r="264" spans="21:32" s="3" customFormat="1" ht="17.25" customHeight="1" x14ac:dyDescent="0.15">
      <c r="U264" s="99"/>
      <c r="AE264" s="10"/>
      <c r="AF264" s="10"/>
    </row>
    <row r="265" spans="21:32" s="3" customFormat="1" ht="17.25" customHeight="1" x14ac:dyDescent="0.15">
      <c r="U265" s="99"/>
      <c r="AE265" s="10"/>
      <c r="AF265" s="10"/>
    </row>
    <row r="266" spans="21:32" s="3" customFormat="1" ht="17.25" customHeight="1" x14ac:dyDescent="0.15">
      <c r="U266" s="99"/>
      <c r="AE266" s="10"/>
      <c r="AF266" s="10"/>
    </row>
    <row r="267" spans="21:32" s="3" customFormat="1" ht="17.25" customHeight="1" x14ac:dyDescent="0.15">
      <c r="U267" s="99"/>
      <c r="AE267" s="10"/>
      <c r="AF267" s="10"/>
    </row>
    <row r="268" spans="21:32" s="3" customFormat="1" ht="17.25" customHeight="1" x14ac:dyDescent="0.15">
      <c r="U268" s="99"/>
      <c r="AE268" s="10"/>
      <c r="AF268" s="10"/>
    </row>
    <row r="269" spans="21:32" s="3" customFormat="1" ht="17.25" customHeight="1" x14ac:dyDescent="0.15">
      <c r="U269" s="99"/>
      <c r="AE269" s="10"/>
      <c r="AF269" s="10"/>
    </row>
    <row r="270" spans="21:32" s="3" customFormat="1" ht="17.25" customHeight="1" x14ac:dyDescent="0.15">
      <c r="U270" s="99"/>
      <c r="AE270" s="10"/>
      <c r="AF270" s="10"/>
    </row>
    <row r="271" spans="21:32" s="3" customFormat="1" ht="17.25" customHeight="1" x14ac:dyDescent="0.15">
      <c r="U271" s="99"/>
      <c r="AE271" s="10"/>
      <c r="AF271" s="10"/>
    </row>
    <row r="272" spans="21:32" s="3" customFormat="1" ht="17.25" customHeight="1" x14ac:dyDescent="0.15">
      <c r="U272" s="99"/>
      <c r="AE272" s="10"/>
      <c r="AF272" s="10"/>
    </row>
    <row r="273" spans="21:32" s="3" customFormat="1" ht="17.25" customHeight="1" x14ac:dyDescent="0.15">
      <c r="U273" s="99"/>
      <c r="AE273" s="10"/>
      <c r="AF273" s="10"/>
    </row>
    <row r="274" spans="21:32" s="3" customFormat="1" ht="17.25" customHeight="1" x14ac:dyDescent="0.15">
      <c r="U274" s="99"/>
      <c r="AE274" s="10"/>
      <c r="AF274" s="10"/>
    </row>
    <row r="275" spans="21:32" s="3" customFormat="1" ht="17.25" customHeight="1" x14ac:dyDescent="0.15">
      <c r="U275" s="99"/>
      <c r="AE275" s="10"/>
      <c r="AF275" s="10"/>
    </row>
    <row r="276" spans="21:32" s="3" customFormat="1" ht="17.25" customHeight="1" x14ac:dyDescent="0.15">
      <c r="U276" s="99"/>
      <c r="AE276" s="10"/>
      <c r="AF276" s="10"/>
    </row>
    <row r="277" spans="21:32" s="3" customFormat="1" ht="17.25" customHeight="1" x14ac:dyDescent="0.15">
      <c r="U277" s="99"/>
      <c r="AE277" s="10"/>
      <c r="AF277" s="10"/>
    </row>
    <row r="278" spans="21:32" s="3" customFormat="1" ht="17.25" customHeight="1" x14ac:dyDescent="0.15">
      <c r="U278" s="99"/>
      <c r="AE278" s="10"/>
      <c r="AF278" s="10"/>
    </row>
    <row r="279" spans="21:32" s="3" customFormat="1" ht="17.25" customHeight="1" x14ac:dyDescent="0.15">
      <c r="U279" s="99"/>
      <c r="AE279" s="10"/>
      <c r="AF279" s="10"/>
    </row>
    <row r="280" spans="21:32" s="3" customFormat="1" ht="17.25" customHeight="1" x14ac:dyDescent="0.15">
      <c r="U280" s="99"/>
      <c r="AE280" s="10"/>
      <c r="AF280" s="10"/>
    </row>
    <row r="281" spans="21:32" s="3" customFormat="1" ht="17.25" customHeight="1" x14ac:dyDescent="0.15">
      <c r="U281" s="99"/>
      <c r="AE281" s="10"/>
      <c r="AF281" s="10"/>
    </row>
    <row r="282" spans="21:32" s="3" customFormat="1" ht="17.25" customHeight="1" x14ac:dyDescent="0.15">
      <c r="U282" s="99"/>
      <c r="AE282" s="10"/>
      <c r="AF282" s="10"/>
    </row>
    <row r="283" spans="21:32" s="3" customFormat="1" ht="17.25" customHeight="1" x14ac:dyDescent="0.15">
      <c r="U283" s="99"/>
      <c r="AE283" s="10"/>
      <c r="AF283" s="10"/>
    </row>
    <row r="284" spans="21:32" s="3" customFormat="1" ht="17.25" customHeight="1" x14ac:dyDescent="0.15">
      <c r="U284" s="99"/>
      <c r="AE284" s="10"/>
      <c r="AF284" s="10"/>
    </row>
    <row r="285" spans="21:32" s="3" customFormat="1" ht="17.25" customHeight="1" x14ac:dyDescent="0.15">
      <c r="U285" s="99"/>
      <c r="AE285" s="10"/>
      <c r="AF285" s="10"/>
    </row>
    <row r="286" spans="21:32" s="3" customFormat="1" ht="17.25" customHeight="1" x14ac:dyDescent="0.15">
      <c r="U286" s="99"/>
      <c r="AE286" s="10"/>
      <c r="AF286" s="10"/>
    </row>
    <row r="287" spans="21:32" s="3" customFormat="1" ht="17.25" customHeight="1" x14ac:dyDescent="0.15">
      <c r="U287" s="99"/>
      <c r="AE287" s="10"/>
      <c r="AF287" s="10"/>
    </row>
    <row r="288" spans="21:32" s="3" customFormat="1" ht="17.25" customHeight="1" x14ac:dyDescent="0.15">
      <c r="U288" s="99"/>
      <c r="AE288" s="10"/>
      <c r="AF288" s="10"/>
    </row>
    <row r="289" spans="21:32" s="3" customFormat="1" ht="17.25" customHeight="1" x14ac:dyDescent="0.15">
      <c r="U289" s="99"/>
      <c r="AE289" s="10"/>
      <c r="AF289" s="10"/>
    </row>
    <row r="290" spans="21:32" s="3" customFormat="1" ht="17.25" customHeight="1" x14ac:dyDescent="0.15">
      <c r="U290" s="99"/>
      <c r="AE290" s="10"/>
      <c r="AF290" s="10"/>
    </row>
    <row r="291" spans="21:32" s="3" customFormat="1" ht="17.25" customHeight="1" x14ac:dyDescent="0.15">
      <c r="U291" s="99"/>
      <c r="AE291" s="10"/>
      <c r="AF291" s="10"/>
    </row>
    <row r="292" spans="21:32" s="3" customFormat="1" ht="17.25" customHeight="1" x14ac:dyDescent="0.15">
      <c r="U292" s="99"/>
      <c r="AE292" s="10"/>
      <c r="AF292" s="10"/>
    </row>
    <row r="293" spans="21:32" s="3" customFormat="1" ht="17.25" customHeight="1" x14ac:dyDescent="0.15">
      <c r="U293" s="99"/>
      <c r="AE293" s="10"/>
      <c r="AF293" s="10"/>
    </row>
    <row r="294" spans="21:32" s="3" customFormat="1" ht="17.25" customHeight="1" x14ac:dyDescent="0.15">
      <c r="U294" s="99"/>
      <c r="AE294" s="10"/>
      <c r="AF294" s="10"/>
    </row>
    <row r="295" spans="21:32" s="3" customFormat="1" ht="17.25" customHeight="1" x14ac:dyDescent="0.15">
      <c r="U295" s="99"/>
      <c r="AE295" s="10"/>
      <c r="AF295" s="10"/>
    </row>
    <row r="296" spans="21:32" s="3" customFormat="1" ht="17.25" customHeight="1" x14ac:dyDescent="0.15">
      <c r="U296" s="99"/>
      <c r="AE296" s="10"/>
      <c r="AF296" s="10"/>
    </row>
    <row r="297" spans="21:32" s="3" customFormat="1" ht="17.25" customHeight="1" x14ac:dyDescent="0.15">
      <c r="U297" s="99"/>
      <c r="AE297" s="10"/>
      <c r="AF297" s="10"/>
    </row>
    <row r="298" spans="21:32" s="3" customFormat="1" ht="17.25" customHeight="1" x14ac:dyDescent="0.15">
      <c r="U298" s="99"/>
      <c r="AE298" s="10"/>
      <c r="AF298" s="10"/>
    </row>
    <row r="299" spans="21:32" s="3" customFormat="1" ht="17.25" customHeight="1" x14ac:dyDescent="0.15">
      <c r="U299" s="99"/>
      <c r="AE299" s="10"/>
      <c r="AF299" s="10"/>
    </row>
    <row r="300" spans="21:32" s="3" customFormat="1" ht="17.25" customHeight="1" x14ac:dyDescent="0.15">
      <c r="U300" s="99"/>
      <c r="AE300" s="10"/>
      <c r="AF300" s="10"/>
    </row>
    <row r="301" spans="21:32" s="3" customFormat="1" ht="17.25" customHeight="1" x14ac:dyDescent="0.15">
      <c r="U301" s="99"/>
      <c r="AE301" s="10"/>
      <c r="AF301" s="10"/>
    </row>
    <row r="302" spans="21:32" s="3" customFormat="1" ht="17.25" customHeight="1" x14ac:dyDescent="0.15">
      <c r="U302" s="99"/>
      <c r="AE302" s="10"/>
      <c r="AF302" s="10"/>
    </row>
    <row r="303" spans="21:32" s="3" customFormat="1" ht="17.25" customHeight="1" x14ac:dyDescent="0.15">
      <c r="U303" s="99"/>
      <c r="AE303" s="10"/>
      <c r="AF303" s="10"/>
    </row>
    <row r="304" spans="21:32" s="3" customFormat="1" ht="17.25" customHeight="1" x14ac:dyDescent="0.15">
      <c r="U304" s="99"/>
      <c r="AE304" s="10"/>
      <c r="AF304" s="10"/>
    </row>
    <row r="305" spans="21:32" s="3" customFormat="1" ht="17.25" customHeight="1" x14ac:dyDescent="0.15">
      <c r="U305" s="99"/>
      <c r="AE305" s="10"/>
      <c r="AF305" s="10"/>
    </row>
    <row r="306" spans="21:32" s="3" customFormat="1" ht="17.25" customHeight="1" x14ac:dyDescent="0.15">
      <c r="U306" s="99"/>
      <c r="AE306" s="10"/>
      <c r="AF306" s="10"/>
    </row>
    <row r="307" spans="21:32" s="3" customFormat="1" ht="17.25" customHeight="1" x14ac:dyDescent="0.15">
      <c r="U307" s="99"/>
      <c r="AE307" s="10"/>
      <c r="AF307" s="10"/>
    </row>
    <row r="308" spans="21:32" s="3" customFormat="1" ht="17.25" customHeight="1" x14ac:dyDescent="0.15">
      <c r="U308" s="99"/>
      <c r="AE308" s="10"/>
      <c r="AF308" s="10"/>
    </row>
    <row r="309" spans="21:32" s="3" customFormat="1" ht="17.25" customHeight="1" x14ac:dyDescent="0.15">
      <c r="U309" s="99"/>
      <c r="AE309" s="10"/>
      <c r="AF309" s="10"/>
    </row>
    <row r="310" spans="21:32" s="3" customFormat="1" ht="17.25" customHeight="1" x14ac:dyDescent="0.15">
      <c r="U310" s="99"/>
      <c r="AE310" s="10"/>
      <c r="AF310" s="10"/>
    </row>
    <row r="311" spans="21:32" s="3" customFormat="1" ht="17.25" customHeight="1" x14ac:dyDescent="0.15">
      <c r="U311" s="99"/>
      <c r="AE311" s="10"/>
      <c r="AF311" s="10"/>
    </row>
    <row r="312" spans="21:32" s="3" customFormat="1" ht="17.25" customHeight="1" x14ac:dyDescent="0.15">
      <c r="U312" s="99"/>
      <c r="AE312" s="10"/>
      <c r="AF312" s="10"/>
    </row>
    <row r="313" spans="21:32" s="3" customFormat="1" ht="17.25" customHeight="1" x14ac:dyDescent="0.15">
      <c r="U313" s="99"/>
      <c r="AE313" s="10"/>
      <c r="AF313" s="10"/>
    </row>
    <row r="314" spans="21:32" s="3" customFormat="1" ht="17.25" customHeight="1" x14ac:dyDescent="0.15">
      <c r="U314" s="99"/>
      <c r="AE314" s="10"/>
      <c r="AF314" s="10"/>
    </row>
    <row r="315" spans="21:32" s="3" customFormat="1" ht="17.25" customHeight="1" x14ac:dyDescent="0.15">
      <c r="U315" s="99"/>
      <c r="AE315" s="10"/>
      <c r="AF315" s="10"/>
    </row>
    <row r="316" spans="21:32" s="3" customFormat="1" ht="17.25" customHeight="1" x14ac:dyDescent="0.15">
      <c r="U316" s="99"/>
      <c r="AE316" s="10"/>
      <c r="AF316" s="10"/>
    </row>
    <row r="317" spans="21:32" s="3" customFormat="1" ht="17.25" customHeight="1" x14ac:dyDescent="0.15">
      <c r="U317" s="99"/>
      <c r="AE317" s="10"/>
      <c r="AF317" s="10"/>
    </row>
    <row r="318" spans="21:32" s="3" customFormat="1" ht="17.25" customHeight="1" x14ac:dyDescent="0.15">
      <c r="U318" s="99"/>
      <c r="AE318" s="10"/>
      <c r="AF318" s="10"/>
    </row>
    <row r="319" spans="21:32" s="3" customFormat="1" ht="17.25" customHeight="1" x14ac:dyDescent="0.15">
      <c r="U319" s="99"/>
      <c r="AE319" s="10"/>
      <c r="AF319" s="10"/>
    </row>
    <row r="320" spans="21:32" s="3" customFormat="1" ht="17.25" customHeight="1" x14ac:dyDescent="0.15">
      <c r="U320" s="99"/>
      <c r="AE320" s="10"/>
      <c r="AF320" s="10"/>
    </row>
    <row r="321" spans="21:32" s="3" customFormat="1" ht="17.25" customHeight="1" x14ac:dyDescent="0.15">
      <c r="U321" s="99"/>
      <c r="AE321" s="10"/>
      <c r="AF321" s="10"/>
    </row>
    <row r="322" spans="21:32" s="3" customFormat="1" ht="17.25" customHeight="1" x14ac:dyDescent="0.15">
      <c r="U322" s="99"/>
      <c r="AE322" s="10"/>
      <c r="AF322" s="10"/>
    </row>
    <row r="323" spans="21:32" s="3" customFormat="1" ht="17.25" customHeight="1" x14ac:dyDescent="0.15">
      <c r="U323" s="99"/>
      <c r="AE323" s="10"/>
      <c r="AF323" s="10"/>
    </row>
    <row r="324" spans="21:32" s="3" customFormat="1" ht="17.25" customHeight="1" x14ac:dyDescent="0.15">
      <c r="U324" s="99"/>
      <c r="AE324" s="10"/>
      <c r="AF324" s="10"/>
    </row>
    <row r="325" spans="21:32" s="3" customFormat="1" ht="17.25" customHeight="1" x14ac:dyDescent="0.15">
      <c r="U325" s="99"/>
      <c r="AE325" s="10"/>
      <c r="AF325" s="10"/>
    </row>
    <row r="326" spans="21:32" s="3" customFormat="1" ht="17.25" customHeight="1" x14ac:dyDescent="0.15">
      <c r="U326" s="99"/>
      <c r="AE326" s="10"/>
      <c r="AF326" s="10"/>
    </row>
    <row r="327" spans="21:32" s="3" customFormat="1" ht="17.25" customHeight="1" x14ac:dyDescent="0.15">
      <c r="U327" s="99"/>
      <c r="AE327" s="10"/>
      <c r="AF327" s="10"/>
    </row>
    <row r="328" spans="21:32" s="3" customFormat="1" ht="17.25" customHeight="1" x14ac:dyDescent="0.15">
      <c r="U328" s="99"/>
      <c r="AE328" s="10"/>
      <c r="AF328" s="10"/>
    </row>
    <row r="329" spans="21:32" s="3" customFormat="1" ht="17.25" customHeight="1" x14ac:dyDescent="0.15">
      <c r="U329" s="99"/>
      <c r="AE329" s="10"/>
      <c r="AF329" s="10"/>
    </row>
    <row r="330" spans="21:32" s="3" customFormat="1" ht="17.25" customHeight="1" x14ac:dyDescent="0.15">
      <c r="U330" s="99"/>
      <c r="AE330" s="10"/>
      <c r="AF330" s="10"/>
    </row>
    <row r="331" spans="21:32" s="3" customFormat="1" ht="17.25" customHeight="1" x14ac:dyDescent="0.15">
      <c r="U331" s="99"/>
      <c r="AE331" s="10"/>
      <c r="AF331" s="10"/>
    </row>
    <row r="332" spans="21:32" s="3" customFormat="1" ht="17.25" customHeight="1" x14ac:dyDescent="0.15">
      <c r="U332" s="99"/>
      <c r="AE332" s="10"/>
      <c r="AF332" s="10"/>
    </row>
    <row r="333" spans="21:32" s="3" customFormat="1" ht="17.25" customHeight="1" x14ac:dyDescent="0.15">
      <c r="U333" s="99"/>
      <c r="AE333" s="10"/>
      <c r="AF333" s="10"/>
    </row>
    <row r="334" spans="21:32" s="3" customFormat="1" ht="17.25" customHeight="1" x14ac:dyDescent="0.15">
      <c r="U334" s="99"/>
      <c r="AE334" s="10"/>
      <c r="AF334" s="10"/>
    </row>
    <row r="335" spans="21:32" s="3" customFormat="1" ht="17.25" customHeight="1" x14ac:dyDescent="0.15">
      <c r="U335" s="99"/>
      <c r="AE335" s="10"/>
      <c r="AF335" s="10"/>
    </row>
    <row r="336" spans="21:32" s="3" customFormat="1" ht="17.25" customHeight="1" x14ac:dyDescent="0.15">
      <c r="U336" s="99"/>
      <c r="AE336" s="10"/>
      <c r="AF336" s="10"/>
    </row>
    <row r="337" spans="21:32" s="3" customFormat="1" ht="17.25" customHeight="1" x14ac:dyDescent="0.15">
      <c r="U337" s="99"/>
      <c r="AE337" s="10"/>
      <c r="AF337" s="10"/>
    </row>
    <row r="338" spans="21:32" s="3" customFormat="1" ht="17.25" customHeight="1" x14ac:dyDescent="0.15">
      <c r="U338" s="99"/>
      <c r="AE338" s="10"/>
      <c r="AF338" s="10"/>
    </row>
    <row r="339" spans="21:32" s="3" customFormat="1" ht="17.25" customHeight="1" x14ac:dyDescent="0.15">
      <c r="U339" s="99"/>
      <c r="AE339" s="10"/>
      <c r="AF339" s="10"/>
    </row>
    <row r="340" spans="21:32" s="3" customFormat="1" ht="17.25" customHeight="1" x14ac:dyDescent="0.15">
      <c r="U340" s="99"/>
      <c r="AE340" s="10"/>
      <c r="AF340" s="10"/>
    </row>
    <row r="341" spans="21:32" s="3" customFormat="1" ht="17.25" customHeight="1" x14ac:dyDescent="0.15">
      <c r="U341" s="99"/>
      <c r="AE341" s="10"/>
      <c r="AF341" s="10"/>
    </row>
    <row r="342" spans="21:32" s="3" customFormat="1" ht="17.25" customHeight="1" x14ac:dyDescent="0.15">
      <c r="U342" s="99"/>
      <c r="AE342" s="10"/>
      <c r="AF342" s="10"/>
    </row>
    <row r="343" spans="21:32" s="3" customFormat="1" ht="17.25" customHeight="1" x14ac:dyDescent="0.15">
      <c r="U343" s="99"/>
      <c r="AE343" s="10"/>
      <c r="AF343" s="10"/>
    </row>
    <row r="344" spans="21:32" s="3" customFormat="1" ht="17.25" customHeight="1" x14ac:dyDescent="0.15">
      <c r="U344" s="99"/>
      <c r="AE344" s="10"/>
      <c r="AF344" s="10"/>
    </row>
    <row r="345" spans="21:32" s="3" customFormat="1" ht="17.25" customHeight="1" x14ac:dyDescent="0.15">
      <c r="U345" s="99"/>
      <c r="AE345" s="10"/>
      <c r="AF345" s="10"/>
    </row>
    <row r="346" spans="21:32" s="3" customFormat="1" ht="17.25" customHeight="1" x14ac:dyDescent="0.15">
      <c r="U346" s="99"/>
      <c r="AE346" s="10"/>
      <c r="AF346" s="10"/>
    </row>
    <row r="347" spans="21:32" s="3" customFormat="1" ht="17.25" customHeight="1" x14ac:dyDescent="0.15">
      <c r="U347" s="99"/>
      <c r="AE347" s="10"/>
      <c r="AF347" s="10"/>
    </row>
    <row r="348" spans="21:32" s="3" customFormat="1" ht="17.25" customHeight="1" x14ac:dyDescent="0.15">
      <c r="U348" s="99"/>
      <c r="AE348" s="10"/>
      <c r="AF348" s="10"/>
    </row>
    <row r="349" spans="21:32" s="3" customFormat="1" ht="17.25" customHeight="1" x14ac:dyDescent="0.15">
      <c r="U349" s="99"/>
      <c r="AE349" s="10"/>
      <c r="AF349" s="10"/>
    </row>
    <row r="350" spans="21:32" s="3" customFormat="1" ht="17.25" customHeight="1" x14ac:dyDescent="0.15">
      <c r="U350" s="99"/>
      <c r="AE350" s="10"/>
      <c r="AF350" s="10"/>
    </row>
    <row r="351" spans="21:32" s="3" customFormat="1" ht="17.25" customHeight="1" x14ac:dyDescent="0.15">
      <c r="U351" s="99"/>
      <c r="AE351" s="10"/>
      <c r="AF351" s="10"/>
    </row>
    <row r="352" spans="21:32" s="3" customFormat="1" ht="17.25" customHeight="1" x14ac:dyDescent="0.15">
      <c r="U352" s="99"/>
      <c r="AE352" s="10"/>
      <c r="AF352" s="10"/>
    </row>
    <row r="353" spans="21:32" s="3" customFormat="1" ht="17.25" customHeight="1" x14ac:dyDescent="0.15">
      <c r="U353" s="99"/>
      <c r="AE353" s="10"/>
      <c r="AF353" s="10"/>
    </row>
    <row r="354" spans="21:32" s="3" customFormat="1" ht="17.25" customHeight="1" x14ac:dyDescent="0.15">
      <c r="U354" s="99"/>
      <c r="AE354" s="10"/>
      <c r="AF354" s="10"/>
    </row>
    <row r="355" spans="21:32" s="3" customFormat="1" ht="17.25" customHeight="1" x14ac:dyDescent="0.15">
      <c r="U355" s="99"/>
      <c r="AE355" s="10"/>
      <c r="AF355" s="10"/>
    </row>
    <row r="356" spans="21:32" s="3" customFormat="1" ht="17.25" customHeight="1" x14ac:dyDescent="0.15">
      <c r="U356" s="99"/>
      <c r="AE356" s="10"/>
      <c r="AF356" s="10"/>
    </row>
    <row r="357" spans="21:32" s="3" customFormat="1" ht="17.25" customHeight="1" x14ac:dyDescent="0.15">
      <c r="U357" s="99"/>
      <c r="AE357" s="10"/>
      <c r="AF357" s="10"/>
    </row>
    <row r="358" spans="21:32" s="3" customFormat="1" ht="17.25" customHeight="1" x14ac:dyDescent="0.15">
      <c r="U358" s="99"/>
      <c r="AE358" s="10"/>
      <c r="AF358" s="10"/>
    </row>
    <row r="359" spans="21:32" s="3" customFormat="1" ht="17.25" customHeight="1" x14ac:dyDescent="0.15">
      <c r="U359" s="99"/>
      <c r="AE359" s="10"/>
      <c r="AF359" s="10"/>
    </row>
    <row r="360" spans="21:32" s="3" customFormat="1" ht="17.25" customHeight="1" x14ac:dyDescent="0.15">
      <c r="U360" s="99"/>
      <c r="AE360" s="10"/>
      <c r="AF360" s="10"/>
    </row>
    <row r="361" spans="21:32" s="3" customFormat="1" ht="17.25" customHeight="1" x14ac:dyDescent="0.15">
      <c r="U361" s="99"/>
      <c r="AE361" s="10"/>
      <c r="AF361" s="10"/>
    </row>
    <row r="362" spans="21:32" s="3" customFormat="1" ht="17.25" customHeight="1" x14ac:dyDescent="0.15">
      <c r="U362" s="99"/>
      <c r="AE362" s="10"/>
      <c r="AF362" s="10"/>
    </row>
    <row r="363" spans="21:32" s="3" customFormat="1" ht="17.25" customHeight="1" x14ac:dyDescent="0.15">
      <c r="U363" s="99"/>
      <c r="AE363" s="10"/>
      <c r="AF363" s="10"/>
    </row>
    <row r="364" spans="21:32" s="3" customFormat="1" ht="17.25" customHeight="1" x14ac:dyDescent="0.15">
      <c r="U364" s="99"/>
      <c r="AE364" s="10"/>
      <c r="AF364" s="10"/>
    </row>
    <row r="365" spans="21:32" s="3" customFormat="1" ht="17.25" customHeight="1" x14ac:dyDescent="0.15">
      <c r="U365" s="99"/>
      <c r="AE365" s="10"/>
      <c r="AF365" s="10"/>
    </row>
    <row r="366" spans="21:32" s="3" customFormat="1" ht="17.25" customHeight="1" x14ac:dyDescent="0.15">
      <c r="U366" s="99"/>
      <c r="AE366" s="10"/>
      <c r="AF366" s="10"/>
    </row>
    <row r="367" spans="21:32" s="3" customFormat="1" ht="17.25" customHeight="1" x14ac:dyDescent="0.15">
      <c r="U367" s="99"/>
      <c r="AE367" s="10"/>
      <c r="AF367" s="10"/>
    </row>
    <row r="368" spans="21:32" s="3" customFormat="1" ht="17.25" customHeight="1" x14ac:dyDescent="0.15">
      <c r="U368" s="99"/>
      <c r="AE368" s="10"/>
      <c r="AF368" s="10"/>
    </row>
    <row r="369" spans="21:32" s="3" customFormat="1" ht="17.25" customHeight="1" x14ac:dyDescent="0.15">
      <c r="U369" s="99"/>
      <c r="AE369" s="10"/>
      <c r="AF369" s="10"/>
    </row>
    <row r="370" spans="21:32" s="3" customFormat="1" ht="17.25" customHeight="1" x14ac:dyDescent="0.15">
      <c r="U370" s="99"/>
      <c r="AE370" s="10"/>
      <c r="AF370" s="10"/>
    </row>
    <row r="371" spans="21:32" s="3" customFormat="1" ht="17.25" customHeight="1" x14ac:dyDescent="0.15">
      <c r="U371" s="99"/>
      <c r="AE371" s="10"/>
      <c r="AF371" s="10"/>
    </row>
    <row r="372" spans="21:32" s="3" customFormat="1" ht="17.25" customHeight="1" x14ac:dyDescent="0.15">
      <c r="U372" s="99"/>
      <c r="AE372" s="10"/>
      <c r="AF372" s="10"/>
    </row>
    <row r="373" spans="21:32" s="3" customFormat="1" ht="17.25" customHeight="1" x14ac:dyDescent="0.15">
      <c r="U373" s="99"/>
      <c r="AE373" s="10"/>
      <c r="AF373" s="10"/>
    </row>
    <row r="374" spans="21:32" s="3" customFormat="1" ht="17.25" customHeight="1" x14ac:dyDescent="0.15">
      <c r="U374" s="99"/>
      <c r="AE374" s="10"/>
      <c r="AF374" s="10"/>
    </row>
    <row r="375" spans="21:32" s="3" customFormat="1" ht="17.25" customHeight="1" x14ac:dyDescent="0.15">
      <c r="U375" s="99"/>
      <c r="AE375" s="10"/>
      <c r="AF375" s="10"/>
    </row>
    <row r="376" spans="21:32" s="3" customFormat="1" ht="17.25" customHeight="1" x14ac:dyDescent="0.15">
      <c r="U376" s="99"/>
      <c r="AE376" s="10"/>
      <c r="AF376" s="10"/>
    </row>
    <row r="377" spans="21:32" s="3" customFormat="1" ht="17.25" customHeight="1" x14ac:dyDescent="0.15">
      <c r="U377" s="99"/>
      <c r="AE377" s="10"/>
      <c r="AF377" s="10"/>
    </row>
    <row r="378" spans="21:32" s="3" customFormat="1" ht="17.25" customHeight="1" x14ac:dyDescent="0.15">
      <c r="U378" s="99"/>
      <c r="AE378" s="10"/>
      <c r="AF378" s="10"/>
    </row>
    <row r="379" spans="21:32" s="3" customFormat="1" ht="17.25" customHeight="1" x14ac:dyDescent="0.15">
      <c r="U379" s="99"/>
      <c r="AE379" s="10"/>
      <c r="AF379" s="10"/>
    </row>
    <row r="380" spans="21:32" s="3" customFormat="1" ht="17.25" customHeight="1" x14ac:dyDescent="0.15">
      <c r="U380" s="99"/>
      <c r="AE380" s="10"/>
      <c r="AF380" s="10"/>
    </row>
    <row r="381" spans="21:32" s="3" customFormat="1" ht="17.25" customHeight="1" x14ac:dyDescent="0.15">
      <c r="U381" s="99"/>
      <c r="AE381" s="10"/>
      <c r="AF381" s="10"/>
    </row>
    <row r="382" spans="21:32" s="3" customFormat="1" ht="17.25" customHeight="1" x14ac:dyDescent="0.15">
      <c r="U382" s="99"/>
      <c r="AE382" s="10"/>
      <c r="AF382" s="10"/>
    </row>
    <row r="383" spans="21:32" s="3" customFormat="1" ht="17.25" customHeight="1" x14ac:dyDescent="0.15">
      <c r="U383" s="99"/>
      <c r="AE383" s="10"/>
      <c r="AF383" s="10"/>
    </row>
    <row r="384" spans="21:32" s="3" customFormat="1" ht="17.25" customHeight="1" x14ac:dyDescent="0.15">
      <c r="U384" s="99"/>
      <c r="AE384" s="10"/>
      <c r="AF384" s="10"/>
    </row>
    <row r="385" spans="21:32" s="3" customFormat="1" ht="17.25" customHeight="1" x14ac:dyDescent="0.15">
      <c r="U385" s="99"/>
      <c r="AE385" s="10"/>
      <c r="AF385" s="10"/>
    </row>
    <row r="386" spans="21:32" s="3" customFormat="1" ht="17.25" customHeight="1" x14ac:dyDescent="0.15">
      <c r="U386" s="99"/>
      <c r="AE386" s="10"/>
      <c r="AF386" s="10"/>
    </row>
    <row r="387" spans="21:32" s="3" customFormat="1" ht="17.25" customHeight="1" x14ac:dyDescent="0.15">
      <c r="U387" s="99"/>
      <c r="AE387" s="10"/>
      <c r="AF387" s="10"/>
    </row>
    <row r="388" spans="21:32" s="3" customFormat="1" ht="17.25" customHeight="1" x14ac:dyDescent="0.15">
      <c r="U388" s="99"/>
      <c r="AE388" s="10"/>
      <c r="AF388" s="10"/>
    </row>
    <row r="389" spans="21:32" s="3" customFormat="1" ht="17.25" customHeight="1" x14ac:dyDescent="0.15">
      <c r="U389" s="99"/>
      <c r="AE389" s="10"/>
      <c r="AF389" s="10"/>
    </row>
    <row r="390" spans="21:32" s="3" customFormat="1" ht="17.25" customHeight="1" x14ac:dyDescent="0.15">
      <c r="U390" s="99"/>
      <c r="AE390" s="10"/>
      <c r="AF390" s="10"/>
    </row>
    <row r="391" spans="21:32" s="3" customFormat="1" ht="17.25" customHeight="1" x14ac:dyDescent="0.15">
      <c r="U391" s="99"/>
      <c r="AE391" s="10"/>
      <c r="AF391" s="10"/>
    </row>
    <row r="392" spans="21:32" s="3" customFormat="1" ht="17.25" customHeight="1" x14ac:dyDescent="0.15">
      <c r="U392" s="99"/>
      <c r="AE392" s="10"/>
      <c r="AF392" s="10"/>
    </row>
    <row r="393" spans="21:32" s="3" customFormat="1" ht="17.25" customHeight="1" x14ac:dyDescent="0.15">
      <c r="U393" s="99"/>
      <c r="AE393" s="10"/>
      <c r="AF393" s="10"/>
    </row>
    <row r="394" spans="21:32" s="3" customFormat="1" ht="17.25" customHeight="1" x14ac:dyDescent="0.15">
      <c r="U394" s="99"/>
      <c r="AE394" s="10"/>
      <c r="AF394" s="10"/>
    </row>
    <row r="395" spans="21:32" s="3" customFormat="1" ht="17.25" customHeight="1" x14ac:dyDescent="0.15">
      <c r="U395" s="99"/>
      <c r="AE395" s="10"/>
      <c r="AF395" s="10"/>
    </row>
    <row r="396" spans="21:32" s="3" customFormat="1" ht="17.25" customHeight="1" x14ac:dyDescent="0.15">
      <c r="U396" s="99"/>
      <c r="AE396" s="10"/>
      <c r="AF396" s="10"/>
    </row>
    <row r="397" spans="21:32" s="3" customFormat="1" ht="17.25" customHeight="1" x14ac:dyDescent="0.15">
      <c r="U397" s="99"/>
      <c r="AE397" s="10"/>
      <c r="AF397" s="10"/>
    </row>
    <row r="398" spans="21:32" s="3" customFormat="1" ht="17.25" customHeight="1" x14ac:dyDescent="0.15">
      <c r="U398" s="99"/>
      <c r="AE398" s="10"/>
      <c r="AF398" s="10"/>
    </row>
    <row r="399" spans="21:32" s="3" customFormat="1" ht="17.25" customHeight="1" x14ac:dyDescent="0.15">
      <c r="U399" s="99"/>
      <c r="AE399" s="10"/>
      <c r="AF399" s="10"/>
    </row>
    <row r="400" spans="21:32" s="3" customFormat="1" ht="17.25" customHeight="1" x14ac:dyDescent="0.15">
      <c r="U400" s="99"/>
      <c r="AE400" s="10"/>
      <c r="AF400" s="10"/>
    </row>
    <row r="401" spans="21:32" s="3" customFormat="1" ht="17.25" customHeight="1" x14ac:dyDescent="0.15">
      <c r="U401" s="99"/>
      <c r="AE401" s="10"/>
      <c r="AF401" s="10"/>
    </row>
    <row r="402" spans="21:32" s="3" customFormat="1" ht="17.25" customHeight="1" x14ac:dyDescent="0.15">
      <c r="U402" s="99"/>
      <c r="AE402" s="10"/>
      <c r="AF402" s="10"/>
    </row>
    <row r="403" spans="21:32" s="3" customFormat="1" ht="17.25" customHeight="1" x14ac:dyDescent="0.15">
      <c r="U403" s="99"/>
      <c r="AE403" s="10"/>
      <c r="AF403" s="10"/>
    </row>
    <row r="404" spans="21:32" s="3" customFormat="1" ht="17.25" customHeight="1" x14ac:dyDescent="0.15">
      <c r="U404" s="99"/>
      <c r="AE404" s="10"/>
      <c r="AF404" s="10"/>
    </row>
    <row r="405" spans="21:32" s="3" customFormat="1" ht="17.25" customHeight="1" x14ac:dyDescent="0.15">
      <c r="U405" s="99"/>
      <c r="AE405" s="10"/>
      <c r="AF405" s="10"/>
    </row>
    <row r="406" spans="21:32" s="3" customFormat="1" ht="17.25" customHeight="1" x14ac:dyDescent="0.15">
      <c r="U406" s="99"/>
      <c r="AE406" s="10"/>
      <c r="AF406" s="10"/>
    </row>
    <row r="407" spans="21:32" s="3" customFormat="1" ht="17.25" customHeight="1" x14ac:dyDescent="0.15">
      <c r="U407" s="99"/>
      <c r="AE407" s="10"/>
      <c r="AF407" s="10"/>
    </row>
    <row r="408" spans="21:32" s="3" customFormat="1" ht="17.25" customHeight="1" x14ac:dyDescent="0.15">
      <c r="U408" s="99"/>
      <c r="AE408" s="10"/>
      <c r="AF408" s="10"/>
    </row>
    <row r="409" spans="21:32" s="3" customFormat="1" ht="17.25" customHeight="1" x14ac:dyDescent="0.15">
      <c r="U409" s="99"/>
      <c r="AE409" s="10"/>
      <c r="AF409" s="10"/>
    </row>
    <row r="410" spans="21:32" s="3" customFormat="1" ht="17.25" customHeight="1" x14ac:dyDescent="0.15">
      <c r="U410" s="99"/>
      <c r="AE410" s="10"/>
      <c r="AF410" s="10"/>
    </row>
    <row r="411" spans="21:32" s="3" customFormat="1" ht="17.25" customHeight="1" x14ac:dyDescent="0.15">
      <c r="U411" s="99"/>
      <c r="AE411" s="10"/>
      <c r="AF411" s="10"/>
    </row>
    <row r="412" spans="21:32" s="3" customFormat="1" ht="17.25" customHeight="1" x14ac:dyDescent="0.15">
      <c r="U412" s="99"/>
      <c r="AE412" s="10"/>
      <c r="AF412" s="10"/>
    </row>
    <row r="413" spans="21:32" s="3" customFormat="1" ht="17.25" customHeight="1" x14ac:dyDescent="0.15">
      <c r="U413" s="99"/>
      <c r="AE413" s="10"/>
      <c r="AF413" s="10"/>
    </row>
    <row r="414" spans="21:32" s="3" customFormat="1" ht="17.25" customHeight="1" x14ac:dyDescent="0.15">
      <c r="U414" s="99"/>
      <c r="AE414" s="10"/>
      <c r="AF414" s="10"/>
    </row>
    <row r="415" spans="21:32" s="3" customFormat="1" ht="12" x14ac:dyDescent="0.15">
      <c r="U415" s="99"/>
      <c r="AE415" s="10"/>
      <c r="AF415" s="10"/>
    </row>
    <row r="416" spans="21:32" s="3" customFormat="1" ht="12" x14ac:dyDescent="0.15">
      <c r="U416" s="99"/>
      <c r="AE416" s="10"/>
      <c r="AF416" s="10"/>
    </row>
    <row r="417" spans="21:32" s="3" customFormat="1" ht="12" x14ac:dyDescent="0.15">
      <c r="U417" s="99"/>
      <c r="AE417" s="10"/>
      <c r="AF417" s="10"/>
    </row>
    <row r="418" spans="21:32" s="3" customFormat="1" ht="12" x14ac:dyDescent="0.15">
      <c r="U418" s="99"/>
      <c r="AE418" s="10"/>
      <c r="AF418" s="10"/>
    </row>
    <row r="419" spans="21:32" s="3" customFormat="1" ht="12" x14ac:dyDescent="0.15">
      <c r="U419" s="99"/>
      <c r="AE419" s="10"/>
      <c r="AF419" s="10"/>
    </row>
    <row r="420" spans="21:32" s="3" customFormat="1" ht="12" x14ac:dyDescent="0.15">
      <c r="U420" s="99"/>
      <c r="AE420" s="10"/>
      <c r="AF420" s="10"/>
    </row>
    <row r="421" spans="21:32" s="3" customFormat="1" ht="12" x14ac:dyDescent="0.15">
      <c r="U421" s="99"/>
      <c r="AE421" s="10"/>
      <c r="AF421" s="10"/>
    </row>
    <row r="422" spans="21:32" s="3" customFormat="1" ht="12" x14ac:dyDescent="0.15">
      <c r="U422" s="99"/>
      <c r="AE422" s="10"/>
      <c r="AF422" s="10"/>
    </row>
    <row r="423" spans="21:32" s="3" customFormat="1" ht="12" x14ac:dyDescent="0.15">
      <c r="U423" s="99"/>
      <c r="AE423" s="10"/>
      <c r="AF423" s="10"/>
    </row>
    <row r="424" spans="21:32" s="3" customFormat="1" ht="12" x14ac:dyDescent="0.15">
      <c r="U424" s="99"/>
      <c r="AE424" s="10"/>
      <c r="AF424" s="10"/>
    </row>
    <row r="425" spans="21:32" s="3" customFormat="1" ht="12" x14ac:dyDescent="0.15">
      <c r="U425" s="99"/>
      <c r="AE425" s="10"/>
      <c r="AF425" s="10"/>
    </row>
    <row r="426" spans="21:32" s="3" customFormat="1" ht="12" x14ac:dyDescent="0.15">
      <c r="U426" s="99"/>
      <c r="AE426" s="10"/>
      <c r="AF426" s="10"/>
    </row>
    <row r="427" spans="21:32" s="3" customFormat="1" ht="12" x14ac:dyDescent="0.15">
      <c r="U427" s="99"/>
      <c r="AE427" s="10"/>
      <c r="AF427" s="10"/>
    </row>
    <row r="428" spans="21:32" s="3" customFormat="1" ht="12" x14ac:dyDescent="0.15">
      <c r="U428" s="99"/>
      <c r="AE428" s="10"/>
      <c r="AF428" s="10"/>
    </row>
    <row r="429" spans="21:32" s="3" customFormat="1" ht="12" x14ac:dyDescent="0.15">
      <c r="U429" s="99"/>
      <c r="AE429" s="10"/>
      <c r="AF429" s="10"/>
    </row>
    <row r="430" spans="21:32" s="3" customFormat="1" ht="12" x14ac:dyDescent="0.15">
      <c r="U430" s="99"/>
      <c r="AE430" s="10"/>
      <c r="AF430" s="10"/>
    </row>
    <row r="431" spans="21:32" s="3" customFormat="1" ht="12" x14ac:dyDescent="0.15">
      <c r="U431" s="99"/>
      <c r="AE431" s="10"/>
      <c r="AF431" s="10"/>
    </row>
    <row r="432" spans="21:32" s="3" customFormat="1" ht="12" x14ac:dyDescent="0.15">
      <c r="U432" s="99"/>
      <c r="AE432" s="10"/>
      <c r="AF432" s="10"/>
    </row>
    <row r="433" spans="21:32" s="3" customFormat="1" ht="12" x14ac:dyDescent="0.15">
      <c r="U433" s="99"/>
      <c r="AE433" s="10"/>
      <c r="AF433" s="10"/>
    </row>
    <row r="434" spans="21:32" s="3" customFormat="1" ht="12" x14ac:dyDescent="0.15">
      <c r="U434" s="99"/>
      <c r="AE434" s="10"/>
      <c r="AF434" s="10"/>
    </row>
    <row r="435" spans="21:32" s="3" customFormat="1" ht="12" x14ac:dyDescent="0.15">
      <c r="U435" s="99"/>
      <c r="AE435" s="10"/>
      <c r="AF435" s="10"/>
    </row>
    <row r="436" spans="21:32" s="3" customFormat="1" ht="12" x14ac:dyDescent="0.15">
      <c r="U436" s="99"/>
      <c r="AE436" s="10"/>
      <c r="AF436" s="10"/>
    </row>
    <row r="437" spans="21:32" s="3" customFormat="1" ht="12" x14ac:dyDescent="0.15">
      <c r="U437" s="99"/>
      <c r="AE437" s="10"/>
      <c r="AF437" s="10"/>
    </row>
    <row r="438" spans="21:32" s="3" customFormat="1" ht="12" x14ac:dyDescent="0.15">
      <c r="U438" s="99"/>
      <c r="AE438" s="10"/>
      <c r="AF438" s="10"/>
    </row>
    <row r="439" spans="21:32" s="3" customFormat="1" ht="12" x14ac:dyDescent="0.15">
      <c r="U439" s="99"/>
      <c r="AE439" s="10"/>
      <c r="AF439" s="10"/>
    </row>
    <row r="440" spans="21:32" s="3" customFormat="1" ht="12" x14ac:dyDescent="0.15">
      <c r="U440" s="99"/>
      <c r="AE440" s="10"/>
      <c r="AF440" s="10"/>
    </row>
    <row r="441" spans="21:32" s="3" customFormat="1" ht="12" x14ac:dyDescent="0.15">
      <c r="U441" s="99"/>
      <c r="AE441" s="10"/>
      <c r="AF441" s="10"/>
    </row>
    <row r="442" spans="21:32" s="3" customFormat="1" ht="12" x14ac:dyDescent="0.15">
      <c r="U442" s="99"/>
      <c r="AE442" s="10"/>
      <c r="AF442" s="10"/>
    </row>
    <row r="443" spans="21:32" s="3" customFormat="1" ht="12" x14ac:dyDescent="0.15">
      <c r="U443" s="99"/>
      <c r="AE443" s="10"/>
      <c r="AF443" s="10"/>
    </row>
    <row r="444" spans="21:32" s="3" customFormat="1" ht="12" x14ac:dyDescent="0.15">
      <c r="U444" s="99"/>
      <c r="AE444" s="10"/>
      <c r="AF444" s="10"/>
    </row>
    <row r="445" spans="21:32" s="3" customFormat="1" ht="12" x14ac:dyDescent="0.15">
      <c r="U445" s="99"/>
      <c r="AE445" s="10"/>
      <c r="AF445" s="10"/>
    </row>
    <row r="446" spans="21:32" s="3" customFormat="1" ht="12" x14ac:dyDescent="0.15">
      <c r="U446" s="99"/>
      <c r="AE446" s="10"/>
      <c r="AF446" s="10"/>
    </row>
    <row r="447" spans="21:32" s="3" customFormat="1" ht="12" x14ac:dyDescent="0.15">
      <c r="U447" s="99"/>
      <c r="AE447" s="10"/>
      <c r="AF447" s="10"/>
    </row>
    <row r="448" spans="21:32" s="3" customFormat="1" ht="12" x14ac:dyDescent="0.15">
      <c r="U448" s="99"/>
      <c r="AE448" s="10"/>
      <c r="AF448" s="10"/>
    </row>
    <row r="449" spans="21:32" s="3" customFormat="1" ht="12" x14ac:dyDescent="0.15">
      <c r="U449" s="99"/>
      <c r="AE449" s="10"/>
      <c r="AF449" s="10"/>
    </row>
    <row r="450" spans="21:32" s="3" customFormat="1" ht="12" x14ac:dyDescent="0.15">
      <c r="U450" s="99"/>
      <c r="AE450" s="10"/>
      <c r="AF450" s="10"/>
    </row>
    <row r="451" spans="21:32" s="3" customFormat="1" ht="12" x14ac:dyDescent="0.15">
      <c r="U451" s="99"/>
      <c r="AE451" s="10"/>
      <c r="AF451" s="10"/>
    </row>
    <row r="452" spans="21:32" s="3" customFormat="1" ht="12" x14ac:dyDescent="0.15">
      <c r="U452" s="99"/>
      <c r="AE452" s="10"/>
      <c r="AF452" s="10"/>
    </row>
    <row r="453" spans="21:32" s="3" customFormat="1" ht="12" x14ac:dyDescent="0.15">
      <c r="U453" s="99"/>
      <c r="AE453" s="10"/>
      <c r="AF453" s="10"/>
    </row>
    <row r="454" spans="21:32" s="3" customFormat="1" ht="12" x14ac:dyDescent="0.15">
      <c r="U454" s="99"/>
      <c r="AE454" s="10"/>
      <c r="AF454" s="10"/>
    </row>
    <row r="455" spans="21:32" s="3" customFormat="1" ht="12" x14ac:dyDescent="0.15">
      <c r="U455" s="99"/>
      <c r="AE455" s="10"/>
      <c r="AF455" s="10"/>
    </row>
    <row r="456" spans="21:32" s="3" customFormat="1" ht="12" x14ac:dyDescent="0.15">
      <c r="U456" s="99"/>
      <c r="AE456" s="10"/>
      <c r="AF456" s="10"/>
    </row>
    <row r="457" spans="21:32" s="3" customFormat="1" ht="12" x14ac:dyDescent="0.15">
      <c r="U457" s="99"/>
      <c r="AE457" s="10"/>
      <c r="AF457" s="10"/>
    </row>
    <row r="458" spans="21:32" s="3" customFormat="1" ht="12" x14ac:dyDescent="0.15">
      <c r="U458" s="99"/>
      <c r="AE458" s="10"/>
      <c r="AF458" s="10"/>
    </row>
    <row r="459" spans="21:32" s="3" customFormat="1" ht="12" x14ac:dyDescent="0.15">
      <c r="U459" s="99"/>
      <c r="AE459" s="10"/>
      <c r="AF459" s="10"/>
    </row>
    <row r="460" spans="21:32" s="3" customFormat="1" ht="12" x14ac:dyDescent="0.15">
      <c r="U460" s="99"/>
      <c r="AE460" s="10"/>
      <c r="AF460" s="10"/>
    </row>
    <row r="461" spans="21:32" s="3" customFormat="1" ht="12" x14ac:dyDescent="0.15">
      <c r="U461" s="99"/>
      <c r="AE461" s="10"/>
      <c r="AF461" s="10"/>
    </row>
    <row r="462" spans="21:32" s="3" customFormat="1" ht="12" x14ac:dyDescent="0.15">
      <c r="U462" s="99"/>
      <c r="AE462" s="10"/>
      <c r="AF462" s="10"/>
    </row>
    <row r="463" spans="21:32" s="3" customFormat="1" ht="12" x14ac:dyDescent="0.15">
      <c r="U463" s="99"/>
    </row>
    <row r="464" spans="21:32" s="3" customFormat="1" ht="12" x14ac:dyDescent="0.15">
      <c r="U464" s="99"/>
    </row>
    <row r="465" spans="21:21" s="3" customFormat="1" ht="12" x14ac:dyDescent="0.15">
      <c r="U465" s="99"/>
    </row>
    <row r="466" spans="21:21" s="3" customFormat="1" ht="12" x14ac:dyDescent="0.15">
      <c r="U466" s="99"/>
    </row>
    <row r="467" spans="21:21" s="3" customFormat="1" ht="12" x14ac:dyDescent="0.15">
      <c r="U467" s="99"/>
    </row>
    <row r="468" spans="21:21" s="3" customFormat="1" ht="12" x14ac:dyDescent="0.15">
      <c r="U468" s="99"/>
    </row>
    <row r="469" spans="21:21" s="3" customFormat="1" ht="12" x14ac:dyDescent="0.15">
      <c r="U469" s="99"/>
    </row>
    <row r="470" spans="21:21" s="3" customFormat="1" ht="12" x14ac:dyDescent="0.15">
      <c r="U470" s="99"/>
    </row>
    <row r="471" spans="21:21" s="3" customFormat="1" ht="12" x14ac:dyDescent="0.15">
      <c r="U471" s="99"/>
    </row>
    <row r="472" spans="21:21" s="3" customFormat="1" ht="12" x14ac:dyDescent="0.15">
      <c r="U472" s="99"/>
    </row>
    <row r="473" spans="21:21" s="3" customFormat="1" ht="12" x14ac:dyDescent="0.15">
      <c r="U473" s="99"/>
    </row>
    <row r="474" spans="21:21" s="3" customFormat="1" ht="12" x14ac:dyDescent="0.15">
      <c r="U474" s="99"/>
    </row>
    <row r="475" spans="21:21" s="3" customFormat="1" ht="12" x14ac:dyDescent="0.15">
      <c r="U475" s="99"/>
    </row>
    <row r="476" spans="21:21" s="3" customFormat="1" ht="12" x14ac:dyDescent="0.15">
      <c r="U476" s="99"/>
    </row>
    <row r="477" spans="21:21" s="3" customFormat="1" ht="12" x14ac:dyDescent="0.15">
      <c r="U477" s="99"/>
    </row>
    <row r="478" spans="21:21" s="3" customFormat="1" ht="12" x14ac:dyDescent="0.15">
      <c r="U478" s="99"/>
    </row>
    <row r="479" spans="21:21" s="3" customFormat="1" ht="12" x14ac:dyDescent="0.15">
      <c r="U479" s="99"/>
    </row>
    <row r="480" spans="21:21" s="3" customFormat="1" ht="12" x14ac:dyDescent="0.15">
      <c r="U480" s="99"/>
    </row>
    <row r="481" spans="21:21" s="3" customFormat="1" ht="12" x14ac:dyDescent="0.15">
      <c r="U481" s="99"/>
    </row>
    <row r="482" spans="21:21" s="3" customFormat="1" ht="12" x14ac:dyDescent="0.15">
      <c r="U482" s="99"/>
    </row>
    <row r="483" spans="21:21" s="3" customFormat="1" ht="12" x14ac:dyDescent="0.15">
      <c r="U483" s="99"/>
    </row>
    <row r="484" spans="21:21" s="3" customFormat="1" ht="12" x14ac:dyDescent="0.15">
      <c r="U484" s="99"/>
    </row>
    <row r="485" spans="21:21" s="3" customFormat="1" ht="12" x14ac:dyDescent="0.15">
      <c r="U485" s="99"/>
    </row>
    <row r="486" spans="21:21" s="3" customFormat="1" ht="12" x14ac:dyDescent="0.15">
      <c r="U486" s="99"/>
    </row>
    <row r="487" spans="21:21" s="3" customFormat="1" ht="12" x14ac:dyDescent="0.15">
      <c r="U487" s="99"/>
    </row>
    <row r="488" spans="21:21" s="3" customFormat="1" ht="12" x14ac:dyDescent="0.15">
      <c r="U488" s="99"/>
    </row>
    <row r="489" spans="21:21" s="3" customFormat="1" ht="12" x14ac:dyDescent="0.15">
      <c r="U489" s="99"/>
    </row>
    <row r="490" spans="21:21" s="3" customFormat="1" ht="12" x14ac:dyDescent="0.15">
      <c r="U490" s="99"/>
    </row>
    <row r="491" spans="21:21" s="3" customFormat="1" ht="12" x14ac:dyDescent="0.15">
      <c r="U491" s="99"/>
    </row>
    <row r="492" spans="21:21" s="3" customFormat="1" ht="12" x14ac:dyDescent="0.15">
      <c r="U492" s="99"/>
    </row>
    <row r="493" spans="21:21" s="3" customFormat="1" ht="12" x14ac:dyDescent="0.15">
      <c r="U493" s="99"/>
    </row>
    <row r="494" spans="21:21" s="3" customFormat="1" ht="12" x14ac:dyDescent="0.15">
      <c r="U494" s="99"/>
    </row>
    <row r="495" spans="21:21" s="3" customFormat="1" ht="12" x14ac:dyDescent="0.15">
      <c r="U495" s="99"/>
    </row>
    <row r="496" spans="21:21" s="3" customFormat="1" ht="12" x14ac:dyDescent="0.15">
      <c r="U496" s="99"/>
    </row>
    <row r="497" spans="21:21" s="3" customFormat="1" ht="12" x14ac:dyDescent="0.15">
      <c r="U497" s="99"/>
    </row>
    <row r="498" spans="21:21" s="3" customFormat="1" ht="12" x14ac:dyDescent="0.15">
      <c r="U498" s="99"/>
    </row>
    <row r="499" spans="21:21" s="3" customFormat="1" ht="12" x14ac:dyDescent="0.15">
      <c r="U499" s="99"/>
    </row>
    <row r="500" spans="21:21" s="3" customFormat="1" ht="12" x14ac:dyDescent="0.15">
      <c r="U500" s="99"/>
    </row>
    <row r="501" spans="21:21" s="3" customFormat="1" ht="12" x14ac:dyDescent="0.15">
      <c r="U501" s="99"/>
    </row>
    <row r="502" spans="21:21" s="3" customFormat="1" ht="12" x14ac:dyDescent="0.15">
      <c r="U502" s="99"/>
    </row>
    <row r="503" spans="21:21" s="3" customFormat="1" ht="12" x14ac:dyDescent="0.15">
      <c r="U503" s="99"/>
    </row>
    <row r="504" spans="21:21" s="3" customFormat="1" ht="12" x14ac:dyDescent="0.15">
      <c r="U504" s="99"/>
    </row>
    <row r="505" spans="21:21" s="3" customFormat="1" ht="12" x14ac:dyDescent="0.15">
      <c r="U505" s="99"/>
    </row>
    <row r="506" spans="21:21" s="3" customFormat="1" ht="12" x14ac:dyDescent="0.15">
      <c r="U506" s="99"/>
    </row>
    <row r="507" spans="21:21" s="3" customFormat="1" ht="12" x14ac:dyDescent="0.15">
      <c r="U507" s="99"/>
    </row>
    <row r="508" spans="21:21" s="3" customFormat="1" ht="12" x14ac:dyDescent="0.15">
      <c r="U508" s="99"/>
    </row>
    <row r="509" spans="21:21" s="3" customFormat="1" ht="12" x14ac:dyDescent="0.15">
      <c r="U509" s="99"/>
    </row>
    <row r="510" spans="21:21" s="3" customFormat="1" ht="12" x14ac:dyDescent="0.15">
      <c r="U510" s="99"/>
    </row>
    <row r="511" spans="21:21" s="3" customFormat="1" ht="12" x14ac:dyDescent="0.15">
      <c r="U511" s="99"/>
    </row>
    <row r="512" spans="21:21" s="3" customFormat="1" ht="12" x14ac:dyDescent="0.15">
      <c r="U512" s="99"/>
    </row>
    <row r="513" spans="21:21" s="3" customFormat="1" ht="12" x14ac:dyDescent="0.15">
      <c r="U513" s="99"/>
    </row>
    <row r="514" spans="21:21" s="3" customFormat="1" ht="12" x14ac:dyDescent="0.15">
      <c r="U514" s="99"/>
    </row>
    <row r="515" spans="21:21" s="3" customFormat="1" ht="12" x14ac:dyDescent="0.15">
      <c r="U515" s="99"/>
    </row>
    <row r="516" spans="21:21" s="3" customFormat="1" ht="12" x14ac:dyDescent="0.15">
      <c r="U516" s="99"/>
    </row>
    <row r="517" spans="21:21" s="3" customFormat="1" ht="12" x14ac:dyDescent="0.15">
      <c r="U517" s="99"/>
    </row>
    <row r="518" spans="21:21" s="3" customFormat="1" ht="12" x14ac:dyDescent="0.15">
      <c r="U518" s="99"/>
    </row>
    <row r="519" spans="21:21" s="3" customFormat="1" ht="12" x14ac:dyDescent="0.15">
      <c r="U519" s="99"/>
    </row>
    <row r="520" spans="21:21" s="3" customFormat="1" ht="12" x14ac:dyDescent="0.15">
      <c r="U520" s="99"/>
    </row>
    <row r="521" spans="21:21" s="3" customFormat="1" ht="12" x14ac:dyDescent="0.15">
      <c r="U521" s="99"/>
    </row>
    <row r="522" spans="21:21" s="3" customFormat="1" ht="12" x14ac:dyDescent="0.15">
      <c r="U522" s="99"/>
    </row>
    <row r="523" spans="21:21" s="3" customFormat="1" ht="12" x14ac:dyDescent="0.15">
      <c r="U523" s="99"/>
    </row>
    <row r="524" spans="21:21" s="3" customFormat="1" ht="12" x14ac:dyDescent="0.15">
      <c r="U524" s="99"/>
    </row>
    <row r="525" spans="21:21" s="3" customFormat="1" ht="12" x14ac:dyDescent="0.15">
      <c r="U525" s="99"/>
    </row>
    <row r="526" spans="21:21" s="3" customFormat="1" ht="12" x14ac:dyDescent="0.15">
      <c r="U526" s="99"/>
    </row>
    <row r="527" spans="21:21" s="3" customFormat="1" ht="12" x14ac:dyDescent="0.15">
      <c r="U527" s="99"/>
    </row>
    <row r="528" spans="21:21" s="3" customFormat="1" ht="12" x14ac:dyDescent="0.15">
      <c r="U528" s="99"/>
    </row>
    <row r="529" spans="21:21" s="3" customFormat="1" ht="12" x14ac:dyDescent="0.15">
      <c r="U529" s="99"/>
    </row>
    <row r="530" spans="21:21" s="3" customFormat="1" ht="12" x14ac:dyDescent="0.15">
      <c r="U530" s="99"/>
    </row>
    <row r="531" spans="21:21" s="3" customFormat="1" ht="12" x14ac:dyDescent="0.15">
      <c r="U531" s="99"/>
    </row>
    <row r="532" spans="21:21" s="3" customFormat="1" ht="12" x14ac:dyDescent="0.15">
      <c r="U532" s="99"/>
    </row>
    <row r="533" spans="21:21" s="3" customFormat="1" ht="12" x14ac:dyDescent="0.15">
      <c r="U533" s="99"/>
    </row>
    <row r="534" spans="21:21" s="3" customFormat="1" ht="12" x14ac:dyDescent="0.15">
      <c r="U534" s="99"/>
    </row>
    <row r="535" spans="21:21" s="3" customFormat="1" ht="12" x14ac:dyDescent="0.15">
      <c r="U535" s="99"/>
    </row>
    <row r="536" spans="21:21" s="3" customFormat="1" ht="12" x14ac:dyDescent="0.15">
      <c r="U536" s="99"/>
    </row>
    <row r="537" spans="21:21" s="3" customFormat="1" ht="12" x14ac:dyDescent="0.15">
      <c r="U537" s="99"/>
    </row>
    <row r="538" spans="21:21" s="3" customFormat="1" ht="12" x14ac:dyDescent="0.15">
      <c r="U538" s="99"/>
    </row>
    <row r="539" spans="21:21" s="3" customFormat="1" ht="12" x14ac:dyDescent="0.15">
      <c r="U539" s="99"/>
    </row>
    <row r="540" spans="21:21" s="3" customFormat="1" ht="12" x14ac:dyDescent="0.15">
      <c r="U540" s="99"/>
    </row>
    <row r="541" spans="21:21" s="3" customFormat="1" ht="12" x14ac:dyDescent="0.15">
      <c r="U541" s="99"/>
    </row>
    <row r="542" spans="21:21" s="3" customFormat="1" ht="12" x14ac:dyDescent="0.15">
      <c r="U542" s="99"/>
    </row>
    <row r="543" spans="21:21" s="3" customFormat="1" ht="12" x14ac:dyDescent="0.15">
      <c r="U543" s="99"/>
    </row>
    <row r="544" spans="21:21" s="3" customFormat="1" ht="12" x14ac:dyDescent="0.15">
      <c r="U544" s="99"/>
    </row>
    <row r="545" spans="21:21" s="3" customFormat="1" ht="12" x14ac:dyDescent="0.15">
      <c r="U545" s="99"/>
    </row>
    <row r="546" spans="21:21" s="3" customFormat="1" ht="12" x14ac:dyDescent="0.15">
      <c r="U546" s="99"/>
    </row>
    <row r="547" spans="21:21" s="3" customFormat="1" ht="12" x14ac:dyDescent="0.15">
      <c r="U547" s="99"/>
    </row>
    <row r="548" spans="21:21" s="3" customFormat="1" ht="12" x14ac:dyDescent="0.15">
      <c r="U548" s="99"/>
    </row>
    <row r="549" spans="21:21" s="3" customFormat="1" ht="12" x14ac:dyDescent="0.15">
      <c r="U549" s="99"/>
    </row>
    <row r="550" spans="21:21" s="3" customFormat="1" ht="12" x14ac:dyDescent="0.15">
      <c r="U550" s="99"/>
    </row>
    <row r="551" spans="21:21" s="3" customFormat="1" ht="12" x14ac:dyDescent="0.15">
      <c r="U551" s="99"/>
    </row>
    <row r="552" spans="21:21" s="3" customFormat="1" ht="12" x14ac:dyDescent="0.15">
      <c r="U552" s="99"/>
    </row>
    <row r="553" spans="21:21" s="3" customFormat="1" ht="12" x14ac:dyDescent="0.15">
      <c r="U553" s="99"/>
    </row>
    <row r="554" spans="21:21" s="3" customFormat="1" ht="12" x14ac:dyDescent="0.15">
      <c r="U554" s="99"/>
    </row>
    <row r="555" spans="21:21" s="3" customFormat="1" ht="12" x14ac:dyDescent="0.15">
      <c r="U555" s="99"/>
    </row>
    <row r="556" spans="21:21" s="3" customFormat="1" ht="12" x14ac:dyDescent="0.15">
      <c r="U556" s="99"/>
    </row>
    <row r="557" spans="21:21" s="3" customFormat="1" ht="12" x14ac:dyDescent="0.15">
      <c r="U557" s="99"/>
    </row>
    <row r="558" spans="21:21" s="3" customFormat="1" ht="12" x14ac:dyDescent="0.15">
      <c r="U558" s="99"/>
    </row>
    <row r="559" spans="21:21" s="3" customFormat="1" ht="12" x14ac:dyDescent="0.15">
      <c r="U559" s="99"/>
    </row>
    <row r="560" spans="21:21" s="3" customFormat="1" ht="12" x14ac:dyDescent="0.15">
      <c r="U560" s="99"/>
    </row>
    <row r="561" spans="21:21" s="3" customFormat="1" ht="12" x14ac:dyDescent="0.15">
      <c r="U561" s="99"/>
    </row>
    <row r="562" spans="21:21" s="3" customFormat="1" ht="12" x14ac:dyDescent="0.15">
      <c r="U562" s="99"/>
    </row>
    <row r="563" spans="21:21" s="3" customFormat="1" ht="12" x14ac:dyDescent="0.15">
      <c r="U563" s="99"/>
    </row>
    <row r="564" spans="21:21" s="3" customFormat="1" ht="12" x14ac:dyDescent="0.15">
      <c r="U564" s="99"/>
    </row>
    <row r="565" spans="21:21" s="3" customFormat="1" ht="12" x14ac:dyDescent="0.15">
      <c r="U565" s="99"/>
    </row>
    <row r="566" spans="21:21" s="3" customFormat="1" ht="12" x14ac:dyDescent="0.15">
      <c r="U566" s="99"/>
    </row>
    <row r="567" spans="21:21" s="3" customFormat="1" ht="12" x14ac:dyDescent="0.15">
      <c r="U567" s="99"/>
    </row>
    <row r="568" spans="21:21" s="3" customFormat="1" ht="12" x14ac:dyDescent="0.15">
      <c r="U568" s="99"/>
    </row>
    <row r="569" spans="21:21" s="3" customFormat="1" ht="12" x14ac:dyDescent="0.15">
      <c r="U569" s="99"/>
    </row>
    <row r="570" spans="21:21" s="3" customFormat="1" ht="12" x14ac:dyDescent="0.15">
      <c r="U570" s="99"/>
    </row>
    <row r="571" spans="21:21" s="3" customFormat="1" ht="12" x14ac:dyDescent="0.15">
      <c r="U571" s="99"/>
    </row>
    <row r="572" spans="21:21" s="3" customFormat="1" ht="12" x14ac:dyDescent="0.15">
      <c r="U572" s="99"/>
    </row>
    <row r="573" spans="21:21" s="3" customFormat="1" ht="12" x14ac:dyDescent="0.15">
      <c r="U573" s="99"/>
    </row>
    <row r="574" spans="21:21" s="3" customFormat="1" ht="12" x14ac:dyDescent="0.15">
      <c r="U574" s="99"/>
    </row>
    <row r="575" spans="21:21" s="3" customFormat="1" ht="12" x14ac:dyDescent="0.15">
      <c r="U575" s="99"/>
    </row>
    <row r="576" spans="21:21" s="3" customFormat="1" ht="12" x14ac:dyDescent="0.15">
      <c r="U576" s="99"/>
    </row>
    <row r="577" spans="21:21" s="3" customFormat="1" ht="12" x14ac:dyDescent="0.15">
      <c r="U577" s="99"/>
    </row>
    <row r="578" spans="21:21" s="3" customFormat="1" ht="12" x14ac:dyDescent="0.15">
      <c r="U578" s="99"/>
    </row>
    <row r="579" spans="21:21" s="3" customFormat="1" ht="12" x14ac:dyDescent="0.15">
      <c r="U579" s="99"/>
    </row>
    <row r="580" spans="21:21" s="3" customFormat="1" ht="12" x14ac:dyDescent="0.15">
      <c r="U580" s="99"/>
    </row>
    <row r="581" spans="21:21" s="3" customFormat="1" ht="12" x14ac:dyDescent="0.15">
      <c r="U581" s="99"/>
    </row>
    <row r="582" spans="21:21" s="3" customFormat="1" ht="12" x14ac:dyDescent="0.15">
      <c r="U582" s="99"/>
    </row>
    <row r="583" spans="21:21" s="3" customFormat="1" ht="12" x14ac:dyDescent="0.15">
      <c r="U583" s="99"/>
    </row>
    <row r="584" spans="21:21" s="3" customFormat="1" ht="12" x14ac:dyDescent="0.15">
      <c r="U584" s="99"/>
    </row>
    <row r="585" spans="21:21" s="3" customFormat="1" ht="12" x14ac:dyDescent="0.15">
      <c r="U585" s="99"/>
    </row>
    <row r="586" spans="21:21" s="3" customFormat="1" ht="12" x14ac:dyDescent="0.15">
      <c r="U586" s="99"/>
    </row>
    <row r="587" spans="21:21" s="3" customFormat="1" ht="12" x14ac:dyDescent="0.15">
      <c r="U587" s="99"/>
    </row>
    <row r="588" spans="21:21" s="3" customFormat="1" ht="12" x14ac:dyDescent="0.15">
      <c r="U588" s="99"/>
    </row>
    <row r="589" spans="21:21" s="3" customFormat="1" ht="12" x14ac:dyDescent="0.15">
      <c r="U589" s="99"/>
    </row>
    <row r="590" spans="21:21" s="3" customFormat="1" ht="12" x14ac:dyDescent="0.15">
      <c r="U590" s="99"/>
    </row>
    <row r="591" spans="21:21" s="3" customFormat="1" ht="12" x14ac:dyDescent="0.15">
      <c r="U591" s="99"/>
    </row>
    <row r="592" spans="21:21" s="3" customFormat="1" ht="12" x14ac:dyDescent="0.15">
      <c r="U592" s="99"/>
    </row>
    <row r="593" spans="21:21" s="3" customFormat="1" ht="12" x14ac:dyDescent="0.15">
      <c r="U593" s="99"/>
    </row>
    <row r="594" spans="21:21" s="3" customFormat="1" ht="12" x14ac:dyDescent="0.15">
      <c r="U594" s="99"/>
    </row>
    <row r="595" spans="21:21" s="3" customFormat="1" ht="12" x14ac:dyDescent="0.15">
      <c r="U595" s="99"/>
    </row>
    <row r="596" spans="21:21" s="3" customFormat="1" ht="12" x14ac:dyDescent="0.15">
      <c r="U596" s="99"/>
    </row>
    <row r="597" spans="21:21" s="3" customFormat="1" ht="12" x14ac:dyDescent="0.15">
      <c r="U597" s="99"/>
    </row>
    <row r="598" spans="21:21" s="3" customFormat="1" ht="12" x14ac:dyDescent="0.15">
      <c r="U598" s="99"/>
    </row>
    <row r="599" spans="21:21" s="3" customFormat="1" ht="12" x14ac:dyDescent="0.15">
      <c r="U599" s="99"/>
    </row>
    <row r="600" spans="21:21" s="3" customFormat="1" ht="12" x14ac:dyDescent="0.15">
      <c r="U600" s="99"/>
    </row>
    <row r="601" spans="21:21" s="3" customFormat="1" ht="12" x14ac:dyDescent="0.15">
      <c r="U601" s="99"/>
    </row>
    <row r="602" spans="21:21" s="3" customFormat="1" ht="12" x14ac:dyDescent="0.15">
      <c r="U602" s="99"/>
    </row>
    <row r="603" spans="21:21" s="3" customFormat="1" ht="12" x14ac:dyDescent="0.15">
      <c r="U603" s="99"/>
    </row>
    <row r="604" spans="21:21" s="3" customFormat="1" ht="12" x14ac:dyDescent="0.15">
      <c r="U604" s="99"/>
    </row>
    <row r="605" spans="21:21" s="3" customFormat="1" ht="12" x14ac:dyDescent="0.15">
      <c r="U605" s="99"/>
    </row>
    <row r="606" spans="21:21" s="3" customFormat="1" ht="12" x14ac:dyDescent="0.15">
      <c r="U606" s="99"/>
    </row>
    <row r="607" spans="21:21" s="3" customFormat="1" ht="12" x14ac:dyDescent="0.15">
      <c r="U607" s="99"/>
    </row>
    <row r="608" spans="21:21" s="3" customFormat="1" ht="12" x14ac:dyDescent="0.15">
      <c r="U608" s="99"/>
    </row>
    <row r="609" spans="12:21" s="3" customFormat="1" ht="12" x14ac:dyDescent="0.15">
      <c r="U609" s="99"/>
    </row>
    <row r="610" spans="12:21" s="3" customFormat="1" ht="12" x14ac:dyDescent="0.15">
      <c r="L610" s="4"/>
      <c r="M610" s="4"/>
      <c r="N610" s="4"/>
      <c r="O610" s="4"/>
      <c r="P610" s="4"/>
      <c r="U610" s="99"/>
    </row>
    <row r="611" spans="12:21" s="3" customFormat="1" ht="12" x14ac:dyDescent="0.15">
      <c r="L611" s="4"/>
      <c r="M611" s="4"/>
      <c r="N611" s="4"/>
      <c r="O611" s="4"/>
      <c r="P611" s="4"/>
      <c r="U611" s="99"/>
    </row>
    <row r="612" spans="12:21" s="3" customFormat="1" ht="12" x14ac:dyDescent="0.15">
      <c r="L612" s="4"/>
      <c r="M612" s="4"/>
      <c r="N612" s="4"/>
      <c r="O612" s="4"/>
      <c r="P612" s="4"/>
      <c r="U612" s="99"/>
    </row>
    <row r="613" spans="12:21" s="3" customFormat="1" ht="12" x14ac:dyDescent="0.15">
      <c r="L613" s="4"/>
      <c r="M613" s="4"/>
      <c r="N613" s="4"/>
      <c r="O613" s="4"/>
      <c r="P613" s="4"/>
      <c r="U613" s="99"/>
    </row>
    <row r="614" spans="12:21" s="3" customFormat="1" ht="12" x14ac:dyDescent="0.15">
      <c r="L614" s="4"/>
      <c r="M614" s="4"/>
      <c r="N614" s="4"/>
      <c r="O614" s="4"/>
      <c r="P614" s="4"/>
      <c r="U614" s="99"/>
    </row>
    <row r="615" spans="12:21" s="3" customFormat="1" ht="12" x14ac:dyDescent="0.15">
      <c r="L615" s="4"/>
      <c r="M615" s="4"/>
      <c r="N615" s="4"/>
      <c r="O615" s="4"/>
      <c r="P615" s="4"/>
      <c r="U615" s="99"/>
    </row>
    <row r="616" spans="12:21" s="3" customFormat="1" ht="12" x14ac:dyDescent="0.15">
      <c r="L616" s="4"/>
      <c r="M616" s="4"/>
      <c r="N616" s="4"/>
      <c r="O616" s="4"/>
      <c r="P616" s="4"/>
      <c r="U616" s="99"/>
    </row>
    <row r="617" spans="12:21" s="3" customFormat="1" ht="12" x14ac:dyDescent="0.15">
      <c r="L617" s="4"/>
      <c r="M617" s="4"/>
      <c r="N617" s="4"/>
      <c r="O617" s="4"/>
      <c r="P617" s="4"/>
      <c r="U617" s="99"/>
    </row>
    <row r="618" spans="12:21" s="3" customFormat="1" ht="12" x14ac:dyDescent="0.15">
      <c r="L618" s="4"/>
      <c r="M618" s="4"/>
      <c r="N618" s="4"/>
      <c r="O618" s="4"/>
      <c r="P618" s="4"/>
      <c r="U618" s="99"/>
    </row>
    <row r="619" spans="12:21" s="3" customFormat="1" ht="12" x14ac:dyDescent="0.15">
      <c r="L619" s="4"/>
      <c r="M619" s="4"/>
      <c r="N619" s="4"/>
      <c r="O619" s="4"/>
      <c r="P619" s="4"/>
      <c r="U619" s="99"/>
    </row>
    <row r="620" spans="12:21" s="3" customFormat="1" ht="12" x14ac:dyDescent="0.15">
      <c r="L620" s="4"/>
      <c r="M620" s="4"/>
      <c r="N620" s="4"/>
      <c r="O620" s="4"/>
      <c r="P620" s="4"/>
      <c r="U620" s="99"/>
    </row>
    <row r="621" spans="12:21" s="3" customFormat="1" ht="12" x14ac:dyDescent="0.15">
      <c r="L621" s="4"/>
      <c r="M621" s="4"/>
      <c r="N621" s="4"/>
      <c r="O621" s="4"/>
      <c r="P621" s="4"/>
      <c r="U621" s="99"/>
    </row>
    <row r="622" spans="12:21" s="3" customFormat="1" ht="12" x14ac:dyDescent="0.15">
      <c r="L622" s="4"/>
      <c r="M622" s="4"/>
      <c r="N622" s="4"/>
      <c r="O622" s="4"/>
      <c r="P622" s="4"/>
      <c r="Q622" s="4"/>
      <c r="U622" s="99"/>
    </row>
    <row r="623" spans="12:21" s="3" customFormat="1" ht="12" x14ac:dyDescent="0.15">
      <c r="L623" s="4"/>
      <c r="M623" s="4"/>
      <c r="N623" s="4"/>
      <c r="O623" s="4"/>
      <c r="P623" s="4"/>
      <c r="Q623" s="4"/>
      <c r="U623" s="99"/>
    </row>
    <row r="624" spans="12:21" s="3" customFormat="1" ht="12" x14ac:dyDescent="0.15">
      <c r="L624" s="4"/>
      <c r="M624" s="4"/>
      <c r="N624" s="4"/>
      <c r="O624" s="4"/>
      <c r="P624" s="4"/>
      <c r="Q624" s="4"/>
      <c r="U624" s="99"/>
    </row>
    <row r="625" spans="11:21" s="3" customFormat="1" ht="12" x14ac:dyDescent="0.15">
      <c r="L625" s="4"/>
      <c r="M625" s="4"/>
      <c r="N625" s="4"/>
      <c r="O625" s="4"/>
      <c r="P625" s="4"/>
      <c r="Q625" s="4"/>
      <c r="U625" s="99"/>
    </row>
    <row r="626" spans="11:21" s="3" customFormat="1" ht="12" x14ac:dyDescent="0.15">
      <c r="L626" s="4"/>
      <c r="M626" s="4"/>
      <c r="N626" s="4"/>
      <c r="O626" s="4"/>
      <c r="P626" s="4"/>
      <c r="Q626" s="4"/>
      <c r="U626" s="99"/>
    </row>
    <row r="627" spans="11:21" s="3" customFormat="1" ht="12" x14ac:dyDescent="0.15">
      <c r="L627" s="4"/>
      <c r="M627" s="4"/>
      <c r="N627" s="4"/>
      <c r="O627" s="4"/>
      <c r="P627" s="4"/>
      <c r="Q627" s="4"/>
      <c r="U627" s="99"/>
    </row>
    <row r="628" spans="11:21" s="3" customFormat="1" ht="12" x14ac:dyDescent="0.15">
      <c r="L628" s="4"/>
      <c r="M628" s="4"/>
      <c r="N628" s="4"/>
      <c r="O628" s="4"/>
      <c r="P628" s="4"/>
      <c r="Q628" s="4"/>
      <c r="U628" s="99"/>
    </row>
    <row r="629" spans="11:21" s="3" customFormat="1" ht="12" x14ac:dyDescent="0.15">
      <c r="L629" s="4"/>
      <c r="M629" s="4"/>
      <c r="N629" s="4"/>
      <c r="O629" s="4"/>
      <c r="P629" s="4"/>
      <c r="Q629" s="4"/>
      <c r="U629" s="99"/>
    </row>
    <row r="630" spans="11:21" s="3" customFormat="1" ht="12" x14ac:dyDescent="0.15">
      <c r="L630" s="4"/>
      <c r="M630" s="4"/>
      <c r="N630" s="4"/>
      <c r="O630" s="4"/>
      <c r="P630" s="4"/>
      <c r="Q630" s="4"/>
      <c r="U630" s="99"/>
    </row>
    <row r="631" spans="11:21" s="3" customFormat="1" ht="12" x14ac:dyDescent="0.15">
      <c r="L631" s="4"/>
      <c r="M631" s="4"/>
      <c r="N631" s="4"/>
      <c r="O631" s="4"/>
      <c r="P631" s="4"/>
      <c r="Q631" s="4"/>
      <c r="U631" s="99"/>
    </row>
    <row r="632" spans="11:21" s="3" customFormat="1" ht="12" x14ac:dyDescent="0.15">
      <c r="L632" s="4"/>
      <c r="M632" s="4"/>
      <c r="N632" s="4"/>
      <c r="O632" s="4"/>
      <c r="P632" s="4"/>
      <c r="Q632" s="4"/>
      <c r="U632" s="99"/>
    </row>
    <row r="633" spans="11:21" s="3" customFormat="1" ht="12" x14ac:dyDescent="0.15">
      <c r="L633" s="4"/>
      <c r="M633" s="4"/>
      <c r="N633" s="4"/>
      <c r="O633" s="4"/>
      <c r="P633" s="4"/>
      <c r="Q633" s="4"/>
      <c r="U633" s="99"/>
    </row>
    <row r="634" spans="11:21" s="3" customFormat="1" ht="12" x14ac:dyDescent="0.15">
      <c r="L634" s="4"/>
      <c r="M634" s="4"/>
      <c r="N634" s="4"/>
      <c r="O634" s="4"/>
      <c r="P634" s="4"/>
      <c r="Q634" s="4"/>
      <c r="U634" s="99"/>
    </row>
    <row r="635" spans="11:21" s="3" customFormat="1" ht="12" x14ac:dyDescent="0.15">
      <c r="L635" s="4"/>
      <c r="M635" s="4"/>
      <c r="N635" s="4"/>
      <c r="O635" s="4"/>
      <c r="P635" s="4"/>
      <c r="Q635" s="4"/>
      <c r="U635" s="99"/>
    </row>
    <row r="636" spans="11:21" s="3" customFormat="1" ht="12" x14ac:dyDescent="0.15">
      <c r="L636" s="4"/>
      <c r="M636" s="4"/>
      <c r="N636" s="4"/>
      <c r="O636" s="4"/>
      <c r="P636" s="4"/>
      <c r="Q636" s="4"/>
      <c r="U636" s="99"/>
    </row>
    <row r="637" spans="11:21" s="3" customFormat="1" ht="12" x14ac:dyDescent="0.15">
      <c r="L637" s="4"/>
      <c r="M637" s="4"/>
      <c r="N637" s="4"/>
      <c r="O637" s="4"/>
      <c r="P637" s="4"/>
      <c r="Q637" s="4"/>
      <c r="U637" s="99"/>
    </row>
    <row r="638" spans="11:21" s="3" customFormat="1" ht="12" x14ac:dyDescent="0.15">
      <c r="K638" s="4"/>
      <c r="L638" s="4"/>
      <c r="M638" s="4"/>
      <c r="N638" s="4"/>
      <c r="O638" s="4"/>
      <c r="P638" s="4"/>
      <c r="Q638" s="4"/>
      <c r="U638" s="99"/>
    </row>
    <row r="639" spans="11:21" s="3" customFormat="1" ht="12" x14ac:dyDescent="0.15">
      <c r="K639" s="4"/>
      <c r="L639" s="4"/>
      <c r="M639" s="4"/>
      <c r="N639" s="4"/>
      <c r="O639" s="4"/>
      <c r="P639" s="4"/>
      <c r="Q639" s="4"/>
      <c r="U639" s="99"/>
    </row>
    <row r="640" spans="11:21" s="3" customFormat="1" ht="12" x14ac:dyDescent="0.15">
      <c r="K640" s="4"/>
      <c r="L640" s="4"/>
      <c r="M640" s="4"/>
      <c r="N640" s="4"/>
      <c r="O640" s="4"/>
      <c r="P640" s="4"/>
      <c r="Q640" s="4"/>
      <c r="U640" s="99"/>
    </row>
    <row r="641" spans="9:21" s="3" customFormat="1" ht="12" x14ac:dyDescent="0.15">
      <c r="K641" s="4"/>
      <c r="L641" s="4"/>
      <c r="M641" s="4"/>
      <c r="N641" s="4"/>
      <c r="O641" s="4"/>
      <c r="P641" s="4"/>
      <c r="Q641" s="4"/>
      <c r="U641" s="99"/>
    </row>
    <row r="642" spans="9:21" s="3" customFormat="1" ht="12" x14ac:dyDescent="0.15">
      <c r="K642" s="4"/>
      <c r="L642" s="4"/>
      <c r="M642" s="4"/>
      <c r="N642" s="4"/>
      <c r="O642" s="4"/>
      <c r="P642" s="4"/>
      <c r="Q642" s="4"/>
      <c r="U642" s="99"/>
    </row>
    <row r="643" spans="9:21" s="3" customFormat="1" ht="12" x14ac:dyDescent="0.15">
      <c r="K643" s="4"/>
      <c r="L643" s="4"/>
      <c r="M643" s="4"/>
      <c r="N643" s="4"/>
      <c r="O643" s="4"/>
      <c r="P643" s="4"/>
      <c r="Q643" s="4"/>
      <c r="U643" s="99"/>
    </row>
    <row r="644" spans="9:21" s="3" customFormat="1" ht="12" x14ac:dyDescent="0.15">
      <c r="K644" s="4"/>
      <c r="L644" s="4"/>
      <c r="M644" s="4"/>
      <c r="N644" s="4"/>
      <c r="O644" s="4"/>
      <c r="P644" s="4"/>
      <c r="Q644" s="4"/>
      <c r="U644" s="99"/>
    </row>
    <row r="645" spans="9:21" s="3" customFormat="1" ht="12" x14ac:dyDescent="0.15">
      <c r="K645" s="4"/>
      <c r="L645" s="4"/>
      <c r="M645" s="4"/>
      <c r="N645" s="4"/>
      <c r="O645" s="4"/>
      <c r="P645" s="4"/>
      <c r="Q645" s="4"/>
      <c r="U645" s="99"/>
    </row>
    <row r="646" spans="9:21" s="3" customFormat="1" ht="12" x14ac:dyDescent="0.15">
      <c r="K646" s="4"/>
      <c r="L646" s="4"/>
      <c r="M646" s="4"/>
      <c r="N646" s="4"/>
      <c r="O646" s="4"/>
      <c r="P646" s="4"/>
      <c r="Q646" s="4"/>
      <c r="U646" s="99"/>
    </row>
    <row r="647" spans="9:21" s="3" customFormat="1" ht="12" x14ac:dyDescent="0.15">
      <c r="K647" s="4"/>
      <c r="L647" s="4"/>
      <c r="M647" s="4"/>
      <c r="N647" s="4"/>
      <c r="O647" s="4"/>
      <c r="P647" s="4"/>
      <c r="Q647" s="4"/>
      <c r="U647" s="99"/>
    </row>
    <row r="648" spans="9:21" s="3" customFormat="1" ht="12" x14ac:dyDescent="0.15">
      <c r="K648" s="4"/>
      <c r="L648" s="4"/>
      <c r="M648" s="4"/>
      <c r="N648" s="4"/>
      <c r="O648" s="4"/>
      <c r="P648" s="4"/>
      <c r="Q648" s="4"/>
      <c r="U648" s="99"/>
    </row>
    <row r="649" spans="9:21" s="3" customFormat="1" ht="12" x14ac:dyDescent="0.15">
      <c r="K649" s="4"/>
      <c r="L649" s="4"/>
      <c r="M649" s="4"/>
      <c r="N649" s="4"/>
      <c r="O649" s="4"/>
      <c r="P649" s="4"/>
      <c r="Q649" s="4"/>
      <c r="U649" s="99"/>
    </row>
    <row r="650" spans="9:21" x14ac:dyDescent="0.15">
      <c r="I650" s="4"/>
      <c r="J650" s="3"/>
    </row>
    <row r="651" spans="9:21" x14ac:dyDescent="0.15">
      <c r="I651" s="4"/>
    </row>
    <row r="652" spans="9:21" x14ac:dyDescent="0.15">
      <c r="I652" s="4"/>
    </row>
    <row r="653" spans="9:21" x14ac:dyDescent="0.15">
      <c r="I653" s="4"/>
    </row>
    <row r="654" spans="9:21" x14ac:dyDescent="0.15">
      <c r="I654" s="4"/>
    </row>
    <row r="655" spans="9:21" x14ac:dyDescent="0.15">
      <c r="I655" s="4"/>
    </row>
    <row r="656" spans="9:21" x14ac:dyDescent="0.15">
      <c r="I656" s="4"/>
    </row>
    <row r="657" spans="9:9" x14ac:dyDescent="0.15">
      <c r="I657" s="4"/>
    </row>
    <row r="658" spans="9:9" x14ac:dyDescent="0.15">
      <c r="I658" s="4"/>
    </row>
    <row r="659" spans="9:9" x14ac:dyDescent="0.15">
      <c r="I659" s="4"/>
    </row>
    <row r="660" spans="9:9" x14ac:dyDescent="0.15">
      <c r="I660" s="4"/>
    </row>
    <row r="661" spans="9:9" x14ac:dyDescent="0.15">
      <c r="I661" s="4"/>
    </row>
    <row r="662" spans="9:9" x14ac:dyDescent="0.15">
      <c r="I662" s="4"/>
    </row>
    <row r="663" spans="9:9" x14ac:dyDescent="0.15">
      <c r="I663" s="4"/>
    </row>
    <row r="664" spans="9:9" x14ac:dyDescent="0.15">
      <c r="I664" s="4"/>
    </row>
    <row r="665" spans="9:9" x14ac:dyDescent="0.15">
      <c r="I665" s="4"/>
    </row>
    <row r="666" spans="9:9" x14ac:dyDescent="0.15">
      <c r="I666" s="4"/>
    </row>
    <row r="667" spans="9:9" x14ac:dyDescent="0.15">
      <c r="I667" s="4"/>
    </row>
    <row r="668" spans="9:9" x14ac:dyDescent="0.15">
      <c r="I668" s="4"/>
    </row>
    <row r="669" spans="9:9" x14ac:dyDescent="0.15">
      <c r="I669" s="4"/>
    </row>
    <row r="670" spans="9:9" x14ac:dyDescent="0.15">
      <c r="I670" s="4"/>
    </row>
    <row r="671" spans="9:9" x14ac:dyDescent="0.15">
      <c r="I671" s="4"/>
    </row>
    <row r="672" spans="9:9" x14ac:dyDescent="0.15">
      <c r="I672" s="4"/>
    </row>
    <row r="673" spans="9:9" x14ac:dyDescent="0.15">
      <c r="I673" s="4"/>
    </row>
    <row r="674" spans="9:9" x14ac:dyDescent="0.15">
      <c r="I674" s="4"/>
    </row>
    <row r="675" spans="9:9" x14ac:dyDescent="0.15">
      <c r="I675" s="4"/>
    </row>
    <row r="676" spans="9:9" x14ac:dyDescent="0.15">
      <c r="I676" s="4"/>
    </row>
    <row r="677" spans="9:9" x14ac:dyDescent="0.15">
      <c r="I677" s="4"/>
    </row>
    <row r="678" spans="9:9" x14ac:dyDescent="0.15">
      <c r="I678" s="4"/>
    </row>
    <row r="679" spans="9:9" x14ac:dyDescent="0.15">
      <c r="I679" s="4"/>
    </row>
    <row r="680" spans="9:9" x14ac:dyDescent="0.15">
      <c r="I680" s="4"/>
    </row>
    <row r="681" spans="9:9" x14ac:dyDescent="0.15">
      <c r="I681" s="4"/>
    </row>
    <row r="682" spans="9:9" x14ac:dyDescent="0.15">
      <c r="I682" s="4"/>
    </row>
    <row r="683" spans="9:9" x14ac:dyDescent="0.15">
      <c r="I683" s="4"/>
    </row>
    <row r="684" spans="9:9" x14ac:dyDescent="0.15">
      <c r="I684" s="4"/>
    </row>
    <row r="685" spans="9:9" x14ac:dyDescent="0.15">
      <c r="I685" s="4"/>
    </row>
    <row r="686" spans="9:9" x14ac:dyDescent="0.15">
      <c r="I686" s="4"/>
    </row>
    <row r="687" spans="9:9" x14ac:dyDescent="0.15">
      <c r="I687" s="4"/>
    </row>
    <row r="688" spans="9:9" x14ac:dyDescent="0.15">
      <c r="I688" s="4"/>
    </row>
    <row r="689" spans="9:9" x14ac:dyDescent="0.15">
      <c r="I689" s="4"/>
    </row>
    <row r="690" spans="9:9" x14ac:dyDescent="0.15">
      <c r="I690" s="4"/>
    </row>
    <row r="691" spans="9:9" x14ac:dyDescent="0.15">
      <c r="I691" s="4"/>
    </row>
    <row r="692" spans="9:9" x14ac:dyDescent="0.15">
      <c r="I692" s="4"/>
    </row>
    <row r="693" spans="9:9" x14ac:dyDescent="0.15">
      <c r="I693" s="4"/>
    </row>
    <row r="694" spans="9:9" x14ac:dyDescent="0.15">
      <c r="I694" s="4"/>
    </row>
    <row r="695" spans="9:9" x14ac:dyDescent="0.15">
      <c r="I695" s="4"/>
    </row>
    <row r="696" spans="9:9" x14ac:dyDescent="0.15">
      <c r="I696" s="4"/>
    </row>
    <row r="697" spans="9:9" x14ac:dyDescent="0.15">
      <c r="I697" s="4"/>
    </row>
    <row r="698" spans="9:9" x14ac:dyDescent="0.15">
      <c r="I698" s="4"/>
    </row>
    <row r="699" spans="9:9" x14ac:dyDescent="0.15">
      <c r="I699" s="4"/>
    </row>
    <row r="700" spans="9:9" x14ac:dyDescent="0.15">
      <c r="I700" s="4"/>
    </row>
    <row r="701" spans="9:9" x14ac:dyDescent="0.15">
      <c r="I701" s="4"/>
    </row>
    <row r="702" spans="9:9" x14ac:dyDescent="0.15">
      <c r="I702" s="4"/>
    </row>
    <row r="703" spans="9:9" x14ac:dyDescent="0.15">
      <c r="I703" s="4"/>
    </row>
    <row r="704" spans="9:9" x14ac:dyDescent="0.15">
      <c r="I704" s="4"/>
    </row>
    <row r="705" spans="9:9" x14ac:dyDescent="0.15">
      <c r="I705" s="4"/>
    </row>
    <row r="706" spans="9:9" x14ac:dyDescent="0.15">
      <c r="I706" s="4"/>
    </row>
    <row r="707" spans="9:9" x14ac:dyDescent="0.15">
      <c r="I707" s="4"/>
    </row>
    <row r="708" spans="9:9" x14ac:dyDescent="0.15">
      <c r="I708" s="4"/>
    </row>
    <row r="709" spans="9:9" x14ac:dyDescent="0.15">
      <c r="I709" s="4"/>
    </row>
    <row r="710" spans="9:9" x14ac:dyDescent="0.15">
      <c r="I710" s="4"/>
    </row>
    <row r="711" spans="9:9" x14ac:dyDescent="0.15">
      <c r="I711" s="4"/>
    </row>
    <row r="712" spans="9:9" x14ac:dyDescent="0.15">
      <c r="I712" s="4"/>
    </row>
    <row r="713" spans="9:9" x14ac:dyDescent="0.15">
      <c r="I713" s="4"/>
    </row>
    <row r="714" spans="9:9" x14ac:dyDescent="0.15">
      <c r="I714" s="4"/>
    </row>
    <row r="715" spans="9:9" x14ac:dyDescent="0.15">
      <c r="I715" s="4"/>
    </row>
  </sheetData>
  <mergeCells count="91">
    <mergeCell ref="G50:H50"/>
    <mergeCell ref="G51:H51"/>
    <mergeCell ref="G36:H36"/>
    <mergeCell ref="G37:H37"/>
    <mergeCell ref="G38:H38"/>
    <mergeCell ref="G39:H39"/>
    <mergeCell ref="G40:H40"/>
    <mergeCell ref="G41:H41"/>
    <mergeCell ref="G42:H42"/>
    <mergeCell ref="G43:H43"/>
    <mergeCell ref="G48:H48"/>
    <mergeCell ref="G49:H49"/>
    <mergeCell ref="G44:H44"/>
    <mergeCell ref="G45:H45"/>
    <mergeCell ref="G46:H46"/>
    <mergeCell ref="G47:H47"/>
    <mergeCell ref="D35:E35"/>
    <mergeCell ref="G16:H16"/>
    <mergeCell ref="G17:H17"/>
    <mergeCell ref="G18:H18"/>
    <mergeCell ref="G19:H19"/>
    <mergeCell ref="G20:H20"/>
    <mergeCell ref="G34:H34"/>
    <mergeCell ref="G35:H35"/>
    <mergeCell ref="G26:H26"/>
    <mergeCell ref="G27:H27"/>
    <mergeCell ref="G29:H29"/>
    <mergeCell ref="G30:H30"/>
    <mergeCell ref="G31:H31"/>
    <mergeCell ref="G32:H32"/>
    <mergeCell ref="G33:H33"/>
    <mergeCell ref="G21:H21"/>
    <mergeCell ref="D30:E30"/>
    <mergeCell ref="D31:E31"/>
    <mergeCell ref="D32:E32"/>
    <mergeCell ref="D33:E33"/>
    <mergeCell ref="D34:E34"/>
    <mergeCell ref="D29:E29"/>
    <mergeCell ref="G13:H13"/>
    <mergeCell ref="G14:H14"/>
    <mergeCell ref="G24:H24"/>
    <mergeCell ref="G25:H25"/>
    <mergeCell ref="G15:H15"/>
    <mergeCell ref="G22:H22"/>
    <mergeCell ref="G23:H23"/>
    <mergeCell ref="G28:H28"/>
    <mergeCell ref="D21:E21"/>
    <mergeCell ref="D22:E22"/>
    <mergeCell ref="D23:E23"/>
    <mergeCell ref="D24:E24"/>
    <mergeCell ref="D25:E25"/>
    <mergeCell ref="G9:H9"/>
    <mergeCell ref="G10:H10"/>
    <mergeCell ref="G11:H11"/>
    <mergeCell ref="G12:H12"/>
    <mergeCell ref="D28:E28"/>
    <mergeCell ref="D26:E26"/>
    <mergeCell ref="D27:E27"/>
    <mergeCell ref="D12:E12"/>
    <mergeCell ref="D13:E13"/>
    <mergeCell ref="D14:E14"/>
    <mergeCell ref="D15:E15"/>
    <mergeCell ref="D16:E16"/>
    <mergeCell ref="D17:E17"/>
    <mergeCell ref="D18:E18"/>
    <mergeCell ref="D19:E19"/>
    <mergeCell ref="D20:E20"/>
    <mergeCell ref="D51:E51"/>
    <mergeCell ref="D44:E44"/>
    <mergeCell ref="D45:E45"/>
    <mergeCell ref="D46:E46"/>
    <mergeCell ref="D47:E47"/>
    <mergeCell ref="D48:E48"/>
    <mergeCell ref="D49:E49"/>
    <mergeCell ref="D50:E50"/>
    <mergeCell ref="D42:E42"/>
    <mergeCell ref="D43:E43"/>
    <mergeCell ref="D36:E36"/>
    <mergeCell ref="D37:E37"/>
    <mergeCell ref="D38:E38"/>
    <mergeCell ref="D39:E39"/>
    <mergeCell ref="D40:E40"/>
    <mergeCell ref="D41:E41"/>
    <mergeCell ref="D10:E10"/>
    <mergeCell ref="D11:E11"/>
    <mergeCell ref="A7:B7"/>
    <mergeCell ref="A4:B4"/>
    <mergeCell ref="A5:B5"/>
    <mergeCell ref="A6:B6"/>
    <mergeCell ref="C8:E8"/>
    <mergeCell ref="D9:E9"/>
  </mergeCells>
  <phoneticPr fontId="5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4339" r:id="rId4" name="CommandButton2">
          <controlPr defaultSize="0" autoLine="0" r:id="rId5">
            <anchor moveWithCells="1">
              <from>
                <xdr:col>16</xdr:col>
                <xdr:colOff>180975</xdr:colOff>
                <xdr:row>17</xdr:row>
                <xdr:rowOff>209550</xdr:rowOff>
              </from>
              <to>
                <xdr:col>17</xdr:col>
                <xdr:colOff>647700</xdr:colOff>
                <xdr:row>19</xdr:row>
                <xdr:rowOff>28575</xdr:rowOff>
              </to>
            </anchor>
          </controlPr>
        </control>
      </mc:Choice>
      <mc:Fallback>
        <control shapeId="14339" r:id="rId4" name="CommandButton2"/>
      </mc:Fallback>
    </mc:AlternateContent>
    <mc:AlternateContent xmlns:mc="http://schemas.openxmlformats.org/markup-compatibility/2006">
      <mc:Choice Requires="x14">
        <control shapeId="14337" r:id="rId6" name="CommandButton1">
          <controlPr defaultSize="0" autoLine="0" autoPict="0" r:id="rId7">
            <anchor moveWithCells="1">
              <from>
                <xdr:col>16</xdr:col>
                <xdr:colOff>171450</xdr:colOff>
                <xdr:row>16</xdr:row>
                <xdr:rowOff>0</xdr:rowOff>
              </from>
              <to>
                <xdr:col>17</xdr:col>
                <xdr:colOff>638175</xdr:colOff>
                <xdr:row>17</xdr:row>
                <xdr:rowOff>104775</xdr:rowOff>
              </to>
            </anchor>
          </controlPr>
        </control>
      </mc:Choice>
      <mc:Fallback>
        <control shapeId="14337" r:id="rId6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AK822"/>
  <sheetViews>
    <sheetView showGridLines="0" tabSelected="1" topLeftCell="A10" zoomScaleNormal="100" workbookViewId="0"/>
  </sheetViews>
  <sheetFormatPr defaultRowHeight="12" x14ac:dyDescent="0.15"/>
  <cols>
    <col min="1" max="1" width="4.6640625" style="4" customWidth="1"/>
    <col min="2" max="2" width="11.77734375" style="4" customWidth="1"/>
    <col min="3" max="3" width="10.5546875" style="4" customWidth="1"/>
    <col min="4" max="4" width="12.21875" style="4" customWidth="1"/>
    <col min="5" max="5" width="0.44140625" style="4" customWidth="1"/>
    <col min="6" max="6" width="10.21875" style="4" customWidth="1"/>
    <col min="7" max="7" width="11.88671875" style="4" customWidth="1"/>
    <col min="8" max="8" width="8.109375" style="4" customWidth="1"/>
    <col min="9" max="9" width="7.33203125" style="5" customWidth="1"/>
    <col min="10" max="10" width="7.33203125" style="4" bestFit="1" customWidth="1"/>
    <col min="11" max="11" width="7.44140625" style="4" customWidth="1"/>
    <col min="12" max="13" width="9" style="4" bestFit="1" customWidth="1"/>
    <col min="14" max="14" width="7.6640625" style="4" customWidth="1"/>
    <col min="15" max="15" width="7.109375" style="4" customWidth="1"/>
    <col min="16" max="16" width="7.5546875" style="4" bestFit="1" customWidth="1"/>
    <col min="17" max="19" width="8.88671875" style="4"/>
    <col min="20" max="20" width="9" style="4" bestFit="1" customWidth="1"/>
    <col min="21" max="22" width="5" style="4" bestFit="1" customWidth="1"/>
    <col min="23" max="23" width="4.88671875" style="4" customWidth="1"/>
    <col min="24" max="24" width="6.109375" style="4" bestFit="1" customWidth="1"/>
    <col min="25" max="25" width="6.5546875" style="4" bestFit="1" customWidth="1"/>
    <col min="26" max="26" width="8.109375" style="4" bestFit="1" customWidth="1"/>
    <col min="27" max="27" width="5.6640625" style="265" customWidth="1"/>
    <col min="28" max="28" width="6" style="4" bestFit="1" customWidth="1"/>
    <col min="29" max="29" width="5.77734375" style="4" bestFit="1" customWidth="1"/>
    <col min="30" max="32" width="9" style="4" bestFit="1" customWidth="1"/>
    <col min="33" max="16384" width="8.88671875" style="4"/>
  </cols>
  <sheetData>
    <row r="1" spans="1:37" s="3" customFormat="1" ht="31.5" customHeight="1" x14ac:dyDescent="0.15">
      <c r="A1" s="277" t="s">
        <v>190</v>
      </c>
      <c r="B1" s="278"/>
      <c r="C1" s="278"/>
      <c r="D1" s="278"/>
      <c r="E1" s="278"/>
      <c r="F1" s="278"/>
      <c r="G1" s="278"/>
      <c r="H1" s="278"/>
      <c r="I1" s="278"/>
      <c r="K1" s="410" t="s">
        <v>137</v>
      </c>
      <c r="L1" s="271">
        <f>O1-Q1</f>
        <v>-5.9363721869982626</v>
      </c>
      <c r="M1" s="458" t="s">
        <v>136</v>
      </c>
      <c r="N1" s="458"/>
      <c r="O1" s="272">
        <f>단계양수시험!G41</f>
        <v>37.54</v>
      </c>
      <c r="P1" s="273" t="s">
        <v>125</v>
      </c>
      <c r="Q1" s="274">
        <f>G35</f>
        <v>43.476372186998262</v>
      </c>
      <c r="R1" s="275" t="s">
        <v>52</v>
      </c>
      <c r="S1" s="276">
        <v>4.6853880359717621</v>
      </c>
      <c r="U1" s="15" t="s">
        <v>15</v>
      </c>
      <c r="V1" s="15" t="s">
        <v>16</v>
      </c>
      <c r="W1" s="15" t="s">
        <v>17</v>
      </c>
      <c r="X1" s="15" t="s">
        <v>19</v>
      </c>
      <c r="Y1" s="15" t="s">
        <v>21</v>
      </c>
      <c r="Z1" s="15" t="s">
        <v>20</v>
      </c>
      <c r="AA1" s="262" t="s">
        <v>22</v>
      </c>
      <c r="AB1" s="15" t="s">
        <v>22</v>
      </c>
    </row>
    <row r="2" spans="1:37" s="3" customFormat="1" ht="21.6" customHeight="1" x14ac:dyDescent="0.15">
      <c r="A2" s="53" t="str">
        <f>단계양수시험!A4</f>
        <v>조 사 명</v>
      </c>
      <c r="B2" s="189"/>
      <c r="C2" s="56" t="str">
        <f>단계양수시험!C4</f>
        <v>두산인프라코어 지하수 관정개발을 위한 지하수영향조사</v>
      </c>
      <c r="D2" s="57"/>
      <c r="E2" s="57"/>
      <c r="F2" s="190"/>
      <c r="G2" s="190"/>
      <c r="H2" s="190"/>
      <c r="I2" s="191"/>
      <c r="N2" s="3" t="s">
        <v>255</v>
      </c>
      <c r="O2" s="9">
        <f>G8</f>
        <v>63.45</v>
      </c>
      <c r="S2" s="3">
        <v>0</v>
      </c>
      <c r="T2" s="14">
        <f>B10</f>
        <v>520</v>
      </c>
      <c r="U2" s="14">
        <f>T2</f>
        <v>520</v>
      </c>
      <c r="V2" s="3">
        <f>S1</f>
        <v>4.6853880359717621</v>
      </c>
      <c r="W2" s="3">
        <f>단계양수시험!U4</f>
        <v>0.125</v>
      </c>
      <c r="X2" s="3">
        <f>입력표!A45</f>
        <v>5.0000000000000001E-4</v>
      </c>
      <c r="Y2" s="3">
        <f>E10</f>
        <v>6.9444444444444447E-4</v>
      </c>
      <c r="Z2" s="12">
        <f>D10</f>
        <v>1</v>
      </c>
      <c r="AA2" s="263">
        <f t="shared" ref="AA2:AA33" si="0">AB2+AC$2</f>
        <v>41.993677121199681</v>
      </c>
      <c r="AB2" s="10">
        <f>1.6*U2/(4*PI()*V2)*LOG10((2.25*V2*Y2)/(W2*W2*X2))</f>
        <v>41.993677121199681</v>
      </c>
      <c r="AC2" s="15">
        <v>0</v>
      </c>
      <c r="AD2" s="12">
        <f>Z2</f>
        <v>1</v>
      </c>
      <c r="AE2" s="10">
        <f>AB2-$O$3-N3</f>
        <v>7.3536772940069994</v>
      </c>
      <c r="AF2" s="10">
        <f>AB2</f>
        <v>41.993677121199681</v>
      </c>
    </row>
    <row r="3" spans="1:37" s="3" customFormat="1" ht="21.6" customHeight="1" x14ac:dyDescent="0.15">
      <c r="A3" s="53" t="str">
        <f>단계양수시험!A5</f>
        <v>지 구 명</v>
      </c>
      <c r="B3" s="189"/>
      <c r="C3" s="56" t="str">
        <f>단계양수시험!C5</f>
        <v>개화지구</v>
      </c>
      <c r="D3" s="57"/>
      <c r="E3" s="57"/>
      <c r="F3" s="192"/>
      <c r="G3" s="190"/>
      <c r="H3" s="193" t="str">
        <f>단계양수시험!H5</f>
        <v>공  번 : W - 1</v>
      </c>
      <c r="I3" s="194"/>
      <c r="K3" s="411" t="s">
        <v>182</v>
      </c>
      <c r="L3" s="13">
        <f t="shared" ref="L3:L10" si="1">P17</f>
        <v>0</v>
      </c>
      <c r="M3" s="62">
        <f>D10</f>
        <v>1</v>
      </c>
      <c r="N3" s="403"/>
      <c r="O3" s="402">
        <v>34.639999827192682</v>
      </c>
      <c r="U3" s="14">
        <f>U2</f>
        <v>520</v>
      </c>
      <c r="V3" s="3">
        <f>V$2</f>
        <v>4.6853880359717621</v>
      </c>
      <c r="W3" s="3">
        <f>W2</f>
        <v>0.125</v>
      </c>
      <c r="X3" s="3">
        <f>X$2</f>
        <v>5.0000000000000001E-4</v>
      </c>
      <c r="Y3" s="3">
        <f t="shared" ref="Y3:Y66" si="2">E11</f>
        <v>1.3888888888888889E-3</v>
      </c>
      <c r="Z3" s="12">
        <f t="shared" ref="Z3:Z8" si="3">D11</f>
        <v>2</v>
      </c>
      <c r="AA3" s="263">
        <f t="shared" si="0"/>
        <v>46.247483031785215</v>
      </c>
      <c r="AB3" s="10">
        <f t="shared" ref="AB3:AB43" si="4">1.6*U3/(4*PI()*V3)*LOG10((2.25*V3*Y3)/(W3*W3*X3))</f>
        <v>46.247483031785215</v>
      </c>
      <c r="AC3" s="10">
        <f>AA69</f>
        <v>86.089999827192685</v>
      </c>
      <c r="AD3" s="12">
        <f t="shared" ref="AD3:AD66" si="5">Z3</f>
        <v>2</v>
      </c>
      <c r="AE3" s="10">
        <f t="shared" ref="AE3:AE16" si="6">AB3-$O$3-N4</f>
        <v>11.607483204592533</v>
      </c>
      <c r="AF3" s="10">
        <f t="shared" ref="AF3:AF16" si="7">AB3</f>
        <v>46.247483031785215</v>
      </c>
    </row>
    <row r="4" spans="1:37" s="3" customFormat="1" ht="21.6" customHeight="1" x14ac:dyDescent="0.15">
      <c r="A4" s="53" t="str">
        <f>단계양수시험!A6</f>
        <v>위    치</v>
      </c>
      <c r="B4" s="189"/>
      <c r="C4" s="56" t="str">
        <f>단계양수시험!C6</f>
        <v>충청남도 보령시 성주면 개화리 산 52-5</v>
      </c>
      <c r="D4" s="58"/>
      <c r="E4" s="58"/>
      <c r="F4" s="190"/>
      <c r="G4" s="190"/>
      <c r="H4" s="190"/>
      <c r="I4" s="191"/>
      <c r="K4" s="411" t="s">
        <v>183</v>
      </c>
      <c r="L4" s="13">
        <f t="shared" si="1"/>
        <v>-3.11</v>
      </c>
      <c r="M4" s="62">
        <f t="shared" ref="M4:M13" si="8">D11</f>
        <v>2</v>
      </c>
      <c r="N4" s="29"/>
      <c r="O4" s="29"/>
      <c r="U4" s="14">
        <f t="shared" ref="U4:U67" si="9">U3</f>
        <v>520</v>
      </c>
      <c r="V4" s="3">
        <f t="shared" ref="V4:V67" si="10">V$2</f>
        <v>4.6853880359717621</v>
      </c>
      <c r="W4" s="3">
        <f t="shared" ref="W4:W67" si="11">W3</f>
        <v>0.125</v>
      </c>
      <c r="X4" s="3">
        <f t="shared" ref="X4:X67" si="12">X$2</f>
        <v>5.0000000000000001E-4</v>
      </c>
      <c r="Y4" s="3">
        <f t="shared" si="2"/>
        <v>2.0833333333333333E-3</v>
      </c>
      <c r="Z4" s="12">
        <f t="shared" si="3"/>
        <v>3</v>
      </c>
      <c r="AA4" s="263">
        <f t="shared" si="0"/>
        <v>48.73579997482377</v>
      </c>
      <c r="AB4" s="10">
        <f t="shared" si="4"/>
        <v>48.73579997482377</v>
      </c>
      <c r="AC4" s="10">
        <f>AB69</f>
        <v>86.089999827192685</v>
      </c>
      <c r="AD4" s="12">
        <f t="shared" si="5"/>
        <v>3</v>
      </c>
      <c r="AE4" s="10">
        <f t="shared" si="6"/>
        <v>14.095800147631088</v>
      </c>
      <c r="AF4" s="10">
        <f t="shared" si="7"/>
        <v>48.73579997482377</v>
      </c>
    </row>
    <row r="5" spans="1:37" s="3" customFormat="1" ht="21.6" customHeight="1" x14ac:dyDescent="0.15">
      <c r="A5" s="53" t="str">
        <f>단계양수시험!A7</f>
        <v>조 사 자</v>
      </c>
      <c r="B5" s="189"/>
      <c r="C5" s="59" t="str">
        <f>단계양수시험!C7</f>
        <v>산수개발㈜</v>
      </c>
      <c r="E5" s="57"/>
      <c r="F5" s="195" t="s">
        <v>4</v>
      </c>
      <c r="G5" s="196">
        <f>입력표!I50</f>
        <v>0</v>
      </c>
      <c r="H5" s="197"/>
      <c r="I5" s="197"/>
      <c r="K5" s="411" t="s">
        <v>184</v>
      </c>
      <c r="L5" s="13">
        <f t="shared" si="1"/>
        <v>-7.98</v>
      </c>
      <c r="M5" s="62">
        <f t="shared" si="8"/>
        <v>3</v>
      </c>
      <c r="N5" s="29"/>
      <c r="O5" s="29"/>
      <c r="U5" s="14">
        <f t="shared" si="9"/>
        <v>520</v>
      </c>
      <c r="V5" s="3">
        <f t="shared" si="10"/>
        <v>4.6853880359717621</v>
      </c>
      <c r="W5" s="3">
        <f t="shared" si="11"/>
        <v>0.125</v>
      </c>
      <c r="X5" s="3">
        <f t="shared" si="12"/>
        <v>5.0000000000000001E-4</v>
      </c>
      <c r="Y5" s="3">
        <f t="shared" si="2"/>
        <v>2.7777777777777779E-3</v>
      </c>
      <c r="Z5" s="12">
        <f t="shared" si="3"/>
        <v>4</v>
      </c>
      <c r="AA5" s="263">
        <f t="shared" si="0"/>
        <v>50.501288942370756</v>
      </c>
      <c r="AB5" s="10">
        <f t="shared" si="4"/>
        <v>50.501288942370756</v>
      </c>
      <c r="AC5" s="10">
        <f>AE69</f>
        <v>51.45</v>
      </c>
      <c r="AD5" s="12">
        <f t="shared" si="5"/>
        <v>4</v>
      </c>
      <c r="AE5" s="10">
        <f t="shared" si="6"/>
        <v>15.861289115178074</v>
      </c>
      <c r="AF5" s="10">
        <f t="shared" si="7"/>
        <v>50.501288942370756</v>
      </c>
    </row>
    <row r="6" spans="1:37" s="3" customFormat="1" ht="21.6" customHeight="1" x14ac:dyDescent="0.15">
      <c r="A6" s="53" t="str">
        <f>단계양수시험!A8</f>
        <v>수중모타</v>
      </c>
      <c r="B6" s="189"/>
      <c r="C6" s="462">
        <f>단계양수시험!C8</f>
        <v>3</v>
      </c>
      <c r="D6" s="462"/>
      <c r="E6" s="463"/>
      <c r="F6" s="195" t="s">
        <v>6</v>
      </c>
      <c r="G6" s="196" t="str">
        <f>입력표!I51</f>
        <v>개발시 적정채수량으로 적용 =</v>
      </c>
      <c r="H6" s="197"/>
      <c r="I6" s="197"/>
      <c r="K6" s="406">
        <v>0.2</v>
      </c>
      <c r="L6" s="13">
        <f t="shared" si="1"/>
        <v>-13.56</v>
      </c>
      <c r="M6" s="62">
        <f t="shared" si="8"/>
        <v>4</v>
      </c>
      <c r="N6" s="29"/>
      <c r="O6" s="29"/>
      <c r="U6" s="14">
        <f t="shared" si="9"/>
        <v>520</v>
      </c>
      <c r="V6" s="3">
        <f t="shared" si="10"/>
        <v>4.6853880359717621</v>
      </c>
      <c r="W6" s="3">
        <f t="shared" si="11"/>
        <v>0.125</v>
      </c>
      <c r="X6" s="3">
        <f t="shared" si="12"/>
        <v>5.0000000000000001E-4</v>
      </c>
      <c r="Y6" s="3">
        <f t="shared" si="2"/>
        <v>3.472222222222222E-3</v>
      </c>
      <c r="Z6" s="12">
        <f t="shared" si="3"/>
        <v>5</v>
      </c>
      <c r="AA6" s="263">
        <f t="shared" si="0"/>
        <v>51.870708575186164</v>
      </c>
      <c r="AB6" s="10">
        <f t="shared" si="4"/>
        <v>51.870708575186164</v>
      </c>
      <c r="AD6" s="12">
        <f t="shared" si="5"/>
        <v>5</v>
      </c>
      <c r="AE6" s="10">
        <f t="shared" si="6"/>
        <v>17.230708747993482</v>
      </c>
      <c r="AF6" s="10">
        <f t="shared" si="7"/>
        <v>51.870708575186164</v>
      </c>
      <c r="AK6" s="3">
        <f>10*(2.54/2/100)</f>
        <v>0.127</v>
      </c>
    </row>
    <row r="7" spans="1:37" s="3" customFormat="1" ht="21.6" customHeight="1" x14ac:dyDescent="0.15">
      <c r="A7" s="53" t="str">
        <f>단계양수시험!A9</f>
        <v>우물현황</v>
      </c>
      <c r="B7" s="189"/>
      <c r="C7" s="198" t="str">
        <f>단계양수시험!C9</f>
        <v>직     경</v>
      </c>
      <c r="D7" s="199">
        <f>단계양수시험!D9</f>
        <v>250</v>
      </c>
      <c r="E7" s="200"/>
      <c r="F7" s="201" t="s">
        <v>8</v>
      </c>
      <c r="G7" s="257">
        <f>단계양수시험!G9</f>
        <v>100</v>
      </c>
      <c r="H7" s="190"/>
      <c r="I7" s="191"/>
      <c r="L7" s="13">
        <f t="shared" si="1"/>
        <v>-19.55</v>
      </c>
      <c r="M7" s="62">
        <f t="shared" si="8"/>
        <v>5</v>
      </c>
      <c r="N7" s="29"/>
      <c r="O7" s="29"/>
      <c r="U7" s="14">
        <f t="shared" si="9"/>
        <v>520</v>
      </c>
      <c r="V7" s="3">
        <f t="shared" si="10"/>
        <v>4.6853880359717621</v>
      </c>
      <c r="W7" s="3">
        <f t="shared" si="11"/>
        <v>0.125</v>
      </c>
      <c r="X7" s="3">
        <f t="shared" si="12"/>
        <v>5.0000000000000001E-4</v>
      </c>
      <c r="Y7" s="3">
        <f t="shared" si="2"/>
        <v>6.9444444444444441E-3</v>
      </c>
      <c r="Z7" s="12">
        <f t="shared" si="3"/>
        <v>10</v>
      </c>
      <c r="AA7" s="263">
        <f t="shared" si="0"/>
        <v>56.124514485771691</v>
      </c>
      <c r="AB7" s="10">
        <f t="shared" si="4"/>
        <v>56.124514485771691</v>
      </c>
      <c r="AD7" s="12">
        <f t="shared" si="5"/>
        <v>10</v>
      </c>
      <c r="AE7" s="10">
        <f t="shared" si="6"/>
        <v>21.484514658579009</v>
      </c>
      <c r="AF7" s="10">
        <f t="shared" si="7"/>
        <v>56.124514485771691</v>
      </c>
      <c r="AK7" s="3">
        <f>AK6*2</f>
        <v>0.254</v>
      </c>
    </row>
    <row r="8" spans="1:37" s="3" customFormat="1" ht="21.6" customHeight="1" x14ac:dyDescent="0.15">
      <c r="A8" s="53" t="str">
        <f>단계양수시험!A10</f>
        <v>양수시험</v>
      </c>
      <c r="B8" s="189"/>
      <c r="C8" s="202" t="s">
        <v>9</v>
      </c>
      <c r="D8" s="203">
        <f>단계양수시험!D10</f>
        <v>12</v>
      </c>
      <c r="E8" s="200"/>
      <c r="F8" s="201" t="s">
        <v>14</v>
      </c>
      <c r="G8" s="204">
        <f>F77</f>
        <v>63.45</v>
      </c>
      <c r="H8" s="197">
        <f>입력표!C40</f>
        <v>520</v>
      </c>
      <c r="I8" s="189"/>
      <c r="J8" s="9">
        <f>입력표!M50</f>
        <v>51.45</v>
      </c>
      <c r="K8" s="407">
        <f>G10-J11</f>
        <v>3.0998713834214655</v>
      </c>
      <c r="L8" s="13">
        <f t="shared" si="1"/>
        <v>-52.09</v>
      </c>
      <c r="M8" s="62">
        <f t="shared" si="8"/>
        <v>10</v>
      </c>
      <c r="N8" s="29"/>
      <c r="O8" s="29"/>
      <c r="U8" s="14">
        <f t="shared" si="9"/>
        <v>520</v>
      </c>
      <c r="V8" s="3">
        <f t="shared" si="10"/>
        <v>4.6853880359717621</v>
      </c>
      <c r="W8" s="3">
        <f t="shared" si="11"/>
        <v>0.125</v>
      </c>
      <c r="X8" s="3">
        <f t="shared" si="12"/>
        <v>5.0000000000000001E-4</v>
      </c>
      <c r="Y8" s="3">
        <f t="shared" si="2"/>
        <v>1.0416666666666666E-2</v>
      </c>
      <c r="Z8" s="12">
        <f t="shared" si="3"/>
        <v>15</v>
      </c>
      <c r="AA8" s="263">
        <f t="shared" si="0"/>
        <v>58.612831428810246</v>
      </c>
      <c r="AB8" s="10">
        <f t="shared" si="4"/>
        <v>58.612831428810246</v>
      </c>
      <c r="AD8" s="12">
        <f t="shared" si="5"/>
        <v>15</v>
      </c>
      <c r="AE8" s="10">
        <f t="shared" si="6"/>
        <v>23.972831601617564</v>
      </c>
      <c r="AF8" s="10">
        <f t="shared" si="7"/>
        <v>58.612831428810246</v>
      </c>
    </row>
    <row r="9" spans="1:37" s="3" customFormat="1" ht="21.6" customHeight="1" x14ac:dyDescent="0.15">
      <c r="A9" s="201" t="s">
        <v>10</v>
      </c>
      <c r="B9" s="186" t="s">
        <v>160</v>
      </c>
      <c r="C9" s="202" t="s">
        <v>11</v>
      </c>
      <c r="D9" s="460" t="s">
        <v>161</v>
      </c>
      <c r="E9" s="460"/>
      <c r="F9" s="186" t="s">
        <v>162</v>
      </c>
      <c r="G9" s="186" t="s">
        <v>163</v>
      </c>
      <c r="H9" s="461" t="s">
        <v>164</v>
      </c>
      <c r="I9" s="461"/>
      <c r="J9" s="9">
        <f>G8-D8</f>
        <v>51.45</v>
      </c>
      <c r="L9" s="13">
        <f t="shared" si="1"/>
        <v>-86.39</v>
      </c>
      <c r="M9" s="62">
        <f t="shared" si="8"/>
        <v>15</v>
      </c>
      <c r="N9" s="29"/>
      <c r="O9" s="29"/>
      <c r="U9" s="14">
        <f t="shared" si="9"/>
        <v>520</v>
      </c>
      <c r="V9" s="3">
        <f t="shared" si="10"/>
        <v>4.6853880359717621</v>
      </c>
      <c r="W9" s="3">
        <f t="shared" si="11"/>
        <v>0.125</v>
      </c>
      <c r="X9" s="3">
        <f t="shared" si="12"/>
        <v>5.0000000000000001E-4</v>
      </c>
      <c r="Y9" s="3">
        <f t="shared" si="2"/>
        <v>1.3888888888888888E-2</v>
      </c>
      <c r="Z9" s="12">
        <f t="shared" ref="Z9:Z41" si="13">D17</f>
        <v>20</v>
      </c>
      <c r="AA9" s="263">
        <f t="shared" si="0"/>
        <v>60.378320396357232</v>
      </c>
      <c r="AB9" s="10">
        <f t="shared" si="4"/>
        <v>60.378320396357232</v>
      </c>
      <c r="AD9" s="12">
        <f t="shared" si="5"/>
        <v>20</v>
      </c>
      <c r="AE9" s="10">
        <f t="shared" si="6"/>
        <v>25.73832056916455</v>
      </c>
      <c r="AF9" s="10">
        <f t="shared" si="7"/>
        <v>60.378320396357232</v>
      </c>
    </row>
    <row r="10" spans="1:37" s="3" customFormat="1" ht="21" customHeight="1" x14ac:dyDescent="0.15">
      <c r="A10" s="54">
        <v>1</v>
      </c>
      <c r="B10" s="61">
        <f>입력표!C26</f>
        <v>520</v>
      </c>
      <c r="C10" s="55">
        <v>43836.375</v>
      </c>
      <c r="D10" s="187">
        <v>1</v>
      </c>
      <c r="E10" s="256">
        <f>D10/1440</f>
        <v>6.9444444444444447E-4</v>
      </c>
      <c r="F10" s="188">
        <f>G10+D$8</f>
        <v>19.353677294006999</v>
      </c>
      <c r="G10" s="285">
        <f>AE2</f>
        <v>7.3536772940069994</v>
      </c>
      <c r="H10" s="459">
        <v>43836.375694444447</v>
      </c>
      <c r="I10" s="459" t="s">
        <v>12</v>
      </c>
      <c r="J10" s="270">
        <f>J8-J9</f>
        <v>0</v>
      </c>
      <c r="K10" s="9">
        <f>J10+P17</f>
        <v>0</v>
      </c>
      <c r="L10" s="13">
        <f t="shared" si="1"/>
        <v>-121.41</v>
      </c>
      <c r="M10" s="62">
        <f t="shared" si="8"/>
        <v>20</v>
      </c>
      <c r="N10" s="29"/>
      <c r="O10" s="29"/>
      <c r="U10" s="14">
        <f t="shared" si="9"/>
        <v>520</v>
      </c>
      <c r="V10" s="3">
        <f t="shared" si="10"/>
        <v>4.6853880359717621</v>
      </c>
      <c r="W10" s="3">
        <f t="shared" si="11"/>
        <v>0.125</v>
      </c>
      <c r="X10" s="3">
        <f t="shared" si="12"/>
        <v>5.0000000000000001E-4</v>
      </c>
      <c r="Y10" s="3">
        <f t="shared" si="2"/>
        <v>1.7361111111111112E-2</v>
      </c>
      <c r="Z10" s="12">
        <f t="shared" si="13"/>
        <v>25</v>
      </c>
      <c r="AA10" s="263">
        <f t="shared" si="0"/>
        <v>61.747740029172633</v>
      </c>
      <c r="AB10" s="10">
        <f t="shared" si="4"/>
        <v>61.747740029172633</v>
      </c>
      <c r="AD10" s="12">
        <f t="shared" si="5"/>
        <v>25</v>
      </c>
      <c r="AE10" s="10">
        <f t="shared" si="6"/>
        <v>27.107740201979951</v>
      </c>
      <c r="AF10" s="10">
        <f t="shared" si="7"/>
        <v>61.747740029172633</v>
      </c>
    </row>
    <row r="11" spans="1:37" s="3" customFormat="1" ht="21" customHeight="1" x14ac:dyDescent="0.15">
      <c r="A11" s="54"/>
      <c r="B11" s="54"/>
      <c r="C11" s="55"/>
      <c r="D11" s="187">
        <v>2</v>
      </c>
      <c r="E11" s="256">
        <f t="shared" ref="E11:E26" si="14">D11/1440</f>
        <v>1.3888888888888889E-3</v>
      </c>
      <c r="F11" s="188">
        <f t="shared" ref="F11:F62" si="15">G11+D$8</f>
        <v>23.607483204592533</v>
      </c>
      <c r="G11" s="188">
        <f>AE3</f>
        <v>11.607483204592533</v>
      </c>
      <c r="H11" s="459"/>
      <c r="I11" s="459"/>
      <c r="J11" s="63">
        <f>G11-G10</f>
        <v>4.2538059105855339</v>
      </c>
      <c r="K11" s="9" t="s">
        <v>18</v>
      </c>
      <c r="M11" s="62">
        <f t="shared" si="8"/>
        <v>25</v>
      </c>
      <c r="N11" s="29"/>
      <c r="U11" s="14">
        <f t="shared" si="9"/>
        <v>520</v>
      </c>
      <c r="V11" s="3">
        <f t="shared" si="10"/>
        <v>4.6853880359717621</v>
      </c>
      <c r="W11" s="3">
        <f t="shared" si="11"/>
        <v>0.125</v>
      </c>
      <c r="X11" s="3">
        <f t="shared" si="12"/>
        <v>5.0000000000000001E-4</v>
      </c>
      <c r="Y11" s="3">
        <f t="shared" si="2"/>
        <v>2.0833333333333332E-2</v>
      </c>
      <c r="Z11" s="12">
        <f t="shared" si="13"/>
        <v>30</v>
      </c>
      <c r="AA11" s="263">
        <f t="shared" si="0"/>
        <v>62.866637339395787</v>
      </c>
      <c r="AB11" s="10">
        <f t="shared" si="4"/>
        <v>62.866637339395787</v>
      </c>
      <c r="AD11" s="12">
        <f t="shared" si="5"/>
        <v>30</v>
      </c>
      <c r="AE11" s="10">
        <f t="shared" si="6"/>
        <v>28.226637512203105</v>
      </c>
      <c r="AF11" s="10">
        <f t="shared" si="7"/>
        <v>62.866637339395787</v>
      </c>
    </row>
    <row r="12" spans="1:37" s="3" customFormat="1" ht="21" customHeight="1" x14ac:dyDescent="0.15">
      <c r="A12" s="54"/>
      <c r="B12" s="54"/>
      <c r="C12" s="55"/>
      <c r="D12" s="187">
        <v>3</v>
      </c>
      <c r="E12" s="256">
        <f t="shared" si="14"/>
        <v>2.0833333333333333E-3</v>
      </c>
      <c r="F12" s="188">
        <f t="shared" si="15"/>
        <v>26.095800147631088</v>
      </c>
      <c r="G12" s="188">
        <f t="shared" ref="G12:G74" si="16">AE4</f>
        <v>14.095800147631088</v>
      </c>
      <c r="H12" s="459"/>
      <c r="I12" s="459"/>
      <c r="J12" s="63">
        <f t="shared" ref="J12:J47" si="17">G12-G11</f>
        <v>2.488316943038555</v>
      </c>
      <c r="K12" s="9" t="s">
        <v>18</v>
      </c>
      <c r="M12" s="62">
        <f t="shared" si="8"/>
        <v>30</v>
      </c>
      <c r="N12" s="29"/>
      <c r="U12" s="14">
        <f t="shared" si="9"/>
        <v>520</v>
      </c>
      <c r="V12" s="3">
        <f t="shared" si="10"/>
        <v>4.6853880359717621</v>
      </c>
      <c r="W12" s="3">
        <f t="shared" si="11"/>
        <v>0.125</v>
      </c>
      <c r="X12" s="3">
        <f t="shared" si="12"/>
        <v>5.0000000000000001E-4</v>
      </c>
      <c r="Y12" s="3">
        <f t="shared" si="2"/>
        <v>2.4305555555555556E-2</v>
      </c>
      <c r="Z12" s="12">
        <f t="shared" si="13"/>
        <v>35</v>
      </c>
      <c r="AA12" s="263">
        <f t="shared" si="0"/>
        <v>63.812651535746191</v>
      </c>
      <c r="AB12" s="10">
        <f t="shared" si="4"/>
        <v>63.812651535746191</v>
      </c>
      <c r="AD12" s="12">
        <f t="shared" si="5"/>
        <v>35</v>
      </c>
      <c r="AE12" s="10">
        <f t="shared" si="6"/>
        <v>29.172651708553509</v>
      </c>
      <c r="AF12" s="10">
        <f t="shared" si="7"/>
        <v>63.812651535746191</v>
      </c>
    </row>
    <row r="13" spans="1:37" s="3" customFormat="1" ht="21" customHeight="1" x14ac:dyDescent="0.15">
      <c r="A13" s="54"/>
      <c r="B13" s="54"/>
      <c r="C13" s="55"/>
      <c r="D13" s="187">
        <v>4</v>
      </c>
      <c r="E13" s="256">
        <f t="shared" si="14"/>
        <v>2.7777777777777779E-3</v>
      </c>
      <c r="F13" s="188">
        <f t="shared" si="15"/>
        <v>27.861289115178074</v>
      </c>
      <c r="G13" s="188">
        <f t="shared" si="16"/>
        <v>15.861289115178074</v>
      </c>
      <c r="H13" s="459"/>
      <c r="I13" s="459"/>
      <c r="J13" s="63">
        <f t="shared" si="17"/>
        <v>1.765488967546986</v>
      </c>
      <c r="K13" s="9" t="s">
        <v>18</v>
      </c>
      <c r="M13" s="62">
        <f t="shared" si="8"/>
        <v>35</v>
      </c>
      <c r="N13" s="29"/>
      <c r="U13" s="14">
        <f t="shared" si="9"/>
        <v>520</v>
      </c>
      <c r="V13" s="3">
        <f t="shared" si="10"/>
        <v>4.6853880359717621</v>
      </c>
      <c r="W13" s="3">
        <f t="shared" si="11"/>
        <v>0.125</v>
      </c>
      <c r="X13" s="3">
        <f t="shared" si="12"/>
        <v>5.0000000000000001E-4</v>
      </c>
      <c r="Y13" s="3">
        <f t="shared" si="2"/>
        <v>2.7777777777777776E-2</v>
      </c>
      <c r="Z13" s="12">
        <f t="shared" si="13"/>
        <v>40</v>
      </c>
      <c r="AA13" s="263">
        <f t="shared" si="0"/>
        <v>64.632126306942766</v>
      </c>
      <c r="AB13" s="10">
        <f t="shared" si="4"/>
        <v>64.632126306942766</v>
      </c>
      <c r="AD13" s="12">
        <f t="shared" si="5"/>
        <v>40</v>
      </c>
      <c r="AE13" s="10">
        <f t="shared" si="6"/>
        <v>29.992126479750084</v>
      </c>
      <c r="AF13" s="10">
        <f t="shared" si="7"/>
        <v>64.632126306942766</v>
      </c>
    </row>
    <row r="14" spans="1:37" s="3" customFormat="1" ht="21" customHeight="1" x14ac:dyDescent="0.15">
      <c r="A14" s="54"/>
      <c r="B14" s="54"/>
      <c r="C14" s="55"/>
      <c r="D14" s="187">
        <v>5</v>
      </c>
      <c r="E14" s="256">
        <f t="shared" si="14"/>
        <v>3.472222222222222E-3</v>
      </c>
      <c r="F14" s="188">
        <f t="shared" si="15"/>
        <v>29.230708747993482</v>
      </c>
      <c r="G14" s="188">
        <f t="shared" si="16"/>
        <v>17.230708747993482</v>
      </c>
      <c r="H14" s="459"/>
      <c r="I14" s="459"/>
      <c r="J14" s="63">
        <f t="shared" si="17"/>
        <v>1.3694196328154078</v>
      </c>
      <c r="K14" s="9" t="s">
        <v>18</v>
      </c>
      <c r="M14" s="62"/>
      <c r="N14" s="29"/>
      <c r="U14" s="14">
        <f t="shared" si="9"/>
        <v>520</v>
      </c>
      <c r="V14" s="3">
        <f t="shared" si="10"/>
        <v>4.6853880359717621</v>
      </c>
      <c r="W14" s="3">
        <f t="shared" si="11"/>
        <v>0.125</v>
      </c>
      <c r="X14" s="3">
        <f t="shared" si="12"/>
        <v>5.0000000000000001E-4</v>
      </c>
      <c r="Y14" s="3">
        <f t="shared" si="2"/>
        <v>3.125E-2</v>
      </c>
      <c r="Z14" s="12">
        <f t="shared" si="13"/>
        <v>45</v>
      </c>
      <c r="AA14" s="263">
        <f t="shared" si="0"/>
        <v>65.354954282434335</v>
      </c>
      <c r="AB14" s="10">
        <f t="shared" si="4"/>
        <v>65.354954282434335</v>
      </c>
      <c r="AD14" s="12">
        <f t="shared" si="5"/>
        <v>45</v>
      </c>
      <c r="AE14" s="10">
        <f t="shared" si="6"/>
        <v>30.714954455241653</v>
      </c>
      <c r="AF14" s="10">
        <f t="shared" si="7"/>
        <v>65.354954282434335</v>
      </c>
    </row>
    <row r="15" spans="1:37" s="3" customFormat="1" ht="21" customHeight="1" x14ac:dyDescent="0.15">
      <c r="A15" s="54"/>
      <c r="B15" s="54"/>
      <c r="C15" s="55"/>
      <c r="D15" s="187">
        <v>10</v>
      </c>
      <c r="E15" s="256">
        <f t="shared" si="14"/>
        <v>6.9444444444444441E-3</v>
      </c>
      <c r="F15" s="188">
        <f t="shared" si="15"/>
        <v>33.484514658579009</v>
      </c>
      <c r="G15" s="188">
        <f t="shared" si="16"/>
        <v>21.484514658579009</v>
      </c>
      <c r="H15" s="459"/>
      <c r="I15" s="459"/>
      <c r="J15" s="63">
        <f t="shared" si="17"/>
        <v>4.2538059105855268</v>
      </c>
      <c r="K15" s="9" t="s">
        <v>18</v>
      </c>
      <c r="M15" s="68"/>
      <c r="N15" s="405"/>
      <c r="U15" s="14">
        <f t="shared" si="9"/>
        <v>520</v>
      </c>
      <c r="V15" s="3">
        <f t="shared" si="10"/>
        <v>4.6853880359717621</v>
      </c>
      <c r="W15" s="3">
        <f t="shared" si="11"/>
        <v>0.125</v>
      </c>
      <c r="X15" s="3">
        <f t="shared" si="12"/>
        <v>5.0000000000000001E-4</v>
      </c>
      <c r="Y15" s="3">
        <f t="shared" si="2"/>
        <v>3.4722222222222224E-2</v>
      </c>
      <c r="Z15" s="12">
        <f t="shared" si="13"/>
        <v>50</v>
      </c>
      <c r="AA15" s="263">
        <f t="shared" si="0"/>
        <v>66.001545939758174</v>
      </c>
      <c r="AB15" s="10">
        <f t="shared" si="4"/>
        <v>66.001545939758174</v>
      </c>
      <c r="AD15" s="12">
        <f t="shared" si="5"/>
        <v>50</v>
      </c>
      <c r="AE15" s="10">
        <f t="shared" si="6"/>
        <v>31.361546112565492</v>
      </c>
      <c r="AF15" s="10">
        <f t="shared" si="7"/>
        <v>66.001545939758174</v>
      </c>
    </row>
    <row r="16" spans="1:37" s="3" customFormat="1" ht="21" customHeight="1" x14ac:dyDescent="0.15">
      <c r="A16" s="54"/>
      <c r="B16" s="54"/>
      <c r="C16" s="55"/>
      <c r="D16" s="187">
        <v>15</v>
      </c>
      <c r="E16" s="256">
        <f t="shared" si="14"/>
        <v>1.0416666666666666E-2</v>
      </c>
      <c r="F16" s="188">
        <f t="shared" si="15"/>
        <v>35.972831601617564</v>
      </c>
      <c r="G16" s="188">
        <f t="shared" si="16"/>
        <v>23.972831601617564</v>
      </c>
      <c r="H16" s="459"/>
      <c r="I16" s="459"/>
      <c r="J16" s="63">
        <f t="shared" si="17"/>
        <v>2.488316943038555</v>
      </c>
      <c r="K16" s="65"/>
      <c r="M16" s="66"/>
      <c r="N16" s="15"/>
      <c r="P16" s="13"/>
      <c r="U16" s="14">
        <f t="shared" si="9"/>
        <v>520</v>
      </c>
      <c r="V16" s="3">
        <f t="shared" si="10"/>
        <v>4.6853880359717621</v>
      </c>
      <c r="W16" s="3">
        <f t="shared" si="11"/>
        <v>0.125</v>
      </c>
      <c r="X16" s="3">
        <f t="shared" si="12"/>
        <v>5.0000000000000001E-4</v>
      </c>
      <c r="Y16" s="3">
        <f t="shared" si="2"/>
        <v>3.8194444444444448E-2</v>
      </c>
      <c r="Z16" s="12">
        <f t="shared" si="13"/>
        <v>55</v>
      </c>
      <c r="AA16" s="263">
        <f t="shared" si="0"/>
        <v>66.58645924181198</v>
      </c>
      <c r="AB16" s="10">
        <f t="shared" si="4"/>
        <v>66.58645924181198</v>
      </c>
      <c r="AD16" s="12">
        <f t="shared" si="5"/>
        <v>55</v>
      </c>
      <c r="AE16" s="10">
        <f t="shared" si="6"/>
        <v>31.897379414619298</v>
      </c>
      <c r="AF16" s="10">
        <f t="shared" si="7"/>
        <v>66.58645924181198</v>
      </c>
    </row>
    <row r="17" spans="1:31" s="3" customFormat="1" ht="21" customHeight="1" x14ac:dyDescent="0.15">
      <c r="A17" s="54"/>
      <c r="B17" s="54"/>
      <c r="C17" s="55"/>
      <c r="D17" s="187">
        <v>20</v>
      </c>
      <c r="E17" s="256">
        <f t="shared" si="14"/>
        <v>1.3888888888888888E-2</v>
      </c>
      <c r="F17" s="188">
        <f t="shared" si="15"/>
        <v>37.73832056916455</v>
      </c>
      <c r="G17" s="188">
        <f t="shared" si="16"/>
        <v>25.73832056916455</v>
      </c>
      <c r="H17" s="459"/>
      <c r="I17" s="459"/>
      <c r="J17" s="63">
        <f t="shared" si="17"/>
        <v>1.765488967546986</v>
      </c>
      <c r="K17" s="29">
        <f>D10</f>
        <v>1</v>
      </c>
      <c r="L17" s="3">
        <f>INT(B10/1440*10000)/10000</f>
        <v>0.36109999999999998</v>
      </c>
      <c r="M17" s="3">
        <f>K17*L17</f>
        <v>0.36109999999999998</v>
      </c>
      <c r="N17" s="3">
        <f>INT((D7/2/1000)^2*PI()*100000)/100000</f>
        <v>4.9079999999999999E-2</v>
      </c>
      <c r="O17" s="3">
        <f>INT(M17/N17*100)/100</f>
        <v>7.35</v>
      </c>
      <c r="P17" s="13">
        <f>INT((G10-O17)*100)/100</f>
        <v>0</v>
      </c>
      <c r="U17" s="14">
        <f t="shared" si="9"/>
        <v>520</v>
      </c>
      <c r="V17" s="3">
        <f t="shared" si="10"/>
        <v>4.6853880359717621</v>
      </c>
      <c r="W17" s="3">
        <f t="shared" si="11"/>
        <v>0.125</v>
      </c>
      <c r="X17" s="3">
        <f t="shared" si="12"/>
        <v>5.0000000000000001E-4</v>
      </c>
      <c r="Y17" s="3">
        <f t="shared" si="2"/>
        <v>4.1666666666666664E-2</v>
      </c>
      <c r="Z17" s="12">
        <f t="shared" si="13"/>
        <v>60</v>
      </c>
      <c r="AA17" s="263">
        <f t="shared" si="0"/>
        <v>67.120443249981321</v>
      </c>
      <c r="AB17" s="10">
        <f t="shared" si="4"/>
        <v>67.120443249981321</v>
      </c>
      <c r="AD17" s="12">
        <f t="shared" si="5"/>
        <v>60</v>
      </c>
      <c r="AE17" s="10">
        <f t="shared" ref="AE17:AE48" si="18">AB17-$O$3</f>
        <v>32.480443422788639</v>
      </c>
    </row>
    <row r="18" spans="1:31" s="3" customFormat="1" ht="21" customHeight="1" x14ac:dyDescent="0.15">
      <c r="A18" s="54"/>
      <c r="B18" s="54"/>
      <c r="C18" s="55"/>
      <c r="D18" s="187">
        <v>25</v>
      </c>
      <c r="E18" s="256">
        <f t="shared" si="14"/>
        <v>1.7361111111111112E-2</v>
      </c>
      <c r="F18" s="188">
        <f t="shared" si="15"/>
        <v>39.107740201979951</v>
      </c>
      <c r="G18" s="188">
        <f t="shared" si="16"/>
        <v>27.107740201979951</v>
      </c>
      <c r="H18" s="459"/>
      <c r="I18" s="459"/>
      <c r="J18" s="63">
        <f t="shared" si="17"/>
        <v>1.3694196328154007</v>
      </c>
      <c r="K18" s="29">
        <f t="shared" ref="K18:K31" si="19">D11</f>
        <v>2</v>
      </c>
      <c r="L18" s="3">
        <f>L17</f>
        <v>0.36109999999999998</v>
      </c>
      <c r="M18" s="3">
        <f t="shared" ref="M18:M27" si="20">K18*L18</f>
        <v>0.72219999999999995</v>
      </c>
      <c r="N18" s="3">
        <f>N17</f>
        <v>4.9079999999999999E-2</v>
      </c>
      <c r="O18" s="3">
        <f>INT(M18/N18*100)/100</f>
        <v>14.71</v>
      </c>
      <c r="P18" s="13">
        <f t="shared" ref="P18:P27" si="21">INT((G11-O18)*100)/100</f>
        <v>-3.11</v>
      </c>
      <c r="U18" s="14">
        <f t="shared" si="9"/>
        <v>520</v>
      </c>
      <c r="V18" s="3">
        <f t="shared" si="10"/>
        <v>4.6853880359717621</v>
      </c>
      <c r="W18" s="3">
        <f t="shared" si="11"/>
        <v>0.125</v>
      </c>
      <c r="X18" s="3">
        <f t="shared" si="12"/>
        <v>5.0000000000000001E-4</v>
      </c>
      <c r="Y18" s="3">
        <f t="shared" si="2"/>
        <v>5.2083333333333336E-2</v>
      </c>
      <c r="Z18" s="12">
        <f t="shared" si="13"/>
        <v>75</v>
      </c>
      <c r="AA18" s="263">
        <f t="shared" si="0"/>
        <v>68.489862882796729</v>
      </c>
      <c r="AB18" s="10">
        <f t="shared" si="4"/>
        <v>68.489862882796729</v>
      </c>
      <c r="AD18" s="12">
        <f t="shared" si="5"/>
        <v>75</v>
      </c>
      <c r="AE18" s="10">
        <f t="shared" si="18"/>
        <v>33.849863055604047</v>
      </c>
    </row>
    <row r="19" spans="1:31" s="3" customFormat="1" ht="21" customHeight="1" x14ac:dyDescent="0.15">
      <c r="A19" s="54"/>
      <c r="B19" s="54"/>
      <c r="C19" s="55"/>
      <c r="D19" s="187">
        <v>30</v>
      </c>
      <c r="E19" s="256">
        <f t="shared" si="14"/>
        <v>2.0833333333333332E-2</v>
      </c>
      <c r="F19" s="188">
        <f t="shared" si="15"/>
        <v>40.226637512203105</v>
      </c>
      <c r="G19" s="188">
        <f t="shared" si="16"/>
        <v>28.226637512203105</v>
      </c>
      <c r="H19" s="459"/>
      <c r="I19" s="459"/>
      <c r="J19" s="63">
        <f t="shared" si="17"/>
        <v>1.1188973102231543</v>
      </c>
      <c r="K19" s="29">
        <f t="shared" si="19"/>
        <v>3</v>
      </c>
      <c r="L19" s="3">
        <f>L18</f>
        <v>0.36109999999999998</v>
      </c>
      <c r="M19" s="3">
        <f t="shared" si="20"/>
        <v>1.0832999999999999</v>
      </c>
      <c r="N19" s="3">
        <f t="shared" ref="N19:N31" si="22">N18</f>
        <v>4.9079999999999999E-2</v>
      </c>
      <c r="O19" s="3">
        <f>INT(M19/N19*100)/100</f>
        <v>22.07</v>
      </c>
      <c r="P19" s="13">
        <f t="shared" si="21"/>
        <v>-7.98</v>
      </c>
      <c r="U19" s="14">
        <f t="shared" si="9"/>
        <v>520</v>
      </c>
      <c r="V19" s="3">
        <f t="shared" si="10"/>
        <v>4.6853880359717621</v>
      </c>
      <c r="W19" s="3">
        <f t="shared" si="11"/>
        <v>0.125</v>
      </c>
      <c r="X19" s="3">
        <f t="shared" si="12"/>
        <v>5.0000000000000001E-4</v>
      </c>
      <c r="Y19" s="3">
        <f t="shared" si="2"/>
        <v>6.25E-2</v>
      </c>
      <c r="Z19" s="12">
        <f t="shared" si="13"/>
        <v>90</v>
      </c>
      <c r="AA19" s="263">
        <f t="shared" si="0"/>
        <v>69.608760193019876</v>
      </c>
      <c r="AB19" s="10">
        <f t="shared" si="4"/>
        <v>69.608760193019876</v>
      </c>
      <c r="AD19" s="12">
        <f t="shared" si="5"/>
        <v>90</v>
      </c>
      <c r="AE19" s="10">
        <f t="shared" si="18"/>
        <v>34.968760365827194</v>
      </c>
    </row>
    <row r="20" spans="1:31" s="3" customFormat="1" ht="21" customHeight="1" x14ac:dyDescent="0.15">
      <c r="A20" s="54"/>
      <c r="B20" s="54"/>
      <c r="C20" s="55"/>
      <c r="D20" s="187">
        <v>35</v>
      </c>
      <c r="E20" s="256">
        <f t="shared" si="14"/>
        <v>2.4305555555555556E-2</v>
      </c>
      <c r="F20" s="188">
        <f t="shared" si="15"/>
        <v>41.172651708553509</v>
      </c>
      <c r="G20" s="188">
        <f t="shared" si="16"/>
        <v>29.172651708553509</v>
      </c>
      <c r="H20" s="459"/>
      <c r="I20" s="459"/>
      <c r="J20" s="63">
        <f t="shared" si="17"/>
        <v>0.94601419635040429</v>
      </c>
      <c r="K20" s="29">
        <f t="shared" si="19"/>
        <v>4</v>
      </c>
      <c r="L20" s="3">
        <f>L19</f>
        <v>0.36109999999999998</v>
      </c>
      <c r="M20" s="3">
        <f t="shared" si="20"/>
        <v>1.4443999999999999</v>
      </c>
      <c r="N20" s="3">
        <f>N19</f>
        <v>4.9079999999999999E-2</v>
      </c>
      <c r="O20" s="3">
        <f>INT(M20/N20*100)/100</f>
        <v>29.42</v>
      </c>
      <c r="P20" s="13">
        <f t="shared" si="21"/>
        <v>-13.56</v>
      </c>
      <c r="U20" s="14">
        <f t="shared" si="9"/>
        <v>520</v>
      </c>
      <c r="V20" s="3">
        <f t="shared" si="10"/>
        <v>4.6853880359717621</v>
      </c>
      <c r="W20" s="3">
        <f t="shared" si="11"/>
        <v>0.125</v>
      </c>
      <c r="X20" s="3">
        <f t="shared" si="12"/>
        <v>5.0000000000000001E-4</v>
      </c>
      <c r="Y20" s="3">
        <f t="shared" si="2"/>
        <v>7.2916666666666671E-2</v>
      </c>
      <c r="Z20" s="12">
        <f t="shared" si="13"/>
        <v>105</v>
      </c>
      <c r="AA20" s="263">
        <f t="shared" si="0"/>
        <v>70.55477438937028</v>
      </c>
      <c r="AB20" s="10">
        <f t="shared" si="4"/>
        <v>70.55477438937028</v>
      </c>
      <c r="AD20" s="12">
        <f t="shared" si="5"/>
        <v>105</v>
      </c>
      <c r="AE20" s="10">
        <f t="shared" si="18"/>
        <v>35.914774562177598</v>
      </c>
    </row>
    <row r="21" spans="1:31" s="3" customFormat="1" ht="21" customHeight="1" x14ac:dyDescent="0.15">
      <c r="A21" s="54"/>
      <c r="B21" s="54"/>
      <c r="C21" s="55"/>
      <c r="D21" s="187">
        <v>40</v>
      </c>
      <c r="E21" s="256">
        <f t="shared" si="14"/>
        <v>2.7777777777777776E-2</v>
      </c>
      <c r="F21" s="188">
        <f t="shared" si="15"/>
        <v>41.992126479750084</v>
      </c>
      <c r="G21" s="188">
        <f t="shared" si="16"/>
        <v>29.992126479750084</v>
      </c>
      <c r="H21" s="459"/>
      <c r="I21" s="459"/>
      <c r="J21" s="63">
        <f t="shared" si="17"/>
        <v>0.81947477119657464</v>
      </c>
      <c r="K21" s="29">
        <f t="shared" si="19"/>
        <v>5</v>
      </c>
      <c r="L21" s="3">
        <f>L20</f>
        <v>0.36109999999999998</v>
      </c>
      <c r="M21" s="3">
        <f t="shared" si="20"/>
        <v>1.8054999999999999</v>
      </c>
      <c r="N21" s="3">
        <f t="shared" si="22"/>
        <v>4.9079999999999999E-2</v>
      </c>
      <c r="O21" s="3">
        <f>INT(M21/N21*100)/100</f>
        <v>36.78</v>
      </c>
      <c r="P21" s="13">
        <f t="shared" si="21"/>
        <v>-19.55</v>
      </c>
      <c r="U21" s="14">
        <f t="shared" si="9"/>
        <v>520</v>
      </c>
      <c r="V21" s="3">
        <f t="shared" si="10"/>
        <v>4.6853880359717621</v>
      </c>
      <c r="W21" s="3">
        <f t="shared" si="11"/>
        <v>0.125</v>
      </c>
      <c r="X21" s="3">
        <f t="shared" si="12"/>
        <v>5.0000000000000001E-4</v>
      </c>
      <c r="Y21" s="3">
        <f t="shared" si="2"/>
        <v>8.3333333333333329E-2</v>
      </c>
      <c r="Z21" s="12">
        <f t="shared" si="13"/>
        <v>120</v>
      </c>
      <c r="AA21" s="263">
        <f t="shared" si="0"/>
        <v>71.374249160566862</v>
      </c>
      <c r="AB21" s="10">
        <f t="shared" si="4"/>
        <v>71.374249160566862</v>
      </c>
      <c r="AD21" s="12">
        <f t="shared" si="5"/>
        <v>120</v>
      </c>
      <c r="AE21" s="10">
        <f t="shared" si="18"/>
        <v>36.73424933337418</v>
      </c>
    </row>
    <row r="22" spans="1:31" s="3" customFormat="1" ht="21" customHeight="1" x14ac:dyDescent="0.15">
      <c r="A22" s="54"/>
      <c r="B22" s="54"/>
      <c r="C22" s="55"/>
      <c r="D22" s="187">
        <v>45</v>
      </c>
      <c r="E22" s="256">
        <f t="shared" si="14"/>
        <v>3.125E-2</v>
      </c>
      <c r="F22" s="188">
        <f t="shared" si="15"/>
        <v>42.714954455241653</v>
      </c>
      <c r="G22" s="188">
        <f t="shared" si="16"/>
        <v>30.714954455241653</v>
      </c>
      <c r="H22" s="459"/>
      <c r="I22" s="459"/>
      <c r="J22" s="63">
        <f t="shared" si="17"/>
        <v>0.72282797549156896</v>
      </c>
      <c r="K22" s="29">
        <f t="shared" si="19"/>
        <v>10</v>
      </c>
      <c r="L22" s="3">
        <f t="shared" ref="L22:L31" si="23">L21</f>
        <v>0.36109999999999998</v>
      </c>
      <c r="M22" s="3">
        <f t="shared" si="20"/>
        <v>3.6109999999999998</v>
      </c>
      <c r="N22" s="3">
        <f t="shared" si="22"/>
        <v>4.9079999999999999E-2</v>
      </c>
      <c r="O22" s="3">
        <f t="shared" ref="O22:O27" si="24">INT(M22/N22*100)/100</f>
        <v>73.569999999999993</v>
      </c>
      <c r="P22" s="13">
        <f t="shared" si="21"/>
        <v>-52.09</v>
      </c>
      <c r="U22" s="14">
        <f t="shared" si="9"/>
        <v>520</v>
      </c>
      <c r="V22" s="3">
        <f t="shared" si="10"/>
        <v>4.6853880359717621</v>
      </c>
      <c r="W22" s="3">
        <f t="shared" si="11"/>
        <v>0.125</v>
      </c>
      <c r="X22" s="3">
        <f t="shared" si="12"/>
        <v>5.0000000000000001E-4</v>
      </c>
      <c r="Y22" s="3">
        <f t="shared" si="2"/>
        <v>9.7222222222222224E-2</v>
      </c>
      <c r="Z22" s="12">
        <f t="shared" si="13"/>
        <v>140</v>
      </c>
      <c r="AA22" s="263">
        <f t="shared" si="0"/>
        <v>72.320263356917266</v>
      </c>
      <c r="AB22" s="10">
        <f t="shared" si="4"/>
        <v>72.320263356917266</v>
      </c>
      <c r="AD22" s="12">
        <f t="shared" si="5"/>
        <v>140</v>
      </c>
      <c r="AE22" s="10">
        <f t="shared" si="18"/>
        <v>37.680263529724584</v>
      </c>
    </row>
    <row r="23" spans="1:31" s="3" customFormat="1" ht="21" customHeight="1" x14ac:dyDescent="0.15">
      <c r="A23" s="54"/>
      <c r="B23" s="54"/>
      <c r="C23" s="55"/>
      <c r="D23" s="187">
        <v>50</v>
      </c>
      <c r="E23" s="256">
        <f t="shared" si="14"/>
        <v>3.4722222222222224E-2</v>
      </c>
      <c r="F23" s="188">
        <f t="shared" si="15"/>
        <v>43.361546112565492</v>
      </c>
      <c r="G23" s="188">
        <f t="shared" si="16"/>
        <v>31.361546112565492</v>
      </c>
      <c r="H23" s="459"/>
      <c r="I23" s="459"/>
      <c r="J23" s="63">
        <f t="shared" si="17"/>
        <v>0.64659165732383883</v>
      </c>
      <c r="K23" s="29">
        <f t="shared" si="19"/>
        <v>15</v>
      </c>
      <c r="L23" s="3">
        <f t="shared" si="23"/>
        <v>0.36109999999999998</v>
      </c>
      <c r="M23" s="3">
        <f t="shared" si="20"/>
        <v>5.4164999999999992</v>
      </c>
      <c r="N23" s="3">
        <f t="shared" si="22"/>
        <v>4.9079999999999999E-2</v>
      </c>
      <c r="O23" s="3">
        <f t="shared" si="24"/>
        <v>110.36</v>
      </c>
      <c r="P23" s="13">
        <f t="shared" si="21"/>
        <v>-86.39</v>
      </c>
      <c r="U23" s="14">
        <f t="shared" si="9"/>
        <v>520</v>
      </c>
      <c r="V23" s="3">
        <f t="shared" si="10"/>
        <v>4.6853880359717621</v>
      </c>
      <c r="W23" s="3">
        <f t="shared" si="11"/>
        <v>0.125</v>
      </c>
      <c r="X23" s="3">
        <f t="shared" si="12"/>
        <v>5.0000000000000001E-4</v>
      </c>
      <c r="Y23" s="3">
        <f t="shared" si="2"/>
        <v>0.1111111111111111</v>
      </c>
      <c r="Z23" s="12">
        <f t="shared" si="13"/>
        <v>160</v>
      </c>
      <c r="AA23" s="263">
        <f t="shared" si="0"/>
        <v>73.139738128113848</v>
      </c>
      <c r="AB23" s="10">
        <f t="shared" si="4"/>
        <v>73.139738128113848</v>
      </c>
      <c r="AD23" s="12">
        <f t="shared" si="5"/>
        <v>160</v>
      </c>
      <c r="AE23" s="10">
        <f t="shared" si="18"/>
        <v>38.499738300921166</v>
      </c>
    </row>
    <row r="24" spans="1:31" s="3" customFormat="1" ht="21" customHeight="1" x14ac:dyDescent="0.15">
      <c r="A24" s="54"/>
      <c r="B24" s="54"/>
      <c r="C24" s="55"/>
      <c r="D24" s="187">
        <v>55</v>
      </c>
      <c r="E24" s="256">
        <f t="shared" si="14"/>
        <v>3.8194444444444448E-2</v>
      </c>
      <c r="F24" s="188">
        <f t="shared" si="15"/>
        <v>43.897379414619294</v>
      </c>
      <c r="G24" s="188">
        <f t="shared" si="16"/>
        <v>31.897379414619298</v>
      </c>
      <c r="H24" s="459"/>
      <c r="I24" s="459"/>
      <c r="J24" s="63">
        <f t="shared" si="17"/>
        <v>0.53583330205380619</v>
      </c>
      <c r="K24" s="29">
        <f t="shared" si="19"/>
        <v>20</v>
      </c>
      <c r="L24" s="3">
        <f t="shared" si="23"/>
        <v>0.36109999999999998</v>
      </c>
      <c r="M24" s="3">
        <f t="shared" si="20"/>
        <v>7.2219999999999995</v>
      </c>
      <c r="N24" s="3">
        <f t="shared" si="22"/>
        <v>4.9079999999999999E-2</v>
      </c>
      <c r="O24" s="3">
        <f t="shared" si="24"/>
        <v>147.13999999999999</v>
      </c>
      <c r="P24" s="13">
        <f t="shared" si="21"/>
        <v>-121.41</v>
      </c>
      <c r="U24" s="14">
        <f t="shared" si="9"/>
        <v>520</v>
      </c>
      <c r="V24" s="3">
        <f t="shared" si="10"/>
        <v>4.6853880359717621</v>
      </c>
      <c r="W24" s="3">
        <f t="shared" si="11"/>
        <v>0.125</v>
      </c>
      <c r="X24" s="3">
        <f t="shared" si="12"/>
        <v>5.0000000000000001E-4</v>
      </c>
      <c r="Y24" s="3">
        <f t="shared" si="2"/>
        <v>0.125</v>
      </c>
      <c r="Z24" s="12">
        <f t="shared" si="13"/>
        <v>180</v>
      </c>
      <c r="AA24" s="263">
        <f t="shared" si="0"/>
        <v>73.862566103605417</v>
      </c>
      <c r="AB24" s="10">
        <f t="shared" si="4"/>
        <v>73.862566103605417</v>
      </c>
      <c r="AD24" s="12">
        <f t="shared" si="5"/>
        <v>180</v>
      </c>
      <c r="AE24" s="10">
        <f t="shared" si="18"/>
        <v>39.222566276412735</v>
      </c>
    </row>
    <row r="25" spans="1:31" s="3" customFormat="1" ht="21" customHeight="1" x14ac:dyDescent="0.15">
      <c r="A25" s="54"/>
      <c r="B25" s="54"/>
      <c r="C25" s="55">
        <f>$C$10+D25/1440</f>
        <v>43836.416666666664</v>
      </c>
      <c r="D25" s="187">
        <v>60</v>
      </c>
      <c r="E25" s="256">
        <f t="shared" si="14"/>
        <v>4.1666666666666664E-2</v>
      </c>
      <c r="F25" s="188">
        <f t="shared" si="15"/>
        <v>44.480443422788639</v>
      </c>
      <c r="G25" s="188">
        <f t="shared" si="16"/>
        <v>32.480443422788639</v>
      </c>
      <c r="H25" s="459"/>
      <c r="I25" s="459"/>
      <c r="J25" s="63">
        <f t="shared" si="17"/>
        <v>0.58306400816934101</v>
      </c>
      <c r="K25" s="29">
        <f t="shared" si="19"/>
        <v>25</v>
      </c>
      <c r="L25" s="3">
        <f t="shared" si="23"/>
        <v>0.36109999999999998</v>
      </c>
      <c r="M25" s="3">
        <f t="shared" si="20"/>
        <v>9.0274999999999999</v>
      </c>
      <c r="N25" s="3">
        <f t="shared" si="22"/>
        <v>4.9079999999999999E-2</v>
      </c>
      <c r="O25" s="3">
        <f t="shared" si="24"/>
        <v>183.93</v>
      </c>
      <c r="P25" s="13">
        <f t="shared" si="21"/>
        <v>-156.83000000000001</v>
      </c>
      <c r="U25" s="14">
        <f t="shared" si="9"/>
        <v>520</v>
      </c>
      <c r="V25" s="3">
        <f t="shared" si="10"/>
        <v>4.6853880359717621</v>
      </c>
      <c r="W25" s="3">
        <f t="shared" si="11"/>
        <v>0.125</v>
      </c>
      <c r="X25" s="3">
        <f t="shared" si="12"/>
        <v>5.0000000000000001E-4</v>
      </c>
      <c r="Y25" s="3">
        <f t="shared" si="2"/>
        <v>0.16666666666666666</v>
      </c>
      <c r="Z25" s="12">
        <f t="shared" si="13"/>
        <v>240</v>
      </c>
      <c r="AA25" s="263">
        <f t="shared" si="0"/>
        <v>75.628055071152389</v>
      </c>
      <c r="AB25" s="10">
        <f t="shared" si="4"/>
        <v>75.628055071152389</v>
      </c>
      <c r="AD25" s="12">
        <f t="shared" si="5"/>
        <v>240</v>
      </c>
      <c r="AE25" s="10">
        <f t="shared" si="18"/>
        <v>40.988055243959707</v>
      </c>
    </row>
    <row r="26" spans="1:31" s="3" customFormat="1" ht="21" customHeight="1" x14ac:dyDescent="0.15">
      <c r="A26" s="54"/>
      <c r="B26" s="54"/>
      <c r="C26" s="55"/>
      <c r="D26" s="187">
        <v>75</v>
      </c>
      <c r="E26" s="256">
        <f t="shared" si="14"/>
        <v>5.2083333333333336E-2</v>
      </c>
      <c r="F26" s="188">
        <f t="shared" si="15"/>
        <v>45.849863055604047</v>
      </c>
      <c r="G26" s="188">
        <f t="shared" si="16"/>
        <v>33.849863055604047</v>
      </c>
      <c r="H26" s="459"/>
      <c r="I26" s="459"/>
      <c r="J26" s="63">
        <f t="shared" si="17"/>
        <v>1.3694196328154078</v>
      </c>
      <c r="K26" s="29">
        <f t="shared" si="19"/>
        <v>30</v>
      </c>
      <c r="L26" s="3">
        <f t="shared" si="23"/>
        <v>0.36109999999999998</v>
      </c>
      <c r="M26" s="3">
        <f t="shared" si="20"/>
        <v>10.832999999999998</v>
      </c>
      <c r="N26" s="3">
        <f t="shared" si="22"/>
        <v>4.9079999999999999E-2</v>
      </c>
      <c r="O26" s="3">
        <f t="shared" si="24"/>
        <v>220.72</v>
      </c>
      <c r="P26" s="13">
        <f t="shared" si="21"/>
        <v>-192.5</v>
      </c>
      <c r="U26" s="14">
        <f t="shared" si="9"/>
        <v>520</v>
      </c>
      <c r="V26" s="3">
        <f t="shared" si="10"/>
        <v>4.6853880359717621</v>
      </c>
      <c r="W26" s="3">
        <f t="shared" si="11"/>
        <v>0.125</v>
      </c>
      <c r="X26" s="3">
        <f t="shared" si="12"/>
        <v>5.0000000000000001E-4</v>
      </c>
      <c r="Y26" s="3">
        <f t="shared" si="2"/>
        <v>0.20833333333333334</v>
      </c>
      <c r="Z26" s="12">
        <f t="shared" si="13"/>
        <v>300</v>
      </c>
      <c r="AA26" s="263">
        <f t="shared" si="0"/>
        <v>76.997474703967796</v>
      </c>
      <c r="AB26" s="10">
        <f t="shared" si="4"/>
        <v>76.997474703967796</v>
      </c>
      <c r="AD26" s="12">
        <f t="shared" si="5"/>
        <v>300</v>
      </c>
      <c r="AE26" s="10">
        <f t="shared" si="18"/>
        <v>42.357474876775115</v>
      </c>
    </row>
    <row r="27" spans="1:31" s="3" customFormat="1" ht="21" customHeight="1" x14ac:dyDescent="0.15">
      <c r="A27" s="54"/>
      <c r="B27" s="54"/>
      <c r="C27" s="55"/>
      <c r="D27" s="187">
        <v>90</v>
      </c>
      <c r="E27" s="256">
        <f t="shared" ref="E27:E42" si="25">D27/1440</f>
        <v>6.25E-2</v>
      </c>
      <c r="F27" s="188">
        <f t="shared" si="15"/>
        <v>46.968760365827194</v>
      </c>
      <c r="G27" s="188">
        <f t="shared" si="16"/>
        <v>34.968760365827194</v>
      </c>
      <c r="H27" s="459"/>
      <c r="I27" s="459"/>
      <c r="J27" s="63">
        <f t="shared" si="17"/>
        <v>1.1188973102231472</v>
      </c>
      <c r="K27" s="29">
        <f t="shared" si="19"/>
        <v>35</v>
      </c>
      <c r="L27" s="3">
        <f t="shared" si="23"/>
        <v>0.36109999999999998</v>
      </c>
      <c r="M27" s="3">
        <f t="shared" si="20"/>
        <v>12.638499999999999</v>
      </c>
      <c r="N27" s="3">
        <f t="shared" si="22"/>
        <v>4.9079999999999999E-2</v>
      </c>
      <c r="O27" s="3">
        <f t="shared" si="24"/>
        <v>257.5</v>
      </c>
      <c r="P27" s="13">
        <f t="shared" si="21"/>
        <v>-228.33</v>
      </c>
      <c r="U27" s="14">
        <f t="shared" si="9"/>
        <v>520</v>
      </c>
      <c r="V27" s="3">
        <f t="shared" si="10"/>
        <v>4.6853880359717621</v>
      </c>
      <c r="W27" s="3">
        <f t="shared" si="11"/>
        <v>0.125</v>
      </c>
      <c r="X27" s="3">
        <f t="shared" si="12"/>
        <v>5.0000000000000001E-4</v>
      </c>
      <c r="Y27" s="3">
        <f t="shared" si="2"/>
        <v>0.25</v>
      </c>
      <c r="Z27" s="12">
        <f t="shared" si="13"/>
        <v>360</v>
      </c>
      <c r="AA27" s="263">
        <f t="shared" si="0"/>
        <v>78.116372014190944</v>
      </c>
      <c r="AB27" s="10">
        <f t="shared" si="4"/>
        <v>78.116372014190944</v>
      </c>
      <c r="AD27" s="12">
        <f t="shared" si="5"/>
        <v>360</v>
      </c>
      <c r="AE27" s="10">
        <f t="shared" si="18"/>
        <v>43.476372186998262</v>
      </c>
    </row>
    <row r="28" spans="1:31" s="3" customFormat="1" ht="21" customHeight="1" x14ac:dyDescent="0.15">
      <c r="A28" s="54"/>
      <c r="B28" s="54"/>
      <c r="C28" s="55"/>
      <c r="D28" s="187">
        <v>105</v>
      </c>
      <c r="E28" s="256">
        <f t="shared" si="25"/>
        <v>7.2916666666666671E-2</v>
      </c>
      <c r="F28" s="188">
        <f t="shared" si="15"/>
        <v>47.914774562177598</v>
      </c>
      <c r="G28" s="188">
        <f t="shared" si="16"/>
        <v>35.914774562177598</v>
      </c>
      <c r="H28" s="459"/>
      <c r="I28" s="459"/>
      <c r="J28" s="63">
        <f t="shared" si="17"/>
        <v>0.94601419635040429</v>
      </c>
      <c r="K28" s="29">
        <f t="shared" si="19"/>
        <v>40</v>
      </c>
      <c r="L28" s="3">
        <f t="shared" si="23"/>
        <v>0.36109999999999998</v>
      </c>
      <c r="M28" s="3">
        <f>K28*L28</f>
        <v>14.443999999999999</v>
      </c>
      <c r="N28" s="3">
        <f t="shared" si="22"/>
        <v>4.9079999999999999E-2</v>
      </c>
      <c r="O28" s="3">
        <f>INT(M28/N28*100)/100</f>
        <v>294.29000000000002</v>
      </c>
      <c r="P28" s="13">
        <f>INT((G21-O28)*100)/100</f>
        <v>-264.3</v>
      </c>
      <c r="U28" s="14">
        <f t="shared" si="9"/>
        <v>520</v>
      </c>
      <c r="V28" s="3">
        <f t="shared" si="10"/>
        <v>4.6853880359717621</v>
      </c>
      <c r="W28" s="3">
        <f t="shared" si="11"/>
        <v>0.125</v>
      </c>
      <c r="X28" s="3">
        <f t="shared" si="12"/>
        <v>5.0000000000000001E-4</v>
      </c>
      <c r="Y28" s="3">
        <f t="shared" si="2"/>
        <v>0.29166666666666669</v>
      </c>
      <c r="Z28" s="247">
        <f t="shared" si="13"/>
        <v>420</v>
      </c>
      <c r="AA28" s="263">
        <f t="shared" si="0"/>
        <v>79.062386210541362</v>
      </c>
      <c r="AB28" s="10">
        <f t="shared" si="4"/>
        <v>79.062386210541362</v>
      </c>
      <c r="AD28" s="12">
        <f t="shared" si="5"/>
        <v>420</v>
      </c>
      <c r="AE28" s="10">
        <f t="shared" si="18"/>
        <v>44.42238638334868</v>
      </c>
    </row>
    <row r="29" spans="1:31" s="3" customFormat="1" ht="21" customHeight="1" x14ac:dyDescent="0.15">
      <c r="A29" s="54"/>
      <c r="B29" s="54"/>
      <c r="C29" s="55"/>
      <c r="D29" s="187">
        <v>120</v>
      </c>
      <c r="E29" s="256">
        <f t="shared" si="25"/>
        <v>8.3333333333333329E-2</v>
      </c>
      <c r="F29" s="188">
        <f t="shared" si="15"/>
        <v>48.73424933337418</v>
      </c>
      <c r="G29" s="188">
        <f t="shared" si="16"/>
        <v>36.73424933337418</v>
      </c>
      <c r="H29" s="459"/>
      <c r="I29" s="459"/>
      <c r="J29" s="63">
        <f t="shared" si="17"/>
        <v>0.81947477119658174</v>
      </c>
      <c r="K29" s="29">
        <f t="shared" si="19"/>
        <v>45</v>
      </c>
      <c r="L29" s="3">
        <f t="shared" si="23"/>
        <v>0.36109999999999998</v>
      </c>
      <c r="M29" s="3">
        <f>K29*L29</f>
        <v>16.249499999999998</v>
      </c>
      <c r="N29" s="3">
        <f t="shared" si="22"/>
        <v>4.9079999999999999E-2</v>
      </c>
      <c r="O29" s="3">
        <f>INT(M29/N29*100)/100</f>
        <v>331.08</v>
      </c>
      <c r="P29" s="13">
        <f>INT((G22-O29)*100)/100</f>
        <v>-300.37</v>
      </c>
      <c r="U29" s="14">
        <f t="shared" si="9"/>
        <v>520</v>
      </c>
      <c r="V29" s="3">
        <f t="shared" si="10"/>
        <v>4.6853880359717621</v>
      </c>
      <c r="W29" s="3">
        <f t="shared" si="11"/>
        <v>0.125</v>
      </c>
      <c r="X29" s="3">
        <f t="shared" si="12"/>
        <v>5.0000000000000001E-4</v>
      </c>
      <c r="Y29" s="3">
        <f t="shared" si="2"/>
        <v>0.33333333333333331</v>
      </c>
      <c r="Z29" s="12">
        <f t="shared" si="13"/>
        <v>480</v>
      </c>
      <c r="AA29" s="263">
        <f t="shared" si="0"/>
        <v>79.88186098173793</v>
      </c>
      <c r="AB29" s="10">
        <f t="shared" si="4"/>
        <v>79.88186098173793</v>
      </c>
      <c r="AD29" s="12">
        <f t="shared" si="5"/>
        <v>480</v>
      </c>
      <c r="AE29" s="10">
        <f t="shared" si="18"/>
        <v>45.241861154545248</v>
      </c>
    </row>
    <row r="30" spans="1:31" s="3" customFormat="1" ht="21" customHeight="1" x14ac:dyDescent="0.15">
      <c r="A30" s="54" t="s">
        <v>0</v>
      </c>
      <c r="B30" s="54" t="s">
        <v>0</v>
      </c>
      <c r="C30" s="55" t="s">
        <v>0</v>
      </c>
      <c r="D30" s="187">
        <v>140</v>
      </c>
      <c r="E30" s="256">
        <f t="shared" si="25"/>
        <v>9.7222222222222224E-2</v>
      </c>
      <c r="F30" s="188">
        <f t="shared" si="15"/>
        <v>49.680263529724584</v>
      </c>
      <c r="G30" s="188">
        <f t="shared" si="16"/>
        <v>37.680263529724584</v>
      </c>
      <c r="H30" s="459"/>
      <c r="I30" s="459"/>
      <c r="J30" s="63">
        <f t="shared" si="17"/>
        <v>0.94601419635040429</v>
      </c>
      <c r="K30" s="29">
        <f t="shared" si="19"/>
        <v>50</v>
      </c>
      <c r="L30" s="3">
        <f t="shared" si="23"/>
        <v>0.36109999999999998</v>
      </c>
      <c r="M30" s="3">
        <f>K30*L30</f>
        <v>18.055</v>
      </c>
      <c r="N30" s="3">
        <f t="shared" si="22"/>
        <v>4.9079999999999999E-2</v>
      </c>
      <c r="O30" s="3">
        <f>INT(M30/N30*100)/100</f>
        <v>367.86</v>
      </c>
      <c r="P30" s="13">
        <f>INT((G23-O30)*100)/100</f>
        <v>-336.5</v>
      </c>
      <c r="U30" s="14">
        <f t="shared" si="9"/>
        <v>520</v>
      </c>
      <c r="V30" s="3">
        <f t="shared" si="10"/>
        <v>4.6853880359717621</v>
      </c>
      <c r="W30" s="3">
        <f t="shared" si="11"/>
        <v>0.125</v>
      </c>
      <c r="X30" s="3">
        <f t="shared" si="12"/>
        <v>5.0000000000000001E-4</v>
      </c>
      <c r="Y30" s="3">
        <f t="shared" si="2"/>
        <v>0.375</v>
      </c>
      <c r="Z30" s="247">
        <f t="shared" si="13"/>
        <v>540</v>
      </c>
      <c r="AA30" s="263">
        <f t="shared" si="0"/>
        <v>80.604688957229499</v>
      </c>
      <c r="AB30" s="10">
        <f t="shared" si="4"/>
        <v>80.604688957229499</v>
      </c>
      <c r="AD30" s="12">
        <f t="shared" si="5"/>
        <v>540</v>
      </c>
      <c r="AE30" s="10">
        <f t="shared" si="18"/>
        <v>45.964689130036817</v>
      </c>
    </row>
    <row r="31" spans="1:31" s="3" customFormat="1" ht="21" customHeight="1" x14ac:dyDescent="0.15">
      <c r="A31" s="54"/>
      <c r="B31" s="54"/>
      <c r="C31" s="55"/>
      <c r="D31" s="187">
        <v>160</v>
      </c>
      <c r="E31" s="256">
        <f t="shared" si="25"/>
        <v>0.1111111111111111</v>
      </c>
      <c r="F31" s="188">
        <f t="shared" si="15"/>
        <v>50.499738300921166</v>
      </c>
      <c r="G31" s="188">
        <f t="shared" si="16"/>
        <v>38.499738300921166</v>
      </c>
      <c r="H31" s="459"/>
      <c r="I31" s="459"/>
      <c r="J31" s="63">
        <f t="shared" si="17"/>
        <v>0.81947477119658174</v>
      </c>
      <c r="K31" s="29">
        <f t="shared" si="19"/>
        <v>55</v>
      </c>
      <c r="L31" s="3">
        <f t="shared" si="23"/>
        <v>0.36109999999999998</v>
      </c>
      <c r="M31" s="3">
        <f>K31*L31</f>
        <v>19.860499999999998</v>
      </c>
      <c r="N31" s="3">
        <f t="shared" si="22"/>
        <v>4.9079999999999999E-2</v>
      </c>
      <c r="O31" s="3">
        <f>INT(M31/N31*100)/100</f>
        <v>404.65</v>
      </c>
      <c r="P31" s="13">
        <f>INT((G24-O31)*100)/100</f>
        <v>-372.76</v>
      </c>
      <c r="U31" s="14">
        <f t="shared" si="9"/>
        <v>520</v>
      </c>
      <c r="V31" s="3">
        <f t="shared" si="10"/>
        <v>4.6853880359717621</v>
      </c>
      <c r="W31" s="3">
        <f t="shared" si="11"/>
        <v>0.125</v>
      </c>
      <c r="X31" s="3">
        <f t="shared" si="12"/>
        <v>5.0000000000000001E-4</v>
      </c>
      <c r="Y31" s="3">
        <f t="shared" si="2"/>
        <v>0.41666666666666669</v>
      </c>
      <c r="Z31" s="12">
        <f t="shared" si="13"/>
        <v>600</v>
      </c>
      <c r="AA31" s="263">
        <f t="shared" si="0"/>
        <v>81.251280614553338</v>
      </c>
      <c r="AB31" s="10">
        <f t="shared" si="4"/>
        <v>81.251280614553338</v>
      </c>
      <c r="AD31" s="12">
        <f t="shared" si="5"/>
        <v>600</v>
      </c>
      <c r="AE31" s="10">
        <f t="shared" si="18"/>
        <v>46.611280787360656</v>
      </c>
    </row>
    <row r="32" spans="1:31" s="3" customFormat="1" ht="21" customHeight="1" x14ac:dyDescent="0.15">
      <c r="A32" s="54"/>
      <c r="B32" s="54"/>
      <c r="C32" s="55"/>
      <c r="D32" s="187">
        <v>180</v>
      </c>
      <c r="E32" s="256">
        <f t="shared" si="25"/>
        <v>0.125</v>
      </c>
      <c r="F32" s="188">
        <f t="shared" si="15"/>
        <v>51.222566276412735</v>
      </c>
      <c r="G32" s="188">
        <f t="shared" si="16"/>
        <v>39.222566276412735</v>
      </c>
      <c r="H32" s="459"/>
      <c r="I32" s="459"/>
      <c r="J32" s="63">
        <f t="shared" si="17"/>
        <v>0.72282797549156896</v>
      </c>
      <c r="K32" s="65" t="s">
        <v>18</v>
      </c>
      <c r="N32" s="67"/>
      <c r="U32" s="14">
        <f t="shared" si="9"/>
        <v>520</v>
      </c>
      <c r="V32" s="3">
        <f t="shared" si="10"/>
        <v>4.6853880359717621</v>
      </c>
      <c r="W32" s="3">
        <f t="shared" si="11"/>
        <v>0.125</v>
      </c>
      <c r="X32" s="3">
        <f t="shared" si="12"/>
        <v>5.0000000000000001E-4</v>
      </c>
      <c r="Y32" s="3">
        <f t="shared" si="2"/>
        <v>0.45833333333333331</v>
      </c>
      <c r="Z32" s="247">
        <f t="shared" si="13"/>
        <v>660</v>
      </c>
      <c r="AA32" s="263">
        <f t="shared" si="0"/>
        <v>81.836193916607144</v>
      </c>
      <c r="AB32" s="10">
        <f t="shared" si="4"/>
        <v>81.836193916607144</v>
      </c>
      <c r="AD32" s="12">
        <f t="shared" si="5"/>
        <v>660</v>
      </c>
      <c r="AE32" s="10">
        <f t="shared" si="18"/>
        <v>47.196194089414462</v>
      </c>
    </row>
    <row r="33" spans="1:31" s="3" customFormat="1" ht="21" customHeight="1" x14ac:dyDescent="0.15">
      <c r="A33" s="54"/>
      <c r="B33" s="54"/>
      <c r="C33" s="55">
        <f>$C$10+D33/1440</f>
        <v>43836.541666666664</v>
      </c>
      <c r="D33" s="187">
        <f t="shared" ref="D33:D46" si="26">D32+60</f>
        <v>240</v>
      </c>
      <c r="E33" s="256">
        <f t="shared" si="25"/>
        <v>0.16666666666666666</v>
      </c>
      <c r="F33" s="188">
        <f t="shared" si="15"/>
        <v>52.988055243959707</v>
      </c>
      <c r="G33" s="188">
        <f t="shared" si="16"/>
        <v>40.988055243959707</v>
      </c>
      <c r="H33" s="459"/>
      <c r="I33" s="459"/>
      <c r="J33" s="63">
        <f t="shared" si="17"/>
        <v>1.7654889675469718</v>
      </c>
      <c r="K33" s="9" t="s">
        <v>18</v>
      </c>
      <c r="N33" s="67"/>
      <c r="U33" s="14">
        <f t="shared" si="9"/>
        <v>520</v>
      </c>
      <c r="V33" s="3">
        <f t="shared" si="10"/>
        <v>4.6853880359717621</v>
      </c>
      <c r="W33" s="3">
        <f t="shared" si="11"/>
        <v>0.125</v>
      </c>
      <c r="X33" s="3">
        <f t="shared" si="12"/>
        <v>5.0000000000000001E-4</v>
      </c>
      <c r="Y33" s="3">
        <f t="shared" si="2"/>
        <v>0.5</v>
      </c>
      <c r="Z33" s="12">
        <f t="shared" si="13"/>
        <v>720</v>
      </c>
      <c r="AA33" s="263">
        <f t="shared" si="0"/>
        <v>82.370177924776485</v>
      </c>
      <c r="AB33" s="10">
        <f t="shared" si="4"/>
        <v>82.370177924776485</v>
      </c>
      <c r="AD33" s="12">
        <f t="shared" si="5"/>
        <v>720</v>
      </c>
      <c r="AE33" s="10">
        <f t="shared" si="18"/>
        <v>47.730178097583803</v>
      </c>
    </row>
    <row r="34" spans="1:31" s="3" customFormat="1" ht="21" customHeight="1" x14ac:dyDescent="0.15">
      <c r="A34" s="54"/>
      <c r="B34" s="54"/>
      <c r="C34" s="55"/>
      <c r="D34" s="187">
        <f t="shared" si="26"/>
        <v>300</v>
      </c>
      <c r="E34" s="256">
        <f t="shared" si="25"/>
        <v>0.20833333333333334</v>
      </c>
      <c r="F34" s="188">
        <f t="shared" si="15"/>
        <v>54.357474876775115</v>
      </c>
      <c r="G34" s="188">
        <f t="shared" si="16"/>
        <v>42.357474876775115</v>
      </c>
      <c r="H34" s="459"/>
      <c r="I34" s="459"/>
      <c r="J34" s="63">
        <f t="shared" si="17"/>
        <v>1.3694196328154078</v>
      </c>
      <c r="K34" s="9" t="s">
        <v>18</v>
      </c>
      <c r="O34" s="67"/>
      <c r="U34" s="14">
        <f t="shared" si="9"/>
        <v>520</v>
      </c>
      <c r="V34" s="3">
        <f t="shared" si="10"/>
        <v>4.6853880359717621</v>
      </c>
      <c r="W34" s="3">
        <f t="shared" si="11"/>
        <v>0.125</v>
      </c>
      <c r="X34" s="3">
        <f t="shared" si="12"/>
        <v>5.0000000000000001E-4</v>
      </c>
      <c r="Y34" s="3">
        <f t="shared" si="2"/>
        <v>0.54166666666666663</v>
      </c>
      <c r="Z34" s="247">
        <f t="shared" si="13"/>
        <v>780</v>
      </c>
      <c r="AA34" s="263">
        <f t="shared" ref="AA34:AA65" si="27">AB34+AC$2</f>
        <v>82.861395594775374</v>
      </c>
      <c r="AB34" s="10">
        <f t="shared" si="4"/>
        <v>82.861395594775374</v>
      </c>
      <c r="AD34" s="12">
        <f t="shared" si="5"/>
        <v>780</v>
      </c>
      <c r="AE34" s="10">
        <f t="shared" si="18"/>
        <v>48.221395767582692</v>
      </c>
    </row>
    <row r="35" spans="1:31" s="3" customFormat="1" ht="21" customHeight="1" x14ac:dyDescent="0.15">
      <c r="A35" s="54" t="s">
        <v>0</v>
      </c>
      <c r="B35" s="54" t="s">
        <v>0</v>
      </c>
      <c r="C35" s="55" t="s">
        <v>0</v>
      </c>
      <c r="D35" s="187">
        <f t="shared" si="26"/>
        <v>360</v>
      </c>
      <c r="E35" s="256">
        <f t="shared" si="25"/>
        <v>0.25</v>
      </c>
      <c r="F35" s="188">
        <f t="shared" si="15"/>
        <v>55.476372186998262</v>
      </c>
      <c r="G35" s="188">
        <f t="shared" si="16"/>
        <v>43.476372186998262</v>
      </c>
      <c r="H35" s="459"/>
      <c r="I35" s="459"/>
      <c r="J35" s="63">
        <f t="shared" si="17"/>
        <v>1.1188973102231472</v>
      </c>
      <c r="K35" s="9" t="s">
        <v>18</v>
      </c>
      <c r="N35" s="67"/>
      <c r="U35" s="14">
        <f t="shared" si="9"/>
        <v>520</v>
      </c>
      <c r="V35" s="3">
        <f t="shared" si="10"/>
        <v>4.6853880359717621</v>
      </c>
      <c r="W35" s="3">
        <f t="shared" si="11"/>
        <v>0.125</v>
      </c>
      <c r="X35" s="3">
        <f t="shared" si="12"/>
        <v>5.0000000000000001E-4</v>
      </c>
      <c r="Y35" s="3">
        <f t="shared" si="2"/>
        <v>0.58333333333333337</v>
      </c>
      <c r="Z35" s="12">
        <f t="shared" si="13"/>
        <v>840</v>
      </c>
      <c r="AA35" s="263">
        <f t="shared" si="27"/>
        <v>83.316192121126889</v>
      </c>
      <c r="AB35" s="10">
        <f t="shared" si="4"/>
        <v>83.316192121126889</v>
      </c>
      <c r="AD35" s="12">
        <f t="shared" si="5"/>
        <v>840</v>
      </c>
      <c r="AE35" s="10">
        <f t="shared" si="18"/>
        <v>48.676192293934207</v>
      </c>
    </row>
    <row r="36" spans="1:31" s="3" customFormat="1" ht="21" customHeight="1" x14ac:dyDescent="0.15">
      <c r="A36" s="54"/>
      <c r="B36" s="54"/>
      <c r="C36" s="55"/>
      <c r="D36" s="187">
        <f t="shared" si="26"/>
        <v>420</v>
      </c>
      <c r="E36" s="256">
        <f t="shared" si="25"/>
        <v>0.29166666666666669</v>
      </c>
      <c r="F36" s="188">
        <f t="shared" si="15"/>
        <v>56.42238638334868</v>
      </c>
      <c r="G36" s="188">
        <f t="shared" si="16"/>
        <v>44.42238638334868</v>
      </c>
      <c r="H36" s="459"/>
      <c r="I36" s="459"/>
      <c r="J36" s="63">
        <f t="shared" si="17"/>
        <v>0.9460141963504185</v>
      </c>
      <c r="K36" s="9" t="s">
        <v>18</v>
      </c>
      <c r="U36" s="14">
        <f t="shared" si="9"/>
        <v>520</v>
      </c>
      <c r="V36" s="3">
        <f t="shared" si="10"/>
        <v>4.6853880359717621</v>
      </c>
      <c r="W36" s="3">
        <f t="shared" si="11"/>
        <v>0.125</v>
      </c>
      <c r="X36" s="3">
        <f t="shared" si="12"/>
        <v>5.0000000000000001E-4</v>
      </c>
      <c r="Y36" s="3">
        <f t="shared" si="2"/>
        <v>0.625</v>
      </c>
      <c r="Z36" s="247">
        <f t="shared" si="13"/>
        <v>900</v>
      </c>
      <c r="AA36" s="263">
        <f t="shared" si="27"/>
        <v>83.739597557591892</v>
      </c>
      <c r="AB36" s="10">
        <f t="shared" si="4"/>
        <v>83.739597557591892</v>
      </c>
      <c r="AD36" s="12">
        <f t="shared" si="5"/>
        <v>900</v>
      </c>
      <c r="AE36" s="10">
        <f t="shared" si="18"/>
        <v>49.099597730399211</v>
      </c>
    </row>
    <row r="37" spans="1:31" s="3" customFormat="1" ht="21" customHeight="1" x14ac:dyDescent="0.15">
      <c r="A37" s="54"/>
      <c r="B37" s="54"/>
      <c r="C37" s="55"/>
      <c r="D37" s="187">
        <f t="shared" si="26"/>
        <v>480</v>
      </c>
      <c r="E37" s="256">
        <f t="shared" si="25"/>
        <v>0.33333333333333331</v>
      </c>
      <c r="F37" s="188">
        <f t="shared" si="15"/>
        <v>57.241861154545248</v>
      </c>
      <c r="G37" s="188">
        <f t="shared" si="16"/>
        <v>45.241861154545248</v>
      </c>
      <c r="H37" s="459"/>
      <c r="I37" s="459"/>
      <c r="J37" s="63">
        <f t="shared" si="17"/>
        <v>0.81947477119656753</v>
      </c>
      <c r="K37" s="9" t="s">
        <v>18</v>
      </c>
      <c r="U37" s="14">
        <f t="shared" si="9"/>
        <v>520</v>
      </c>
      <c r="V37" s="3">
        <f t="shared" si="10"/>
        <v>4.6853880359717621</v>
      </c>
      <c r="W37" s="3">
        <f t="shared" si="11"/>
        <v>0.125</v>
      </c>
      <c r="X37" s="3">
        <f t="shared" si="12"/>
        <v>5.0000000000000001E-4</v>
      </c>
      <c r="Y37" s="3">
        <f t="shared" si="2"/>
        <v>0.66666666666666663</v>
      </c>
      <c r="Z37" s="12">
        <f t="shared" si="13"/>
        <v>960</v>
      </c>
      <c r="AA37" s="263">
        <f t="shared" si="27"/>
        <v>84.135666892323471</v>
      </c>
      <c r="AB37" s="10">
        <f t="shared" si="4"/>
        <v>84.135666892323471</v>
      </c>
      <c r="AC37" s="3">
        <v>37</v>
      </c>
      <c r="AD37" s="12">
        <f t="shared" si="5"/>
        <v>960</v>
      </c>
      <c r="AE37" s="10">
        <f t="shared" si="18"/>
        <v>49.495667065130789</v>
      </c>
    </row>
    <row r="38" spans="1:31" s="3" customFormat="1" ht="21" customHeight="1" x14ac:dyDescent="0.15">
      <c r="A38" s="54"/>
      <c r="B38" s="54"/>
      <c r="C38" s="55"/>
      <c r="D38" s="187">
        <f t="shared" si="26"/>
        <v>540</v>
      </c>
      <c r="E38" s="256">
        <f t="shared" si="25"/>
        <v>0.375</v>
      </c>
      <c r="F38" s="188">
        <f t="shared" si="15"/>
        <v>57.964689130036817</v>
      </c>
      <c r="G38" s="188">
        <f t="shared" si="16"/>
        <v>45.964689130036817</v>
      </c>
      <c r="H38" s="459"/>
      <c r="I38" s="459"/>
      <c r="J38" s="63">
        <f t="shared" si="17"/>
        <v>0.72282797549156896</v>
      </c>
      <c r="K38" s="9" t="s">
        <v>18</v>
      </c>
      <c r="U38" s="14">
        <f t="shared" si="9"/>
        <v>520</v>
      </c>
      <c r="V38" s="3">
        <f t="shared" si="10"/>
        <v>4.6853880359717621</v>
      </c>
      <c r="W38" s="3">
        <f t="shared" si="11"/>
        <v>0.125</v>
      </c>
      <c r="X38" s="3">
        <f t="shared" si="12"/>
        <v>5.0000000000000001E-4</v>
      </c>
      <c r="Y38" s="3">
        <f t="shared" si="2"/>
        <v>0.70833333333333337</v>
      </c>
      <c r="Z38" s="12">
        <f t="shared" si="13"/>
        <v>1020</v>
      </c>
      <c r="AA38" s="263">
        <f t="shared" si="27"/>
        <v>84.507716843390767</v>
      </c>
      <c r="AB38" s="10">
        <f t="shared" si="4"/>
        <v>84.507716843390767</v>
      </c>
      <c r="AC38" s="29" t="s">
        <v>28</v>
      </c>
      <c r="AD38" s="12">
        <f t="shared" si="5"/>
        <v>1020</v>
      </c>
      <c r="AE38" s="10">
        <f t="shared" si="18"/>
        <v>49.867717016198085</v>
      </c>
    </row>
    <row r="39" spans="1:31" s="3" customFormat="1" ht="21" customHeight="1" x14ac:dyDescent="0.15">
      <c r="A39" s="54"/>
      <c r="B39" s="54"/>
      <c r="C39" s="55">
        <f>$C$10+D39/1440</f>
        <v>43836.791666666664</v>
      </c>
      <c r="D39" s="187">
        <f t="shared" si="26"/>
        <v>600</v>
      </c>
      <c r="E39" s="256">
        <f t="shared" si="25"/>
        <v>0.41666666666666669</v>
      </c>
      <c r="F39" s="188">
        <f t="shared" si="15"/>
        <v>58.611280787360656</v>
      </c>
      <c r="G39" s="188">
        <f t="shared" si="16"/>
        <v>46.611280787360656</v>
      </c>
      <c r="H39" s="459"/>
      <c r="I39" s="459"/>
      <c r="J39" s="63">
        <f t="shared" si="17"/>
        <v>0.64659165732383883</v>
      </c>
      <c r="K39" s="9" t="s">
        <v>18</v>
      </c>
      <c r="U39" s="14">
        <f t="shared" si="9"/>
        <v>520</v>
      </c>
      <c r="V39" s="3">
        <f t="shared" si="10"/>
        <v>4.6853880359717621</v>
      </c>
      <c r="W39" s="3">
        <f t="shared" si="11"/>
        <v>0.125</v>
      </c>
      <c r="X39" s="3">
        <f t="shared" si="12"/>
        <v>5.0000000000000001E-4</v>
      </c>
      <c r="Y39" s="3">
        <f t="shared" si="2"/>
        <v>0.75</v>
      </c>
      <c r="Z39" s="12">
        <f t="shared" si="13"/>
        <v>1080</v>
      </c>
      <c r="AA39" s="263">
        <f t="shared" si="27"/>
        <v>84.85849486781504</v>
      </c>
      <c r="AB39" s="10">
        <f t="shared" si="4"/>
        <v>84.85849486781504</v>
      </c>
      <c r="AC39" s="395">
        <v>39</v>
      </c>
      <c r="AD39" s="12">
        <f t="shared" si="5"/>
        <v>1080</v>
      </c>
      <c r="AE39" s="10">
        <f t="shared" si="18"/>
        <v>50.218495040622358</v>
      </c>
    </row>
    <row r="40" spans="1:31" s="3" customFormat="1" ht="21" customHeight="1" x14ac:dyDescent="0.15">
      <c r="A40" s="54" t="s">
        <v>0</v>
      </c>
      <c r="B40" s="54" t="s">
        <v>0</v>
      </c>
      <c r="C40" s="55" t="s">
        <v>0</v>
      </c>
      <c r="D40" s="187">
        <f t="shared" si="26"/>
        <v>660</v>
      </c>
      <c r="E40" s="256">
        <f t="shared" si="25"/>
        <v>0.45833333333333331</v>
      </c>
      <c r="F40" s="188">
        <f t="shared" si="15"/>
        <v>59.196194089414462</v>
      </c>
      <c r="G40" s="188">
        <f t="shared" si="16"/>
        <v>47.196194089414462</v>
      </c>
      <c r="H40" s="459"/>
      <c r="I40" s="459"/>
      <c r="J40" s="63">
        <f t="shared" si="17"/>
        <v>0.58491330205380621</v>
      </c>
      <c r="K40" s="9" t="s">
        <v>18</v>
      </c>
      <c r="U40" s="14">
        <f t="shared" si="9"/>
        <v>520</v>
      </c>
      <c r="V40" s="3">
        <f t="shared" si="10"/>
        <v>4.6853880359717621</v>
      </c>
      <c r="W40" s="3">
        <f t="shared" si="11"/>
        <v>0.125</v>
      </c>
      <c r="X40" s="3">
        <f t="shared" si="12"/>
        <v>5.0000000000000001E-4</v>
      </c>
      <c r="Y40" s="3">
        <f t="shared" si="2"/>
        <v>0.79166666666666663</v>
      </c>
      <c r="Z40" s="12">
        <f t="shared" si="13"/>
        <v>1140</v>
      </c>
      <c r="AA40" s="263">
        <f t="shared" si="27"/>
        <v>85.19030241440656</v>
      </c>
      <c r="AB40" s="10">
        <f t="shared" si="4"/>
        <v>85.19030241440656</v>
      </c>
      <c r="AC40" s="395">
        <v>40</v>
      </c>
      <c r="AD40" s="12">
        <f t="shared" si="5"/>
        <v>1140</v>
      </c>
      <c r="AE40" s="10">
        <f t="shared" si="18"/>
        <v>50.550302587213878</v>
      </c>
    </row>
    <row r="41" spans="1:31" s="3" customFormat="1" ht="21" customHeight="1" x14ac:dyDescent="0.15">
      <c r="A41" s="54"/>
      <c r="B41" s="54"/>
      <c r="C41" s="55"/>
      <c r="D41" s="187">
        <f t="shared" si="26"/>
        <v>720</v>
      </c>
      <c r="E41" s="256">
        <f t="shared" si="25"/>
        <v>0.5</v>
      </c>
      <c r="F41" s="188">
        <f t="shared" si="15"/>
        <v>59.730178097583803</v>
      </c>
      <c r="G41" s="188">
        <f t="shared" si="16"/>
        <v>47.730178097583803</v>
      </c>
      <c r="H41" s="459"/>
      <c r="I41" s="459"/>
      <c r="J41" s="63">
        <f t="shared" si="17"/>
        <v>0.533984008169341</v>
      </c>
      <c r="K41" s="9" t="s">
        <v>18</v>
      </c>
      <c r="U41" s="391">
        <f t="shared" si="9"/>
        <v>520</v>
      </c>
      <c r="V41" s="390">
        <f t="shared" si="10"/>
        <v>4.6853880359717621</v>
      </c>
      <c r="W41" s="390">
        <f t="shared" si="11"/>
        <v>0.125</v>
      </c>
      <c r="X41" s="390">
        <f t="shared" si="12"/>
        <v>5.0000000000000001E-4</v>
      </c>
      <c r="Y41" s="390">
        <f t="shared" si="2"/>
        <v>0.83333333333333337</v>
      </c>
      <c r="Z41" s="392">
        <f t="shared" si="13"/>
        <v>1200</v>
      </c>
      <c r="AA41" s="393">
        <f t="shared" si="27"/>
        <v>85.505086525138864</v>
      </c>
      <c r="AB41" s="10">
        <f t="shared" si="4"/>
        <v>85.505086525138864</v>
      </c>
      <c r="AC41" s="396">
        <v>41</v>
      </c>
      <c r="AD41" s="12">
        <f t="shared" si="5"/>
        <v>1200</v>
      </c>
      <c r="AE41" s="10">
        <f t="shared" si="18"/>
        <v>50.865086697946182</v>
      </c>
    </row>
    <row r="42" spans="1:31" s="3" customFormat="1" ht="21" customHeight="1" x14ac:dyDescent="0.15">
      <c r="A42" s="54"/>
      <c r="B42" s="54"/>
      <c r="C42" s="55"/>
      <c r="D42" s="187">
        <f t="shared" si="26"/>
        <v>780</v>
      </c>
      <c r="E42" s="256">
        <f t="shared" si="25"/>
        <v>0.54166666666666663</v>
      </c>
      <c r="F42" s="188">
        <f t="shared" si="15"/>
        <v>60.221395767582692</v>
      </c>
      <c r="G42" s="188">
        <f t="shared" si="16"/>
        <v>48.221395767582692</v>
      </c>
      <c r="H42" s="459"/>
      <c r="I42" s="459"/>
      <c r="J42" s="63">
        <f t="shared" si="17"/>
        <v>0.49121766999888905</v>
      </c>
      <c r="K42" s="9" t="s">
        <v>18</v>
      </c>
      <c r="U42" s="14">
        <f t="shared" si="9"/>
        <v>520</v>
      </c>
      <c r="V42" s="3">
        <f t="shared" si="10"/>
        <v>4.6853880359717621</v>
      </c>
      <c r="W42" s="3">
        <f t="shared" si="11"/>
        <v>0.125</v>
      </c>
      <c r="X42" s="3">
        <f t="shared" si="12"/>
        <v>5.0000000000000001E-4</v>
      </c>
      <c r="Y42" s="3">
        <f t="shared" si="2"/>
        <v>0.875</v>
      </c>
      <c r="Z42" s="12">
        <f t="shared" ref="Z42:Z79" si="28">D50</f>
        <v>1260</v>
      </c>
      <c r="AA42" s="263">
        <f t="shared" si="27"/>
        <v>85.804509064165444</v>
      </c>
      <c r="AB42" s="10">
        <f t="shared" si="4"/>
        <v>85.804509064165444</v>
      </c>
      <c r="AC42" s="395">
        <v>42</v>
      </c>
      <c r="AD42" s="12">
        <f t="shared" si="5"/>
        <v>1260</v>
      </c>
      <c r="AE42" s="10">
        <f t="shared" si="18"/>
        <v>51.164509236972762</v>
      </c>
    </row>
    <row r="43" spans="1:31" s="3" customFormat="1" ht="21" customHeight="1" x14ac:dyDescent="0.15">
      <c r="A43" s="54"/>
      <c r="B43" s="54"/>
      <c r="C43" s="55"/>
      <c r="D43" s="187">
        <f t="shared" si="26"/>
        <v>840</v>
      </c>
      <c r="E43" s="256">
        <f t="shared" ref="E43:E58" si="29">D43/1440</f>
        <v>0.58333333333333337</v>
      </c>
      <c r="F43" s="188">
        <f t="shared" si="15"/>
        <v>60.676192293934207</v>
      </c>
      <c r="G43" s="188">
        <f t="shared" si="16"/>
        <v>48.676192293934207</v>
      </c>
      <c r="H43" s="459"/>
      <c r="I43" s="459"/>
      <c r="J43" s="63">
        <f t="shared" si="17"/>
        <v>0.45479652635151524</v>
      </c>
      <c r="K43" s="9" t="s">
        <v>18</v>
      </c>
      <c r="U43" s="391">
        <f t="shared" si="9"/>
        <v>520</v>
      </c>
      <c r="V43" s="390">
        <f t="shared" si="10"/>
        <v>4.6853880359717621</v>
      </c>
      <c r="W43" s="390">
        <f t="shared" si="11"/>
        <v>0.125</v>
      </c>
      <c r="X43" s="390">
        <f t="shared" si="12"/>
        <v>5.0000000000000001E-4</v>
      </c>
      <c r="Y43" s="390">
        <f t="shared" si="2"/>
        <v>0.91666666666666663</v>
      </c>
      <c r="Z43" s="392">
        <f t="shared" si="28"/>
        <v>1320</v>
      </c>
      <c r="AA43" s="393">
        <f t="shared" si="27"/>
        <v>86.089999827192685</v>
      </c>
      <c r="AB43" s="10">
        <f t="shared" si="4"/>
        <v>86.089999827192685</v>
      </c>
      <c r="AC43" s="396">
        <v>43</v>
      </c>
      <c r="AD43" s="12">
        <f t="shared" si="5"/>
        <v>1320</v>
      </c>
      <c r="AE43" s="10">
        <f t="shared" si="18"/>
        <v>51.45</v>
      </c>
    </row>
    <row r="44" spans="1:31" s="3" customFormat="1" ht="21" customHeight="1" x14ac:dyDescent="0.15">
      <c r="A44" s="54"/>
      <c r="B44" s="54"/>
      <c r="C44" s="55"/>
      <c r="D44" s="187">
        <f t="shared" si="26"/>
        <v>900</v>
      </c>
      <c r="E44" s="256">
        <f t="shared" si="29"/>
        <v>0.625</v>
      </c>
      <c r="F44" s="188">
        <f t="shared" si="15"/>
        <v>61.099597730399211</v>
      </c>
      <c r="G44" s="188">
        <f t="shared" si="16"/>
        <v>49.099597730399211</v>
      </c>
      <c r="H44" s="459">
        <v>43837</v>
      </c>
      <c r="I44" s="459"/>
      <c r="J44" s="63">
        <f t="shared" si="17"/>
        <v>0.4234054364650035</v>
      </c>
      <c r="K44" s="9" t="s">
        <v>18</v>
      </c>
      <c r="U44" s="14">
        <f t="shared" si="9"/>
        <v>520</v>
      </c>
      <c r="V44" s="3">
        <f t="shared" si="10"/>
        <v>4.6853880359717621</v>
      </c>
      <c r="W44" s="3">
        <f t="shared" si="11"/>
        <v>0.125</v>
      </c>
      <c r="X44" s="3">
        <f t="shared" si="12"/>
        <v>5.0000000000000001E-4</v>
      </c>
      <c r="Y44" s="3">
        <f t="shared" si="2"/>
        <v>0.95833333333333337</v>
      </c>
      <c r="Z44" s="12">
        <f t="shared" si="28"/>
        <v>1380</v>
      </c>
      <c r="AA44" s="263">
        <f t="shared" si="27"/>
        <v>86.089999827192685</v>
      </c>
      <c r="AB44" s="394">
        <f t="shared" ref="AB44" si="30">AB43</f>
        <v>86.089999827192685</v>
      </c>
      <c r="AC44" s="395">
        <v>44</v>
      </c>
      <c r="AD44" s="12">
        <f t="shared" si="5"/>
        <v>1380</v>
      </c>
      <c r="AE44" s="10">
        <f t="shared" si="18"/>
        <v>51.45</v>
      </c>
    </row>
    <row r="45" spans="1:31" s="3" customFormat="1" ht="21" customHeight="1" x14ac:dyDescent="0.15">
      <c r="A45" s="54" t="s">
        <v>0</v>
      </c>
      <c r="B45" s="54" t="s">
        <v>0</v>
      </c>
      <c r="C45" s="55">
        <f>$C$10+D45/1440</f>
        <v>43837.041666666664</v>
      </c>
      <c r="D45" s="187">
        <f t="shared" si="26"/>
        <v>960</v>
      </c>
      <c r="E45" s="256">
        <f t="shared" si="29"/>
        <v>0.66666666666666663</v>
      </c>
      <c r="F45" s="188">
        <f t="shared" si="15"/>
        <v>61.495667065130789</v>
      </c>
      <c r="G45" s="188">
        <f t="shared" si="16"/>
        <v>49.495667065130789</v>
      </c>
      <c r="H45" s="459"/>
      <c r="I45" s="459"/>
      <c r="J45" s="63">
        <f t="shared" si="17"/>
        <v>0.39606933473157824</v>
      </c>
      <c r="K45" s="9" t="s">
        <v>18</v>
      </c>
      <c r="U45" s="391">
        <f t="shared" si="9"/>
        <v>520</v>
      </c>
      <c r="V45" s="390">
        <f t="shared" si="10"/>
        <v>4.6853880359717621</v>
      </c>
      <c r="W45" s="390">
        <f t="shared" si="11"/>
        <v>0.125</v>
      </c>
      <c r="X45" s="390">
        <f t="shared" si="12"/>
        <v>5.0000000000000001E-4</v>
      </c>
      <c r="Y45" s="390">
        <f t="shared" si="2"/>
        <v>1</v>
      </c>
      <c r="Z45" s="392">
        <f t="shared" si="28"/>
        <v>1440</v>
      </c>
      <c r="AA45" s="393">
        <f t="shared" si="27"/>
        <v>86.089999827192685</v>
      </c>
      <c r="AB45" s="394">
        <f t="shared" ref="AB45:AB47" si="31">AB44</f>
        <v>86.089999827192685</v>
      </c>
      <c r="AC45" s="396">
        <v>45</v>
      </c>
      <c r="AD45" s="12">
        <f t="shared" si="5"/>
        <v>1440</v>
      </c>
      <c r="AE45" s="10">
        <f t="shared" si="18"/>
        <v>51.45</v>
      </c>
    </row>
    <row r="46" spans="1:31" s="3" customFormat="1" ht="21" customHeight="1" x14ac:dyDescent="0.15">
      <c r="A46" s="54"/>
      <c r="B46" s="54"/>
      <c r="C46" s="54"/>
      <c r="D46" s="286">
        <f t="shared" si="26"/>
        <v>1020</v>
      </c>
      <c r="E46" s="256">
        <f t="shared" si="29"/>
        <v>0.70833333333333337</v>
      </c>
      <c r="F46" s="188">
        <f t="shared" si="15"/>
        <v>61.867717016198085</v>
      </c>
      <c r="G46" s="188">
        <f t="shared" si="16"/>
        <v>49.867717016198085</v>
      </c>
      <c r="H46" s="459"/>
      <c r="I46" s="459"/>
      <c r="J46" s="63">
        <f t="shared" si="17"/>
        <v>0.37204995106729655</v>
      </c>
      <c r="K46" s="9" t="s">
        <v>18</v>
      </c>
      <c r="U46" s="14">
        <f t="shared" si="9"/>
        <v>520</v>
      </c>
      <c r="V46" s="3">
        <f t="shared" si="10"/>
        <v>4.6853880359717621</v>
      </c>
      <c r="W46" s="3">
        <f t="shared" si="11"/>
        <v>0.125</v>
      </c>
      <c r="X46" s="3">
        <f t="shared" si="12"/>
        <v>5.0000000000000001E-4</v>
      </c>
      <c r="Y46" s="3">
        <f t="shared" si="2"/>
        <v>1.0416666666666667</v>
      </c>
      <c r="Z46" s="344">
        <f t="shared" si="28"/>
        <v>1500</v>
      </c>
      <c r="AA46" s="345">
        <f t="shared" si="27"/>
        <v>86.089999827192685</v>
      </c>
      <c r="AB46" s="10">
        <f t="shared" si="31"/>
        <v>86.089999827192685</v>
      </c>
      <c r="AC46" s="395">
        <v>46</v>
      </c>
      <c r="AD46" s="344">
        <f t="shared" si="5"/>
        <v>1500</v>
      </c>
      <c r="AE46" s="346">
        <f t="shared" si="18"/>
        <v>51.45</v>
      </c>
    </row>
    <row r="47" spans="1:31" s="3" customFormat="1" ht="21" customHeight="1" x14ac:dyDescent="0.15">
      <c r="A47" s="54"/>
      <c r="B47" s="54"/>
      <c r="C47" s="55"/>
      <c r="D47" s="187">
        <f t="shared" ref="D47:D62" si="32">D46+60</f>
        <v>1080</v>
      </c>
      <c r="E47" s="256">
        <f t="shared" si="29"/>
        <v>0.75</v>
      </c>
      <c r="F47" s="188">
        <f t="shared" si="15"/>
        <v>62.218495040622358</v>
      </c>
      <c r="G47" s="188">
        <f t="shared" si="16"/>
        <v>50.218495040622358</v>
      </c>
      <c r="H47" s="459"/>
      <c r="I47" s="459"/>
      <c r="J47" s="63">
        <f t="shared" si="17"/>
        <v>0.35077802442427242</v>
      </c>
      <c r="K47" s="9" t="s">
        <v>18</v>
      </c>
      <c r="U47" s="14">
        <f t="shared" si="9"/>
        <v>520</v>
      </c>
      <c r="V47" s="3">
        <f t="shared" si="10"/>
        <v>4.6853880359717621</v>
      </c>
      <c r="W47" s="3">
        <f t="shared" si="11"/>
        <v>0.125</v>
      </c>
      <c r="X47" s="3">
        <f t="shared" si="12"/>
        <v>5.0000000000000001E-4</v>
      </c>
      <c r="Y47" s="3">
        <f t="shared" si="2"/>
        <v>1.0833333333333333</v>
      </c>
      <c r="Z47" s="12">
        <f t="shared" si="28"/>
        <v>1560</v>
      </c>
      <c r="AA47" s="263">
        <f t="shared" si="27"/>
        <v>86.089999827192685</v>
      </c>
      <c r="AB47" s="10">
        <f t="shared" si="31"/>
        <v>86.089999827192685</v>
      </c>
      <c r="AD47" s="12">
        <f t="shared" si="5"/>
        <v>1560</v>
      </c>
      <c r="AE47" s="10">
        <f t="shared" si="18"/>
        <v>51.45</v>
      </c>
    </row>
    <row r="48" spans="1:31" s="3" customFormat="1" ht="21" customHeight="1" x14ac:dyDescent="0.15">
      <c r="A48" s="54"/>
      <c r="B48" s="54"/>
      <c r="C48" s="55"/>
      <c r="D48" s="187">
        <f t="shared" si="32"/>
        <v>1140</v>
      </c>
      <c r="E48" s="256">
        <f t="shared" si="29"/>
        <v>0.79166666666666663</v>
      </c>
      <c r="F48" s="188">
        <f t="shared" si="15"/>
        <v>62.550302587213878</v>
      </c>
      <c r="G48" s="188">
        <f t="shared" si="16"/>
        <v>50.550302587213878</v>
      </c>
      <c r="H48" s="459"/>
      <c r="I48" s="459"/>
      <c r="J48" s="3" t="s">
        <v>18</v>
      </c>
      <c r="K48" s="9" t="s">
        <v>18</v>
      </c>
      <c r="U48" s="14">
        <f t="shared" si="9"/>
        <v>520</v>
      </c>
      <c r="V48" s="3">
        <f t="shared" si="10"/>
        <v>4.6853880359717621</v>
      </c>
      <c r="W48" s="3">
        <f t="shared" si="11"/>
        <v>0.125</v>
      </c>
      <c r="X48" s="3">
        <f t="shared" si="12"/>
        <v>5.0000000000000001E-4</v>
      </c>
      <c r="Y48" s="3">
        <f t="shared" si="2"/>
        <v>1.125</v>
      </c>
      <c r="Z48" s="12">
        <f t="shared" si="28"/>
        <v>1620</v>
      </c>
      <c r="AA48" s="263">
        <f t="shared" si="27"/>
        <v>86.089999827192685</v>
      </c>
      <c r="AB48" s="10">
        <f t="shared" ref="AB48:AB52" si="33">AB47</f>
        <v>86.089999827192685</v>
      </c>
      <c r="AD48" s="12">
        <f t="shared" si="5"/>
        <v>1620</v>
      </c>
      <c r="AE48" s="10">
        <f t="shared" si="18"/>
        <v>51.45</v>
      </c>
    </row>
    <row r="49" spans="1:31" s="3" customFormat="1" ht="21" customHeight="1" x14ac:dyDescent="0.15">
      <c r="A49" s="54"/>
      <c r="B49" s="54"/>
      <c r="C49" s="55"/>
      <c r="D49" s="187">
        <f t="shared" si="32"/>
        <v>1200</v>
      </c>
      <c r="E49" s="256">
        <f t="shared" si="29"/>
        <v>0.83333333333333337</v>
      </c>
      <c r="F49" s="188">
        <f t="shared" si="15"/>
        <v>62.865086697946182</v>
      </c>
      <c r="G49" s="188">
        <f t="shared" si="16"/>
        <v>50.865086697946182</v>
      </c>
      <c r="H49" s="459"/>
      <c r="I49" s="459"/>
      <c r="J49" s="3" t="s">
        <v>18</v>
      </c>
      <c r="K49" s="9" t="s">
        <v>18</v>
      </c>
      <c r="U49" s="14">
        <f t="shared" si="9"/>
        <v>520</v>
      </c>
      <c r="V49" s="3">
        <f t="shared" si="10"/>
        <v>4.6853880359717621</v>
      </c>
      <c r="W49" s="3">
        <f t="shared" si="11"/>
        <v>0.125</v>
      </c>
      <c r="X49" s="3">
        <f t="shared" si="12"/>
        <v>5.0000000000000001E-4</v>
      </c>
      <c r="Y49" s="3">
        <f t="shared" si="2"/>
        <v>1.1666666666666667</v>
      </c>
      <c r="Z49" s="12">
        <f t="shared" si="28"/>
        <v>1680</v>
      </c>
      <c r="AA49" s="263">
        <f t="shared" si="27"/>
        <v>86.089999827192685</v>
      </c>
      <c r="AB49" s="10">
        <f t="shared" si="33"/>
        <v>86.089999827192685</v>
      </c>
      <c r="AD49" s="12">
        <f t="shared" si="5"/>
        <v>1680</v>
      </c>
      <c r="AE49" s="10">
        <f t="shared" ref="AE49:AE69" si="34">AB49-$O$3</f>
        <v>51.45</v>
      </c>
    </row>
    <row r="50" spans="1:31" s="3" customFormat="1" ht="21" customHeight="1" x14ac:dyDescent="0.15">
      <c r="A50" s="54"/>
      <c r="B50" s="54"/>
      <c r="C50" s="55"/>
      <c r="D50" s="187">
        <f t="shared" si="32"/>
        <v>1260</v>
      </c>
      <c r="E50" s="256">
        <f t="shared" si="29"/>
        <v>0.875</v>
      </c>
      <c r="F50" s="188">
        <f t="shared" si="15"/>
        <v>63.164509236972762</v>
      </c>
      <c r="G50" s="188">
        <f t="shared" si="16"/>
        <v>51.164509236972762</v>
      </c>
      <c r="H50" s="459"/>
      <c r="I50" s="459"/>
      <c r="J50" s="3" t="s">
        <v>18</v>
      </c>
      <c r="K50" s="9" t="s">
        <v>18</v>
      </c>
      <c r="U50" s="14">
        <f t="shared" si="9"/>
        <v>520</v>
      </c>
      <c r="V50" s="3">
        <f t="shared" si="10"/>
        <v>4.6853880359717621</v>
      </c>
      <c r="W50" s="3">
        <f t="shared" si="11"/>
        <v>0.125</v>
      </c>
      <c r="X50" s="3">
        <f t="shared" si="12"/>
        <v>5.0000000000000001E-4</v>
      </c>
      <c r="Y50" s="3">
        <f t="shared" si="2"/>
        <v>1.2083333333333333</v>
      </c>
      <c r="Z50" s="12">
        <f t="shared" si="28"/>
        <v>1740</v>
      </c>
      <c r="AA50" s="263">
        <f t="shared" si="27"/>
        <v>86.089999827192685</v>
      </c>
      <c r="AB50" s="10">
        <f t="shared" si="33"/>
        <v>86.089999827192685</v>
      </c>
      <c r="AD50" s="12">
        <f t="shared" si="5"/>
        <v>1740</v>
      </c>
      <c r="AE50" s="10">
        <f t="shared" si="34"/>
        <v>51.45</v>
      </c>
    </row>
    <row r="51" spans="1:31" s="3" customFormat="1" ht="21" customHeight="1" x14ac:dyDescent="0.15">
      <c r="A51" s="54"/>
      <c r="B51" s="54"/>
      <c r="C51" s="55">
        <f>$C$10+D51/1440</f>
        <v>43837.291666666664</v>
      </c>
      <c r="D51" s="187">
        <f t="shared" si="32"/>
        <v>1320</v>
      </c>
      <c r="E51" s="256">
        <f t="shared" si="29"/>
        <v>0.91666666666666663</v>
      </c>
      <c r="F51" s="188">
        <f t="shared" si="15"/>
        <v>63.45</v>
      </c>
      <c r="G51" s="188">
        <f t="shared" si="16"/>
        <v>51.45</v>
      </c>
      <c r="H51" s="459"/>
      <c r="I51" s="459"/>
      <c r="J51" s="3" t="s">
        <v>18</v>
      </c>
      <c r="K51" s="9" t="s">
        <v>18</v>
      </c>
      <c r="U51" s="14">
        <f t="shared" si="9"/>
        <v>520</v>
      </c>
      <c r="V51" s="3">
        <f t="shared" si="10"/>
        <v>4.6853880359717621</v>
      </c>
      <c r="W51" s="3">
        <f t="shared" si="11"/>
        <v>0.125</v>
      </c>
      <c r="X51" s="3">
        <f t="shared" si="12"/>
        <v>5.0000000000000001E-4</v>
      </c>
      <c r="Y51" s="3">
        <f t="shared" si="2"/>
        <v>1.25</v>
      </c>
      <c r="Z51" s="12">
        <f t="shared" si="28"/>
        <v>1800</v>
      </c>
      <c r="AA51" s="263">
        <f t="shared" si="27"/>
        <v>86.089999827192685</v>
      </c>
      <c r="AB51" s="10">
        <f t="shared" si="33"/>
        <v>86.089999827192685</v>
      </c>
      <c r="AD51" s="12">
        <f t="shared" si="5"/>
        <v>1800</v>
      </c>
      <c r="AE51" s="10">
        <f t="shared" si="34"/>
        <v>51.45</v>
      </c>
    </row>
    <row r="52" spans="1:31" s="3" customFormat="1" ht="21" customHeight="1" x14ac:dyDescent="0.15">
      <c r="A52" s="54"/>
      <c r="B52" s="54"/>
      <c r="C52" s="55"/>
      <c r="D52" s="187">
        <f t="shared" si="32"/>
        <v>1380</v>
      </c>
      <c r="E52" s="256">
        <f t="shared" si="29"/>
        <v>0.95833333333333337</v>
      </c>
      <c r="F52" s="188">
        <f t="shared" si="15"/>
        <v>63.45</v>
      </c>
      <c r="G52" s="188">
        <f t="shared" si="16"/>
        <v>51.45</v>
      </c>
      <c r="H52" s="459"/>
      <c r="I52" s="459"/>
      <c r="J52" s="3" t="s">
        <v>18</v>
      </c>
      <c r="K52" s="9" t="s">
        <v>18</v>
      </c>
      <c r="U52" s="14">
        <f t="shared" si="9"/>
        <v>520</v>
      </c>
      <c r="V52" s="3">
        <f t="shared" si="10"/>
        <v>4.6853880359717621</v>
      </c>
      <c r="W52" s="3">
        <f t="shared" si="11"/>
        <v>0.125</v>
      </c>
      <c r="X52" s="3">
        <f t="shared" si="12"/>
        <v>5.0000000000000001E-4</v>
      </c>
      <c r="Y52" s="3">
        <f t="shared" si="2"/>
        <v>1.2916666666666667</v>
      </c>
      <c r="Z52" s="12">
        <f t="shared" si="28"/>
        <v>1860</v>
      </c>
      <c r="AA52" s="263">
        <f t="shared" si="27"/>
        <v>86.089999827192685</v>
      </c>
      <c r="AB52" s="10">
        <f t="shared" si="33"/>
        <v>86.089999827192685</v>
      </c>
      <c r="AD52" s="12">
        <f t="shared" si="5"/>
        <v>1860</v>
      </c>
      <c r="AE52" s="10">
        <f t="shared" si="34"/>
        <v>51.45</v>
      </c>
    </row>
    <row r="53" spans="1:31" s="3" customFormat="1" ht="21" customHeight="1" x14ac:dyDescent="0.15">
      <c r="A53" s="54"/>
      <c r="B53" s="54"/>
      <c r="C53" s="55"/>
      <c r="D53" s="187">
        <f t="shared" si="32"/>
        <v>1440</v>
      </c>
      <c r="E53" s="256">
        <f t="shared" si="29"/>
        <v>1</v>
      </c>
      <c r="F53" s="188">
        <f t="shared" si="15"/>
        <v>63.45</v>
      </c>
      <c r="G53" s="188">
        <f t="shared" si="16"/>
        <v>51.45</v>
      </c>
      <c r="H53" s="459"/>
      <c r="I53" s="459"/>
      <c r="J53" s="3" t="s">
        <v>18</v>
      </c>
      <c r="K53" s="9" t="s">
        <v>18</v>
      </c>
      <c r="U53" s="14">
        <f t="shared" si="9"/>
        <v>520</v>
      </c>
      <c r="V53" s="3">
        <f t="shared" si="10"/>
        <v>4.6853880359717621</v>
      </c>
      <c r="W53" s="3">
        <f t="shared" si="11"/>
        <v>0.125</v>
      </c>
      <c r="X53" s="3">
        <f t="shared" si="12"/>
        <v>5.0000000000000001E-4</v>
      </c>
      <c r="Y53" s="3">
        <f t="shared" si="2"/>
        <v>1.3333333333333333</v>
      </c>
      <c r="Z53" s="12">
        <f t="shared" si="28"/>
        <v>1920</v>
      </c>
      <c r="AA53" s="263">
        <f t="shared" si="27"/>
        <v>86.089999827192685</v>
      </c>
      <c r="AB53" s="10">
        <f t="shared" ref="AB53:AB69" si="35">AB52</f>
        <v>86.089999827192685</v>
      </c>
      <c r="AD53" s="12">
        <f t="shared" si="5"/>
        <v>1920</v>
      </c>
      <c r="AE53" s="10">
        <f t="shared" si="34"/>
        <v>51.45</v>
      </c>
    </row>
    <row r="54" spans="1:31" s="3" customFormat="1" ht="21" customHeight="1" x14ac:dyDescent="0.15">
      <c r="A54" s="54"/>
      <c r="B54" s="54"/>
      <c r="C54" s="55"/>
      <c r="D54" s="187">
        <f t="shared" si="32"/>
        <v>1500</v>
      </c>
      <c r="E54" s="256">
        <f t="shared" si="29"/>
        <v>1.0416666666666667</v>
      </c>
      <c r="F54" s="188">
        <f t="shared" si="15"/>
        <v>63.45</v>
      </c>
      <c r="G54" s="188">
        <f t="shared" si="16"/>
        <v>51.45</v>
      </c>
      <c r="H54" s="459"/>
      <c r="I54" s="459"/>
      <c r="J54" s="3" t="s">
        <v>18</v>
      </c>
      <c r="K54" s="9" t="s">
        <v>18</v>
      </c>
      <c r="U54" s="14">
        <f t="shared" si="9"/>
        <v>520</v>
      </c>
      <c r="V54" s="3">
        <f t="shared" si="10"/>
        <v>4.6853880359717621</v>
      </c>
      <c r="W54" s="3">
        <f t="shared" si="11"/>
        <v>0.125</v>
      </c>
      <c r="X54" s="3">
        <f t="shared" si="12"/>
        <v>5.0000000000000001E-4</v>
      </c>
      <c r="Y54" s="3">
        <f t="shared" si="2"/>
        <v>1.375</v>
      </c>
      <c r="Z54" s="12">
        <f t="shared" si="28"/>
        <v>1980</v>
      </c>
      <c r="AA54" s="263">
        <f t="shared" si="27"/>
        <v>86.089999827192685</v>
      </c>
      <c r="AB54" s="10">
        <f t="shared" si="35"/>
        <v>86.089999827192685</v>
      </c>
      <c r="AD54" s="12">
        <f t="shared" si="5"/>
        <v>1980</v>
      </c>
      <c r="AE54" s="10">
        <f t="shared" si="34"/>
        <v>51.45</v>
      </c>
    </row>
    <row r="55" spans="1:31" s="3" customFormat="1" ht="21" customHeight="1" x14ac:dyDescent="0.15">
      <c r="A55" s="54"/>
      <c r="B55" s="54"/>
      <c r="C55" s="55" t="s">
        <v>0</v>
      </c>
      <c r="D55" s="187">
        <f t="shared" si="32"/>
        <v>1560</v>
      </c>
      <c r="E55" s="256">
        <f t="shared" si="29"/>
        <v>1.0833333333333333</v>
      </c>
      <c r="F55" s="188">
        <f t="shared" si="15"/>
        <v>63.45</v>
      </c>
      <c r="G55" s="188">
        <f t="shared" si="16"/>
        <v>51.45</v>
      </c>
      <c r="H55" s="459"/>
      <c r="I55" s="459"/>
      <c r="J55" s="3" t="s">
        <v>18</v>
      </c>
      <c r="K55" s="9" t="s">
        <v>18</v>
      </c>
      <c r="U55" s="14">
        <f t="shared" si="9"/>
        <v>520</v>
      </c>
      <c r="V55" s="3">
        <f t="shared" si="10"/>
        <v>4.6853880359717621</v>
      </c>
      <c r="W55" s="3">
        <f t="shared" si="11"/>
        <v>0.125</v>
      </c>
      <c r="X55" s="3">
        <f t="shared" si="12"/>
        <v>5.0000000000000001E-4</v>
      </c>
      <c r="Y55" s="3">
        <f t="shared" si="2"/>
        <v>1.4166666666666667</v>
      </c>
      <c r="Z55" s="12">
        <f t="shared" si="28"/>
        <v>2040</v>
      </c>
      <c r="AA55" s="263">
        <f t="shared" si="27"/>
        <v>86.089999827192685</v>
      </c>
      <c r="AB55" s="10">
        <f t="shared" si="35"/>
        <v>86.089999827192685</v>
      </c>
      <c r="AD55" s="12">
        <f t="shared" si="5"/>
        <v>2040</v>
      </c>
      <c r="AE55" s="10">
        <f t="shared" si="34"/>
        <v>51.45</v>
      </c>
    </row>
    <row r="56" spans="1:31" s="3" customFormat="1" ht="21.6" customHeight="1" x14ac:dyDescent="0.15">
      <c r="A56" s="54"/>
      <c r="B56" s="54"/>
      <c r="C56" s="55">
        <f>$C$10+D56/1440</f>
        <v>43837.5</v>
      </c>
      <c r="D56" s="187">
        <f t="shared" si="32"/>
        <v>1620</v>
      </c>
      <c r="E56" s="256">
        <f t="shared" si="29"/>
        <v>1.125</v>
      </c>
      <c r="F56" s="188">
        <f t="shared" si="15"/>
        <v>63.45</v>
      </c>
      <c r="G56" s="188">
        <f t="shared" si="16"/>
        <v>51.45</v>
      </c>
      <c r="H56" s="459"/>
      <c r="I56" s="459"/>
      <c r="J56" s="3" t="s">
        <v>18</v>
      </c>
      <c r="K56" s="9" t="s">
        <v>18</v>
      </c>
      <c r="U56" s="14">
        <f t="shared" si="9"/>
        <v>520</v>
      </c>
      <c r="V56" s="3">
        <f t="shared" si="10"/>
        <v>4.6853880359717621</v>
      </c>
      <c r="W56" s="3">
        <f t="shared" si="11"/>
        <v>0.125</v>
      </c>
      <c r="X56" s="3">
        <f t="shared" si="12"/>
        <v>5.0000000000000001E-4</v>
      </c>
      <c r="Y56" s="3">
        <f t="shared" si="2"/>
        <v>1.4583333333333333</v>
      </c>
      <c r="Z56" s="12">
        <f t="shared" si="28"/>
        <v>2100</v>
      </c>
      <c r="AA56" s="263">
        <f t="shared" si="27"/>
        <v>86.089999827192685</v>
      </c>
      <c r="AB56" s="10">
        <f t="shared" si="35"/>
        <v>86.089999827192685</v>
      </c>
      <c r="AD56" s="12">
        <f t="shared" si="5"/>
        <v>2100</v>
      </c>
      <c r="AE56" s="10">
        <f t="shared" si="34"/>
        <v>51.45</v>
      </c>
    </row>
    <row r="57" spans="1:31" s="3" customFormat="1" ht="21.6" customHeight="1" x14ac:dyDescent="0.15">
      <c r="A57" s="54"/>
      <c r="B57" s="54"/>
      <c r="C57" s="55"/>
      <c r="D57" s="187">
        <f t="shared" si="32"/>
        <v>1680</v>
      </c>
      <c r="E57" s="256">
        <f t="shared" si="29"/>
        <v>1.1666666666666667</v>
      </c>
      <c r="F57" s="188">
        <f t="shared" si="15"/>
        <v>63.45</v>
      </c>
      <c r="G57" s="188">
        <f t="shared" si="16"/>
        <v>51.45</v>
      </c>
      <c r="H57" s="459"/>
      <c r="I57" s="459"/>
      <c r="J57" s="3" t="s">
        <v>18</v>
      </c>
      <c r="K57" s="9" t="s">
        <v>18</v>
      </c>
      <c r="U57" s="14">
        <f t="shared" si="9"/>
        <v>520</v>
      </c>
      <c r="V57" s="3">
        <f t="shared" si="10"/>
        <v>4.6853880359717621</v>
      </c>
      <c r="W57" s="3">
        <f t="shared" si="11"/>
        <v>0.125</v>
      </c>
      <c r="X57" s="3">
        <f t="shared" si="12"/>
        <v>5.0000000000000001E-4</v>
      </c>
      <c r="Y57" s="3">
        <f t="shared" si="2"/>
        <v>1.5</v>
      </c>
      <c r="Z57" s="12">
        <f t="shared" si="28"/>
        <v>2160</v>
      </c>
      <c r="AA57" s="263">
        <f t="shared" si="27"/>
        <v>86.089999827192685</v>
      </c>
      <c r="AB57" s="10">
        <f t="shared" si="35"/>
        <v>86.089999827192685</v>
      </c>
      <c r="AD57" s="12">
        <f t="shared" si="5"/>
        <v>2160</v>
      </c>
      <c r="AE57" s="10">
        <f t="shared" si="34"/>
        <v>51.45</v>
      </c>
    </row>
    <row r="58" spans="1:31" s="3" customFormat="1" ht="21.6" customHeight="1" x14ac:dyDescent="0.15">
      <c r="A58" s="54"/>
      <c r="B58" s="54"/>
      <c r="C58" s="55"/>
      <c r="D58" s="187">
        <f t="shared" si="32"/>
        <v>1740</v>
      </c>
      <c r="E58" s="256">
        <f t="shared" si="29"/>
        <v>1.2083333333333333</v>
      </c>
      <c r="F58" s="188">
        <f t="shared" si="15"/>
        <v>63.45</v>
      </c>
      <c r="G58" s="188">
        <f t="shared" si="16"/>
        <v>51.45</v>
      </c>
      <c r="H58" s="459"/>
      <c r="I58" s="459"/>
      <c r="J58" s="3" t="s">
        <v>18</v>
      </c>
      <c r="K58" s="9" t="s">
        <v>18</v>
      </c>
      <c r="U58" s="14">
        <f t="shared" si="9"/>
        <v>520</v>
      </c>
      <c r="V58" s="3">
        <f t="shared" si="10"/>
        <v>4.6853880359717621</v>
      </c>
      <c r="W58" s="3">
        <f t="shared" si="11"/>
        <v>0.125</v>
      </c>
      <c r="X58" s="3">
        <f t="shared" si="12"/>
        <v>5.0000000000000001E-4</v>
      </c>
      <c r="Y58" s="3">
        <f t="shared" si="2"/>
        <v>1.5416666666666667</v>
      </c>
      <c r="Z58" s="12">
        <f t="shared" si="28"/>
        <v>2220</v>
      </c>
      <c r="AA58" s="263">
        <f t="shared" si="27"/>
        <v>86.089999827192685</v>
      </c>
      <c r="AB58" s="10">
        <f t="shared" si="35"/>
        <v>86.089999827192685</v>
      </c>
      <c r="AD58" s="12">
        <f t="shared" si="5"/>
        <v>2220</v>
      </c>
      <c r="AE58" s="10">
        <f t="shared" si="34"/>
        <v>51.45</v>
      </c>
    </row>
    <row r="59" spans="1:31" s="3" customFormat="1" ht="21.6" customHeight="1" x14ac:dyDescent="0.15">
      <c r="A59" s="54"/>
      <c r="B59" s="54"/>
      <c r="C59" s="55"/>
      <c r="D59" s="187">
        <f t="shared" si="32"/>
        <v>1800</v>
      </c>
      <c r="E59" s="256">
        <f t="shared" ref="E59:E74" si="36">D59/1440</f>
        <v>1.25</v>
      </c>
      <c r="F59" s="188">
        <f t="shared" si="15"/>
        <v>63.45</v>
      </c>
      <c r="G59" s="188">
        <f t="shared" si="16"/>
        <v>51.45</v>
      </c>
      <c r="H59" s="459"/>
      <c r="I59" s="459"/>
      <c r="J59" s="3" t="s">
        <v>18</v>
      </c>
      <c r="K59" s="9" t="s">
        <v>18</v>
      </c>
      <c r="U59" s="14">
        <f t="shared" si="9"/>
        <v>520</v>
      </c>
      <c r="V59" s="3">
        <f t="shared" si="10"/>
        <v>4.6853880359717621</v>
      </c>
      <c r="W59" s="3">
        <f t="shared" si="11"/>
        <v>0.125</v>
      </c>
      <c r="X59" s="3">
        <f t="shared" si="12"/>
        <v>5.0000000000000001E-4</v>
      </c>
      <c r="Y59" s="3">
        <f t="shared" si="2"/>
        <v>1.5833333333333333</v>
      </c>
      <c r="Z59" s="12">
        <f t="shared" si="28"/>
        <v>2280</v>
      </c>
      <c r="AA59" s="263">
        <f t="shared" si="27"/>
        <v>86.089999827192685</v>
      </c>
      <c r="AB59" s="10">
        <f t="shared" si="35"/>
        <v>86.089999827192685</v>
      </c>
      <c r="AD59" s="12">
        <f t="shared" si="5"/>
        <v>2280</v>
      </c>
      <c r="AE59" s="10">
        <f t="shared" si="34"/>
        <v>51.45</v>
      </c>
    </row>
    <row r="60" spans="1:31" s="3" customFormat="1" ht="21.6" customHeight="1" x14ac:dyDescent="0.15">
      <c r="A60" s="54"/>
      <c r="B60" s="54"/>
      <c r="C60" s="55"/>
      <c r="D60" s="187">
        <f t="shared" si="32"/>
        <v>1860</v>
      </c>
      <c r="E60" s="256">
        <f t="shared" si="36"/>
        <v>1.2916666666666667</v>
      </c>
      <c r="F60" s="188">
        <f t="shared" si="15"/>
        <v>63.45</v>
      </c>
      <c r="G60" s="188">
        <f t="shared" si="16"/>
        <v>51.45</v>
      </c>
      <c r="H60" s="459"/>
      <c r="I60" s="459"/>
      <c r="J60" s="3" t="s">
        <v>18</v>
      </c>
      <c r="K60" s="9" t="s">
        <v>18</v>
      </c>
      <c r="U60" s="14">
        <f t="shared" si="9"/>
        <v>520</v>
      </c>
      <c r="V60" s="3">
        <f t="shared" si="10"/>
        <v>4.6853880359717621</v>
      </c>
      <c r="W60" s="3">
        <f t="shared" si="11"/>
        <v>0.125</v>
      </c>
      <c r="X60" s="3">
        <f t="shared" si="12"/>
        <v>5.0000000000000001E-4</v>
      </c>
      <c r="Y60" s="3">
        <f t="shared" si="2"/>
        <v>1.625</v>
      </c>
      <c r="Z60" s="12">
        <f t="shared" si="28"/>
        <v>2340</v>
      </c>
      <c r="AA60" s="263">
        <f t="shared" si="27"/>
        <v>86.089999827192685</v>
      </c>
      <c r="AB60" s="10">
        <f t="shared" si="35"/>
        <v>86.089999827192685</v>
      </c>
      <c r="AD60" s="12">
        <f t="shared" si="5"/>
        <v>2340</v>
      </c>
      <c r="AE60" s="10">
        <f t="shared" si="34"/>
        <v>51.45</v>
      </c>
    </row>
    <row r="61" spans="1:31" s="3" customFormat="1" ht="21.6" customHeight="1" x14ac:dyDescent="0.15">
      <c r="A61" s="54"/>
      <c r="B61" s="54"/>
      <c r="C61" s="55">
        <f>$C$10+D61/1440</f>
        <v>43837.708333333336</v>
      </c>
      <c r="D61" s="187">
        <f t="shared" si="32"/>
        <v>1920</v>
      </c>
      <c r="E61" s="256">
        <f t="shared" si="36"/>
        <v>1.3333333333333333</v>
      </c>
      <c r="F61" s="188">
        <f t="shared" si="15"/>
        <v>63.45</v>
      </c>
      <c r="G61" s="188">
        <f t="shared" si="16"/>
        <v>51.45</v>
      </c>
      <c r="H61" s="459"/>
      <c r="I61" s="459"/>
      <c r="J61" s="3" t="s">
        <v>18</v>
      </c>
      <c r="K61" s="9" t="s">
        <v>18</v>
      </c>
      <c r="U61" s="14">
        <f t="shared" si="9"/>
        <v>520</v>
      </c>
      <c r="V61" s="3">
        <f t="shared" si="10"/>
        <v>4.6853880359717621</v>
      </c>
      <c r="W61" s="3">
        <f t="shared" si="11"/>
        <v>0.125</v>
      </c>
      <c r="X61" s="3">
        <f t="shared" si="12"/>
        <v>5.0000000000000001E-4</v>
      </c>
      <c r="Y61" s="3">
        <f t="shared" si="2"/>
        <v>1.6666666666666667</v>
      </c>
      <c r="Z61" s="12">
        <f t="shared" si="28"/>
        <v>2400</v>
      </c>
      <c r="AA61" s="263">
        <f t="shared" si="27"/>
        <v>86.089999827192685</v>
      </c>
      <c r="AB61" s="10">
        <f t="shared" si="35"/>
        <v>86.089999827192685</v>
      </c>
      <c r="AD61" s="12">
        <f t="shared" si="5"/>
        <v>2400</v>
      </c>
      <c r="AE61" s="10">
        <f t="shared" si="34"/>
        <v>51.45</v>
      </c>
    </row>
    <row r="62" spans="1:31" s="3" customFormat="1" ht="21.6" customHeight="1" x14ac:dyDescent="0.15">
      <c r="A62" s="54"/>
      <c r="B62" s="54"/>
      <c r="C62" s="55"/>
      <c r="D62" s="187">
        <f t="shared" si="32"/>
        <v>1980</v>
      </c>
      <c r="E62" s="256">
        <f t="shared" si="36"/>
        <v>1.375</v>
      </c>
      <c r="F62" s="188">
        <f t="shared" si="15"/>
        <v>63.45</v>
      </c>
      <c r="G62" s="188">
        <f t="shared" si="16"/>
        <v>51.45</v>
      </c>
      <c r="H62" s="459"/>
      <c r="I62" s="459"/>
      <c r="J62" s="3" t="s">
        <v>18</v>
      </c>
      <c r="K62" s="9" t="s">
        <v>18</v>
      </c>
      <c r="U62" s="14">
        <f t="shared" si="9"/>
        <v>520</v>
      </c>
      <c r="V62" s="3">
        <f t="shared" si="10"/>
        <v>4.6853880359717621</v>
      </c>
      <c r="W62" s="3">
        <f t="shared" si="11"/>
        <v>0.125</v>
      </c>
      <c r="X62" s="3">
        <f t="shared" si="12"/>
        <v>5.0000000000000001E-4</v>
      </c>
      <c r="Y62" s="3">
        <f t="shared" si="2"/>
        <v>1.7083333333333333</v>
      </c>
      <c r="Z62" s="12">
        <f t="shared" si="28"/>
        <v>2460</v>
      </c>
      <c r="AA62" s="263">
        <f t="shared" si="27"/>
        <v>86.089999827192685</v>
      </c>
      <c r="AB62" s="10">
        <f t="shared" si="35"/>
        <v>86.089999827192685</v>
      </c>
      <c r="AD62" s="12">
        <f t="shared" si="5"/>
        <v>2460</v>
      </c>
      <c r="AE62" s="10">
        <f t="shared" si="34"/>
        <v>51.45</v>
      </c>
    </row>
    <row r="63" spans="1:31" s="3" customFormat="1" ht="21.6" customHeight="1" x14ac:dyDescent="0.15">
      <c r="A63" s="54"/>
      <c r="B63" s="54"/>
      <c r="C63" s="55"/>
      <c r="D63" s="187">
        <f t="shared" ref="D63:D76" si="37">D62+60</f>
        <v>2040</v>
      </c>
      <c r="E63" s="256">
        <f t="shared" si="36"/>
        <v>1.4166666666666667</v>
      </c>
      <c r="F63" s="188">
        <f>F62</f>
        <v>63.45</v>
      </c>
      <c r="G63" s="188">
        <f t="shared" si="16"/>
        <v>51.45</v>
      </c>
      <c r="H63" s="459"/>
      <c r="I63" s="459"/>
      <c r="J63" s="3" t="s">
        <v>18</v>
      </c>
      <c r="K63" s="9" t="s">
        <v>18</v>
      </c>
      <c r="U63" s="14">
        <f t="shared" si="9"/>
        <v>520</v>
      </c>
      <c r="V63" s="3">
        <f t="shared" si="10"/>
        <v>4.6853880359717621</v>
      </c>
      <c r="W63" s="3">
        <f t="shared" si="11"/>
        <v>0.125</v>
      </c>
      <c r="X63" s="3">
        <f t="shared" si="12"/>
        <v>5.0000000000000001E-4</v>
      </c>
      <c r="Y63" s="3">
        <f t="shared" si="2"/>
        <v>1.75</v>
      </c>
      <c r="Z63" s="12">
        <f t="shared" si="28"/>
        <v>2520</v>
      </c>
      <c r="AA63" s="263">
        <f t="shared" si="27"/>
        <v>86.089999827192685</v>
      </c>
      <c r="AB63" s="10">
        <f t="shared" si="35"/>
        <v>86.089999827192685</v>
      </c>
      <c r="AD63" s="12">
        <f t="shared" si="5"/>
        <v>2520</v>
      </c>
      <c r="AE63" s="10">
        <f t="shared" si="34"/>
        <v>51.45</v>
      </c>
    </row>
    <row r="64" spans="1:31" s="3" customFormat="1" ht="21.6" customHeight="1" x14ac:dyDescent="0.15">
      <c r="A64" s="54"/>
      <c r="B64" s="54"/>
      <c r="C64" s="55"/>
      <c r="D64" s="187">
        <f t="shared" si="37"/>
        <v>2100</v>
      </c>
      <c r="E64" s="256">
        <f t="shared" si="36"/>
        <v>1.4583333333333333</v>
      </c>
      <c r="F64" s="188">
        <f t="shared" ref="F64:F77" si="38">F63</f>
        <v>63.45</v>
      </c>
      <c r="G64" s="188">
        <f t="shared" si="16"/>
        <v>51.45</v>
      </c>
      <c r="H64" s="459"/>
      <c r="I64" s="459"/>
      <c r="J64" s="3" t="s">
        <v>18</v>
      </c>
      <c r="K64" s="9" t="s">
        <v>18</v>
      </c>
      <c r="U64" s="14">
        <f t="shared" si="9"/>
        <v>520</v>
      </c>
      <c r="V64" s="3">
        <f t="shared" si="10"/>
        <v>4.6853880359717621</v>
      </c>
      <c r="W64" s="3">
        <f t="shared" si="11"/>
        <v>0.125</v>
      </c>
      <c r="X64" s="3">
        <f t="shared" si="12"/>
        <v>5.0000000000000001E-4</v>
      </c>
      <c r="Y64" s="3">
        <f t="shared" si="2"/>
        <v>1.7916666666666667</v>
      </c>
      <c r="Z64" s="12">
        <f t="shared" si="28"/>
        <v>2580</v>
      </c>
      <c r="AA64" s="263">
        <f t="shared" si="27"/>
        <v>86.089999827192685</v>
      </c>
      <c r="AB64" s="10">
        <f t="shared" si="35"/>
        <v>86.089999827192685</v>
      </c>
      <c r="AD64" s="12">
        <f t="shared" si="5"/>
        <v>2580</v>
      </c>
      <c r="AE64" s="10">
        <f t="shared" si="34"/>
        <v>51.45</v>
      </c>
    </row>
    <row r="65" spans="1:31" s="3" customFormat="1" ht="21.6" customHeight="1" x14ac:dyDescent="0.15">
      <c r="A65" s="54"/>
      <c r="B65" s="54"/>
      <c r="C65" s="55"/>
      <c r="D65" s="187">
        <f t="shared" si="37"/>
        <v>2160</v>
      </c>
      <c r="E65" s="256">
        <f t="shared" si="36"/>
        <v>1.5</v>
      </c>
      <c r="F65" s="188">
        <f t="shared" si="38"/>
        <v>63.45</v>
      </c>
      <c r="G65" s="188">
        <f t="shared" si="16"/>
        <v>51.45</v>
      </c>
      <c r="H65" s="459"/>
      <c r="I65" s="459"/>
      <c r="J65" s="3" t="s">
        <v>18</v>
      </c>
      <c r="K65" s="9" t="s">
        <v>18</v>
      </c>
      <c r="U65" s="14">
        <f t="shared" si="9"/>
        <v>520</v>
      </c>
      <c r="V65" s="3">
        <f t="shared" si="10"/>
        <v>4.6853880359717621</v>
      </c>
      <c r="W65" s="3">
        <f t="shared" si="11"/>
        <v>0.125</v>
      </c>
      <c r="X65" s="3">
        <f t="shared" si="12"/>
        <v>5.0000000000000001E-4</v>
      </c>
      <c r="Y65" s="3">
        <f t="shared" si="2"/>
        <v>1.8333333333333333</v>
      </c>
      <c r="Z65" s="12">
        <f t="shared" si="28"/>
        <v>2640</v>
      </c>
      <c r="AA65" s="263">
        <f t="shared" si="27"/>
        <v>86.089999827192685</v>
      </c>
      <c r="AB65" s="10">
        <f t="shared" si="35"/>
        <v>86.089999827192685</v>
      </c>
      <c r="AD65" s="12">
        <f t="shared" si="5"/>
        <v>2640</v>
      </c>
      <c r="AE65" s="10">
        <f t="shared" si="34"/>
        <v>51.45</v>
      </c>
    </row>
    <row r="66" spans="1:31" s="3" customFormat="1" ht="21.6" customHeight="1" x14ac:dyDescent="0.15">
      <c r="A66" s="54"/>
      <c r="B66" s="54"/>
      <c r="C66" s="55">
        <f>$C$10+D66/1440</f>
        <v>43837.916666666664</v>
      </c>
      <c r="D66" s="187">
        <f t="shared" si="37"/>
        <v>2220</v>
      </c>
      <c r="E66" s="256">
        <f t="shared" si="36"/>
        <v>1.5416666666666667</v>
      </c>
      <c r="F66" s="188">
        <f t="shared" si="38"/>
        <v>63.45</v>
      </c>
      <c r="G66" s="188">
        <f t="shared" si="16"/>
        <v>51.45</v>
      </c>
      <c r="H66" s="459"/>
      <c r="I66" s="459"/>
      <c r="J66" s="3" t="s">
        <v>18</v>
      </c>
      <c r="K66" s="9" t="s">
        <v>18</v>
      </c>
      <c r="U66" s="14">
        <f t="shared" si="9"/>
        <v>520</v>
      </c>
      <c r="V66" s="3">
        <f t="shared" si="10"/>
        <v>4.6853880359717621</v>
      </c>
      <c r="W66" s="3">
        <f t="shared" si="11"/>
        <v>0.125</v>
      </c>
      <c r="X66" s="3">
        <f t="shared" si="12"/>
        <v>5.0000000000000001E-4</v>
      </c>
      <c r="Y66" s="3">
        <f t="shared" si="2"/>
        <v>1.875</v>
      </c>
      <c r="Z66" s="12">
        <f t="shared" si="28"/>
        <v>2700</v>
      </c>
      <c r="AA66" s="263">
        <f>AB66+AC$2</f>
        <v>86.089999827192685</v>
      </c>
      <c r="AB66" s="10">
        <f t="shared" si="35"/>
        <v>86.089999827192685</v>
      </c>
      <c r="AD66" s="12">
        <f t="shared" si="5"/>
        <v>2700</v>
      </c>
      <c r="AE66" s="10">
        <f t="shared" si="34"/>
        <v>51.45</v>
      </c>
    </row>
    <row r="67" spans="1:31" s="3" customFormat="1" ht="21.6" customHeight="1" x14ac:dyDescent="0.15">
      <c r="A67" s="54"/>
      <c r="B67" s="54"/>
      <c r="C67" s="55"/>
      <c r="D67" s="187">
        <f t="shared" si="37"/>
        <v>2280</v>
      </c>
      <c r="E67" s="256">
        <f t="shared" si="36"/>
        <v>1.5833333333333333</v>
      </c>
      <c r="F67" s="188">
        <f t="shared" si="38"/>
        <v>63.45</v>
      </c>
      <c r="G67" s="188">
        <f t="shared" si="16"/>
        <v>51.45</v>
      </c>
      <c r="H67" s="459"/>
      <c r="I67" s="459"/>
      <c r="J67" s="3" t="s">
        <v>18</v>
      </c>
      <c r="K67" s="9" t="s">
        <v>18</v>
      </c>
      <c r="U67" s="14">
        <f t="shared" si="9"/>
        <v>520</v>
      </c>
      <c r="V67" s="3">
        <f t="shared" si="10"/>
        <v>4.6853880359717621</v>
      </c>
      <c r="W67" s="3">
        <f t="shared" si="11"/>
        <v>0.125</v>
      </c>
      <c r="X67" s="3">
        <f t="shared" si="12"/>
        <v>5.0000000000000001E-4</v>
      </c>
      <c r="Y67" s="3">
        <f t="shared" ref="Y67:Y79" si="39">E75</f>
        <v>1.9166666666666667</v>
      </c>
      <c r="Z67" s="12">
        <f t="shared" si="28"/>
        <v>2760</v>
      </c>
      <c r="AA67" s="263">
        <f>AB67+AC$2</f>
        <v>86.089999827192685</v>
      </c>
      <c r="AB67" s="10">
        <f t="shared" si="35"/>
        <v>86.089999827192685</v>
      </c>
      <c r="AD67" s="12">
        <f>Z67</f>
        <v>2760</v>
      </c>
      <c r="AE67" s="10">
        <f t="shared" si="34"/>
        <v>51.45</v>
      </c>
    </row>
    <row r="68" spans="1:31" s="3" customFormat="1" ht="21.6" customHeight="1" x14ac:dyDescent="0.15">
      <c r="A68" s="54"/>
      <c r="B68" s="54"/>
      <c r="C68" s="55" t="s">
        <v>0</v>
      </c>
      <c r="D68" s="187">
        <f t="shared" si="37"/>
        <v>2340</v>
      </c>
      <c r="E68" s="256">
        <f t="shared" si="36"/>
        <v>1.625</v>
      </c>
      <c r="F68" s="188">
        <f t="shared" si="38"/>
        <v>63.45</v>
      </c>
      <c r="G68" s="188">
        <f t="shared" si="16"/>
        <v>51.45</v>
      </c>
      <c r="H68" s="459">
        <v>43838</v>
      </c>
      <c r="I68" s="459"/>
      <c r="J68" s="3" t="s">
        <v>18</v>
      </c>
      <c r="K68" s="9" t="s">
        <v>18</v>
      </c>
      <c r="U68" s="14">
        <f>U67</f>
        <v>520</v>
      </c>
      <c r="V68" s="3">
        <f t="shared" ref="V68:V83" si="40">V$2</f>
        <v>4.6853880359717621</v>
      </c>
      <c r="W68" s="3">
        <f t="shared" ref="W68:W83" si="41">W67</f>
        <v>0.125</v>
      </c>
      <c r="X68" s="3">
        <f t="shared" ref="X68:X83" si="42">X$2</f>
        <v>5.0000000000000001E-4</v>
      </c>
      <c r="Y68" s="3">
        <f t="shared" si="39"/>
        <v>1.9583333333333333</v>
      </c>
      <c r="Z68" s="12">
        <f t="shared" si="28"/>
        <v>2820</v>
      </c>
      <c r="AA68" s="263">
        <f>AB68+AC$2</f>
        <v>86.089999827192685</v>
      </c>
      <c r="AB68" s="10">
        <f t="shared" si="35"/>
        <v>86.089999827192685</v>
      </c>
      <c r="AD68" s="12">
        <f>Z68</f>
        <v>2820</v>
      </c>
      <c r="AE68" s="10">
        <f t="shared" si="34"/>
        <v>51.45</v>
      </c>
    </row>
    <row r="69" spans="1:31" s="3" customFormat="1" ht="21.6" customHeight="1" x14ac:dyDescent="0.15">
      <c r="A69" s="54"/>
      <c r="B69" s="54"/>
      <c r="C69" s="55"/>
      <c r="D69" s="187">
        <f t="shared" si="37"/>
        <v>2400</v>
      </c>
      <c r="E69" s="256">
        <f t="shared" si="36"/>
        <v>1.6666666666666667</v>
      </c>
      <c r="F69" s="188">
        <f t="shared" si="38"/>
        <v>63.45</v>
      </c>
      <c r="G69" s="188">
        <f t="shared" si="16"/>
        <v>51.45</v>
      </c>
      <c r="H69" s="459"/>
      <c r="I69" s="459"/>
      <c r="J69" s="3" t="s">
        <v>18</v>
      </c>
      <c r="K69" s="9" t="s">
        <v>18</v>
      </c>
      <c r="U69" s="14">
        <f>U68</f>
        <v>520</v>
      </c>
      <c r="V69" s="3">
        <f t="shared" si="40"/>
        <v>4.6853880359717621</v>
      </c>
      <c r="W69" s="3">
        <f t="shared" si="41"/>
        <v>0.125</v>
      </c>
      <c r="X69" s="3">
        <f t="shared" si="42"/>
        <v>5.0000000000000001E-4</v>
      </c>
      <c r="Y69" s="3">
        <f t="shared" si="39"/>
        <v>2</v>
      </c>
      <c r="Z69" s="12">
        <f t="shared" si="28"/>
        <v>2880</v>
      </c>
      <c r="AA69" s="263">
        <f>AB69+AC$2</f>
        <v>86.089999827192685</v>
      </c>
      <c r="AB69" s="10">
        <f t="shared" si="35"/>
        <v>86.089999827192685</v>
      </c>
      <c r="AD69" s="12">
        <f>Z69</f>
        <v>2880</v>
      </c>
      <c r="AE69" s="10">
        <f t="shared" si="34"/>
        <v>51.45</v>
      </c>
    </row>
    <row r="70" spans="1:31" s="3" customFormat="1" ht="21.6" customHeight="1" x14ac:dyDescent="0.15">
      <c r="A70" s="54"/>
      <c r="B70" s="54"/>
      <c r="C70" s="55"/>
      <c r="D70" s="187">
        <f t="shared" si="37"/>
        <v>2460</v>
      </c>
      <c r="E70" s="256">
        <f t="shared" si="36"/>
        <v>1.7083333333333333</v>
      </c>
      <c r="F70" s="188">
        <f t="shared" si="38"/>
        <v>63.45</v>
      </c>
      <c r="G70" s="188">
        <f t="shared" si="16"/>
        <v>51.45</v>
      </c>
      <c r="H70" s="459"/>
      <c r="I70" s="459"/>
      <c r="J70" s="3" t="s">
        <v>18</v>
      </c>
      <c r="K70" s="9" t="s">
        <v>18</v>
      </c>
      <c r="U70" s="14"/>
      <c r="V70" s="3">
        <f t="shared" si="40"/>
        <v>4.6853880359717621</v>
      </c>
      <c r="W70" s="3">
        <f t="shared" si="41"/>
        <v>0.125</v>
      </c>
      <c r="X70" s="3">
        <f t="shared" si="42"/>
        <v>5.0000000000000001E-4</v>
      </c>
      <c r="Y70" s="3">
        <f t="shared" si="39"/>
        <v>6.9444444444444447E-4</v>
      </c>
      <c r="Z70" s="12">
        <f t="shared" si="28"/>
        <v>1</v>
      </c>
      <c r="AA70" s="263"/>
      <c r="AB70" s="10"/>
      <c r="AE70" s="10"/>
    </row>
    <row r="71" spans="1:31" s="3" customFormat="1" ht="21.6" customHeight="1" x14ac:dyDescent="0.15">
      <c r="A71" s="54"/>
      <c r="B71" s="54"/>
      <c r="C71" s="55">
        <f>$C$10+D71/1440</f>
        <v>43838.125</v>
      </c>
      <c r="D71" s="187">
        <f t="shared" si="37"/>
        <v>2520</v>
      </c>
      <c r="E71" s="256">
        <f t="shared" si="36"/>
        <v>1.75</v>
      </c>
      <c r="F71" s="188">
        <f t="shared" si="38"/>
        <v>63.45</v>
      </c>
      <c r="G71" s="188">
        <f t="shared" si="16"/>
        <v>51.45</v>
      </c>
      <c r="H71" s="459"/>
      <c r="I71" s="459"/>
      <c r="J71" s="3" t="s">
        <v>18</v>
      </c>
      <c r="K71" s="9" t="s">
        <v>18</v>
      </c>
      <c r="U71" s="14"/>
      <c r="V71" s="3">
        <f t="shared" si="40"/>
        <v>4.6853880359717621</v>
      </c>
      <c r="W71" s="3">
        <f t="shared" si="41"/>
        <v>0.125</v>
      </c>
      <c r="X71" s="3">
        <f t="shared" si="42"/>
        <v>5.0000000000000001E-4</v>
      </c>
      <c r="Y71" s="3">
        <f t="shared" si="39"/>
        <v>1.3888888888888889E-3</v>
      </c>
      <c r="Z71" s="12">
        <f t="shared" si="28"/>
        <v>2</v>
      </c>
      <c r="AA71" s="263"/>
      <c r="AB71" s="10"/>
      <c r="AE71" s="10"/>
    </row>
    <row r="72" spans="1:31" s="3" customFormat="1" ht="21.6" customHeight="1" x14ac:dyDescent="0.15">
      <c r="A72" s="54"/>
      <c r="B72" s="54"/>
      <c r="C72" s="55"/>
      <c r="D72" s="187">
        <f t="shared" si="37"/>
        <v>2580</v>
      </c>
      <c r="E72" s="256">
        <f t="shared" si="36"/>
        <v>1.7916666666666667</v>
      </c>
      <c r="F72" s="188">
        <f t="shared" si="38"/>
        <v>63.45</v>
      </c>
      <c r="G72" s="188">
        <f t="shared" si="16"/>
        <v>51.45</v>
      </c>
      <c r="H72" s="459"/>
      <c r="I72" s="459"/>
      <c r="J72" s="3" t="s">
        <v>18</v>
      </c>
      <c r="K72" s="9" t="s">
        <v>18</v>
      </c>
      <c r="U72" s="14"/>
      <c r="V72" s="3">
        <f t="shared" si="40"/>
        <v>4.6853880359717621</v>
      </c>
      <c r="W72" s="3">
        <f t="shared" si="41"/>
        <v>0.125</v>
      </c>
      <c r="X72" s="3">
        <f t="shared" si="42"/>
        <v>5.0000000000000001E-4</v>
      </c>
      <c r="Y72" s="3">
        <f t="shared" si="39"/>
        <v>2.0833333333333333E-3</v>
      </c>
      <c r="Z72" s="12">
        <f t="shared" si="28"/>
        <v>3</v>
      </c>
      <c r="AA72" s="263"/>
      <c r="AB72" s="10"/>
      <c r="AE72" s="10"/>
    </row>
    <row r="73" spans="1:31" s="3" customFormat="1" ht="21.6" customHeight="1" x14ac:dyDescent="0.15">
      <c r="A73" s="54"/>
      <c r="B73" s="54"/>
      <c r="C73" s="55"/>
      <c r="D73" s="187">
        <f t="shared" si="37"/>
        <v>2640</v>
      </c>
      <c r="E73" s="256">
        <f t="shared" si="36"/>
        <v>1.8333333333333333</v>
      </c>
      <c r="F73" s="188">
        <f t="shared" si="38"/>
        <v>63.45</v>
      </c>
      <c r="G73" s="188">
        <f t="shared" si="16"/>
        <v>51.45</v>
      </c>
      <c r="H73" s="459"/>
      <c r="I73" s="459"/>
      <c r="J73" s="3" t="s">
        <v>18</v>
      </c>
      <c r="K73" s="9" t="s">
        <v>18</v>
      </c>
      <c r="U73" s="14"/>
      <c r="V73" s="3">
        <f t="shared" si="40"/>
        <v>4.6853880359717621</v>
      </c>
      <c r="W73" s="3">
        <f t="shared" si="41"/>
        <v>0.125</v>
      </c>
      <c r="X73" s="3">
        <f t="shared" si="42"/>
        <v>5.0000000000000001E-4</v>
      </c>
      <c r="Y73" s="3">
        <f t="shared" si="39"/>
        <v>2.7777777777777779E-3</v>
      </c>
      <c r="Z73" s="12">
        <f t="shared" si="28"/>
        <v>4</v>
      </c>
      <c r="AA73" s="263"/>
      <c r="AB73" s="10"/>
      <c r="AE73" s="10"/>
    </row>
    <row r="74" spans="1:31" s="3" customFormat="1" ht="21.6" customHeight="1" x14ac:dyDescent="0.15">
      <c r="A74" s="54"/>
      <c r="B74" s="54"/>
      <c r="C74" s="55"/>
      <c r="D74" s="187">
        <f t="shared" si="37"/>
        <v>2700</v>
      </c>
      <c r="E74" s="256">
        <f t="shared" si="36"/>
        <v>1.875</v>
      </c>
      <c r="F74" s="188">
        <f t="shared" si="38"/>
        <v>63.45</v>
      </c>
      <c r="G74" s="188">
        <f t="shared" si="16"/>
        <v>51.45</v>
      </c>
      <c r="H74" s="459"/>
      <c r="I74" s="459"/>
      <c r="J74" s="3" t="s">
        <v>18</v>
      </c>
      <c r="K74" s="9" t="s">
        <v>18</v>
      </c>
      <c r="U74" s="14"/>
      <c r="V74" s="3">
        <f t="shared" si="40"/>
        <v>4.6853880359717621</v>
      </c>
      <c r="W74" s="3">
        <f t="shared" si="41"/>
        <v>0.125</v>
      </c>
      <c r="X74" s="3">
        <f t="shared" si="42"/>
        <v>5.0000000000000001E-4</v>
      </c>
      <c r="Y74" s="3">
        <f t="shared" si="39"/>
        <v>3.472222222222222E-3</v>
      </c>
      <c r="Z74" s="12">
        <f t="shared" si="28"/>
        <v>5</v>
      </c>
      <c r="AA74" s="263"/>
      <c r="AB74" s="10"/>
      <c r="AE74" s="10"/>
    </row>
    <row r="75" spans="1:31" s="3" customFormat="1" ht="21.6" customHeight="1" x14ac:dyDescent="0.15">
      <c r="A75" s="54"/>
      <c r="B75" s="54"/>
      <c r="C75" s="55"/>
      <c r="D75" s="187">
        <f t="shared" si="37"/>
        <v>2760</v>
      </c>
      <c r="E75" s="256">
        <f>D75/1440</f>
        <v>1.9166666666666667</v>
      </c>
      <c r="F75" s="188">
        <f t="shared" si="38"/>
        <v>63.45</v>
      </c>
      <c r="G75" s="188">
        <f>AE67</f>
        <v>51.45</v>
      </c>
      <c r="H75" s="459"/>
      <c r="I75" s="459"/>
      <c r="J75" s="3" t="s">
        <v>18</v>
      </c>
      <c r="K75" s="9" t="s">
        <v>18</v>
      </c>
      <c r="U75" s="14"/>
      <c r="V75" s="3">
        <f t="shared" si="40"/>
        <v>4.6853880359717621</v>
      </c>
      <c r="W75" s="3">
        <f t="shared" si="41"/>
        <v>0.125</v>
      </c>
      <c r="X75" s="3">
        <f t="shared" si="42"/>
        <v>5.0000000000000001E-4</v>
      </c>
      <c r="Y75" s="3">
        <f t="shared" si="39"/>
        <v>6.9444444444444441E-3</v>
      </c>
      <c r="Z75" s="12">
        <f t="shared" si="28"/>
        <v>10</v>
      </c>
      <c r="AA75" s="263"/>
      <c r="AB75" s="10"/>
      <c r="AE75" s="10"/>
    </row>
    <row r="76" spans="1:31" s="3" customFormat="1" ht="21.6" customHeight="1" x14ac:dyDescent="0.15">
      <c r="A76" s="54"/>
      <c r="B76" s="54"/>
      <c r="C76" s="55"/>
      <c r="D76" s="187">
        <f t="shared" si="37"/>
        <v>2820</v>
      </c>
      <c r="E76" s="256">
        <f>D76/1440</f>
        <v>1.9583333333333333</v>
      </c>
      <c r="F76" s="188">
        <f t="shared" si="38"/>
        <v>63.45</v>
      </c>
      <c r="G76" s="188">
        <f>AE68</f>
        <v>51.45</v>
      </c>
      <c r="H76" s="459"/>
      <c r="I76" s="459"/>
      <c r="J76" s="3" t="s">
        <v>18</v>
      </c>
      <c r="K76" s="9" t="s">
        <v>18</v>
      </c>
      <c r="U76" s="14"/>
      <c r="V76" s="3">
        <f t="shared" si="40"/>
        <v>4.6853880359717621</v>
      </c>
      <c r="W76" s="3">
        <f t="shared" si="41"/>
        <v>0.125</v>
      </c>
      <c r="X76" s="3">
        <f t="shared" si="42"/>
        <v>5.0000000000000001E-4</v>
      </c>
      <c r="Y76" s="3">
        <f t="shared" si="39"/>
        <v>1.0416666666666666E-2</v>
      </c>
      <c r="Z76" s="12">
        <f t="shared" si="28"/>
        <v>15</v>
      </c>
      <c r="AA76" s="263"/>
      <c r="AB76" s="10"/>
      <c r="AE76" s="10"/>
    </row>
    <row r="77" spans="1:31" s="3" customFormat="1" ht="21.6" customHeight="1" x14ac:dyDescent="0.15">
      <c r="A77" s="54"/>
      <c r="B77" s="54"/>
      <c r="C77" s="55">
        <f>$C$10+D77/1440</f>
        <v>43838.375</v>
      </c>
      <c r="D77" s="187">
        <f>D76+60</f>
        <v>2880</v>
      </c>
      <c r="E77" s="256">
        <f>D77/1440</f>
        <v>2</v>
      </c>
      <c r="F77" s="285">
        <f t="shared" si="38"/>
        <v>63.45</v>
      </c>
      <c r="G77" s="188">
        <f>AE69</f>
        <v>51.45</v>
      </c>
      <c r="H77" s="459" t="s">
        <v>13</v>
      </c>
      <c r="I77" s="459" t="s">
        <v>13</v>
      </c>
      <c r="J77" s="3" t="s">
        <v>18</v>
      </c>
      <c r="K77" s="9" t="s">
        <v>18</v>
      </c>
      <c r="U77" s="14"/>
      <c r="V77" s="3">
        <f t="shared" si="40"/>
        <v>4.6853880359717621</v>
      </c>
      <c r="W77" s="3">
        <f t="shared" si="41"/>
        <v>0.125</v>
      </c>
      <c r="X77" s="3">
        <f t="shared" si="42"/>
        <v>5.0000000000000001E-4</v>
      </c>
      <c r="Y77" s="3">
        <f t="shared" si="39"/>
        <v>1.3888888888888888E-2</v>
      </c>
      <c r="Z77" s="12">
        <f t="shared" si="28"/>
        <v>20</v>
      </c>
      <c r="AA77" s="263"/>
      <c r="AB77" s="10"/>
      <c r="AE77" s="10"/>
    </row>
    <row r="78" spans="1:31" s="3" customFormat="1" ht="20.45" customHeight="1" x14ac:dyDescent="0.15">
      <c r="A78" s="54">
        <v>2</v>
      </c>
      <c r="B78" s="54">
        <v>0</v>
      </c>
      <c r="C78" s="55">
        <f>$C$10+(D78+2880)/1440</f>
        <v>43838.375694444447</v>
      </c>
      <c r="D78" s="187">
        <v>1</v>
      </c>
      <c r="E78" s="256">
        <f t="shared" ref="E78:E101" si="43">D78/1440</f>
        <v>6.9444444444444447E-4</v>
      </c>
      <c r="F78" s="188">
        <f>G78+D$8</f>
        <v>41.634078434613627</v>
      </c>
      <c r="G78" s="188">
        <f>H114</f>
        <v>29.634078434613624</v>
      </c>
      <c r="H78" s="459" t="s">
        <v>254</v>
      </c>
      <c r="I78" s="459"/>
      <c r="J78" s="3" t="s">
        <v>18</v>
      </c>
      <c r="K78" s="9"/>
      <c r="U78" s="14"/>
      <c r="V78" s="3">
        <f t="shared" si="40"/>
        <v>4.6853880359717621</v>
      </c>
      <c r="W78" s="3">
        <f t="shared" si="41"/>
        <v>0.125</v>
      </c>
      <c r="X78" s="3">
        <f t="shared" si="42"/>
        <v>5.0000000000000001E-4</v>
      </c>
      <c r="Y78" s="3">
        <f t="shared" si="39"/>
        <v>1.7361111111111112E-2</v>
      </c>
      <c r="Z78" s="12">
        <f t="shared" si="28"/>
        <v>25</v>
      </c>
      <c r="AA78" s="263"/>
      <c r="AB78" s="10"/>
      <c r="AE78" s="10"/>
    </row>
    <row r="79" spans="1:31" s="3" customFormat="1" ht="20.45" customHeight="1" x14ac:dyDescent="0.15">
      <c r="A79" s="54"/>
      <c r="B79" s="54"/>
      <c r="C79" s="54" t="s">
        <v>231</v>
      </c>
      <c r="D79" s="187">
        <v>2</v>
      </c>
      <c r="E79" s="256">
        <f t="shared" si="43"/>
        <v>1.3888888888888889E-3</v>
      </c>
      <c r="F79" s="188">
        <f t="shared" ref="F79:F101" si="44">G79+D$8</f>
        <v>38.329939709219815</v>
      </c>
      <c r="G79" s="188">
        <f>H115</f>
        <v>26.329939709219818</v>
      </c>
      <c r="H79" s="459"/>
      <c r="I79" s="459"/>
      <c r="J79" s="3" t="s">
        <v>18</v>
      </c>
      <c r="K79" s="9" t="s">
        <v>18</v>
      </c>
      <c r="U79" s="14"/>
      <c r="V79" s="3">
        <f t="shared" si="40"/>
        <v>4.6853880359717621</v>
      </c>
      <c r="W79" s="3">
        <f t="shared" si="41"/>
        <v>0.125</v>
      </c>
      <c r="X79" s="3">
        <f t="shared" si="42"/>
        <v>5.0000000000000001E-4</v>
      </c>
      <c r="Y79" s="3">
        <f t="shared" si="39"/>
        <v>2.0833333333333332E-2</v>
      </c>
      <c r="Z79" s="12">
        <f t="shared" si="28"/>
        <v>30</v>
      </c>
      <c r="AA79" s="263"/>
      <c r="AB79" s="10"/>
      <c r="AE79" s="10"/>
    </row>
    <row r="80" spans="1:31" s="3" customFormat="1" ht="20.45" customHeight="1" x14ac:dyDescent="0.15">
      <c r="A80" s="54"/>
      <c r="B80" s="54"/>
      <c r="C80" s="55" t="s">
        <v>231</v>
      </c>
      <c r="D80" s="187">
        <v>3</v>
      </c>
      <c r="E80" s="256">
        <f t="shared" si="43"/>
        <v>2.0833333333333333E-3</v>
      </c>
      <c r="F80" s="188">
        <f t="shared" si="44"/>
        <v>35.394205648095749</v>
      </c>
      <c r="G80" s="188">
        <f>H116</f>
        <v>23.394205648095749</v>
      </c>
      <c r="H80" s="459"/>
      <c r="I80" s="459"/>
      <c r="J80" s="3" t="s">
        <v>18</v>
      </c>
      <c r="K80" s="9" t="s">
        <v>18</v>
      </c>
      <c r="U80" s="14"/>
      <c r="V80" s="3">
        <f t="shared" si="40"/>
        <v>4.6853880359717621</v>
      </c>
      <c r="W80" s="3">
        <f t="shared" si="41"/>
        <v>0.125</v>
      </c>
      <c r="X80" s="3">
        <f t="shared" si="42"/>
        <v>5.0000000000000001E-4</v>
      </c>
      <c r="Y80" s="3">
        <f>E90</f>
        <v>3.125E-2</v>
      </c>
      <c r="Z80" s="12">
        <f>D90</f>
        <v>45</v>
      </c>
      <c r="AA80" s="263"/>
      <c r="AB80" s="10"/>
      <c r="AE80" s="10"/>
    </row>
    <row r="81" spans="1:31" s="3" customFormat="1" ht="20.45" customHeight="1" x14ac:dyDescent="0.15">
      <c r="A81" s="54"/>
      <c r="B81" s="54"/>
      <c r="C81" s="55" t="s">
        <v>231</v>
      </c>
      <c r="D81" s="187">
        <v>4</v>
      </c>
      <c r="E81" s="256">
        <f t="shared" si="43"/>
        <v>2.7777777777777779E-3</v>
      </c>
      <c r="F81" s="188">
        <f t="shared" si="44"/>
        <v>32.785799889764036</v>
      </c>
      <c r="G81" s="188">
        <f>H117</f>
        <v>20.785799889764039</v>
      </c>
      <c r="H81" s="459"/>
      <c r="I81" s="459"/>
      <c r="J81" s="3" t="s">
        <v>18</v>
      </c>
      <c r="K81" s="9" t="s">
        <v>18</v>
      </c>
      <c r="U81" s="14"/>
      <c r="V81" s="3">
        <f t="shared" si="40"/>
        <v>4.6853880359717621</v>
      </c>
      <c r="W81" s="3">
        <f t="shared" si="41"/>
        <v>0.125</v>
      </c>
      <c r="X81" s="3">
        <f t="shared" si="42"/>
        <v>5.0000000000000001E-4</v>
      </c>
      <c r="Y81" s="3">
        <f>E93</f>
        <v>4.1666666666666664E-2</v>
      </c>
      <c r="Z81" s="12">
        <f>D93</f>
        <v>60</v>
      </c>
      <c r="AA81" s="263"/>
      <c r="AB81" s="10"/>
      <c r="AE81" s="10"/>
    </row>
    <row r="82" spans="1:31" s="3" customFormat="1" ht="20.45" customHeight="1" x14ac:dyDescent="0.15">
      <c r="A82" s="54"/>
      <c r="B82" s="54"/>
      <c r="C82" s="55" t="s">
        <v>231</v>
      </c>
      <c r="D82" s="187">
        <v>5</v>
      </c>
      <c r="E82" s="256">
        <f t="shared" si="43"/>
        <v>3.472222222222222E-3</v>
      </c>
      <c r="F82" s="188">
        <f t="shared" si="44"/>
        <v>30.468226002470946</v>
      </c>
      <c r="G82" s="188">
        <f>H118</f>
        <v>18.468226002470946</v>
      </c>
      <c r="H82" s="459"/>
      <c r="I82" s="459"/>
      <c r="J82" s="3" t="s">
        <v>18</v>
      </c>
      <c r="K82" s="9" t="s">
        <v>18</v>
      </c>
      <c r="U82" s="14"/>
      <c r="V82" s="3">
        <f t="shared" si="40"/>
        <v>4.6853880359717621</v>
      </c>
      <c r="W82" s="3">
        <f t="shared" si="41"/>
        <v>0.125</v>
      </c>
      <c r="X82" s="3">
        <f t="shared" si="42"/>
        <v>5.0000000000000001E-4</v>
      </c>
      <c r="Y82" s="3">
        <f>E97</f>
        <v>8.3333333333333329E-2</v>
      </c>
      <c r="Z82" s="12">
        <f>D97</f>
        <v>120</v>
      </c>
      <c r="AA82" s="263"/>
      <c r="AB82" s="10"/>
      <c r="AE82" s="10"/>
    </row>
    <row r="83" spans="1:31" s="3" customFormat="1" ht="20.45" customHeight="1" x14ac:dyDescent="0.15">
      <c r="A83" s="54"/>
      <c r="B83" s="54"/>
      <c r="C83" s="55" t="s">
        <v>18</v>
      </c>
      <c r="D83" s="187">
        <v>10</v>
      </c>
      <c r="E83" s="256">
        <f t="shared" si="43"/>
        <v>6.9444444444444441E-3</v>
      </c>
      <c r="F83" s="188">
        <f t="shared" si="44"/>
        <v>24.953898696505998</v>
      </c>
      <c r="G83" s="188">
        <f>H121</f>
        <v>12.953898696505998</v>
      </c>
      <c r="H83" s="459"/>
      <c r="I83" s="459"/>
      <c r="J83" s="3" t="s">
        <v>18</v>
      </c>
      <c r="K83" s="9" t="s">
        <v>18</v>
      </c>
      <c r="U83" s="14"/>
      <c r="V83" s="3">
        <f t="shared" si="40"/>
        <v>4.6853880359717621</v>
      </c>
      <c r="W83" s="3">
        <f t="shared" si="41"/>
        <v>0.125</v>
      </c>
      <c r="X83" s="3">
        <f t="shared" si="42"/>
        <v>5.0000000000000001E-4</v>
      </c>
      <c r="Y83" s="3">
        <f>E98</f>
        <v>0.125</v>
      </c>
      <c r="Z83" s="12">
        <f>D98</f>
        <v>180</v>
      </c>
      <c r="AA83" s="263"/>
      <c r="AB83" s="10"/>
      <c r="AE83" s="10"/>
    </row>
    <row r="84" spans="1:31" s="3" customFormat="1" ht="20.45" customHeight="1" x14ac:dyDescent="0.15">
      <c r="A84" s="54"/>
      <c r="B84" s="54"/>
      <c r="C84" s="55" t="s">
        <v>232</v>
      </c>
      <c r="D84" s="187">
        <v>15</v>
      </c>
      <c r="E84" s="256">
        <f t="shared" si="43"/>
        <v>1.0416666666666666E-2</v>
      </c>
      <c r="F84" s="188">
        <f t="shared" si="44"/>
        <v>23.972167624090396</v>
      </c>
      <c r="G84" s="188">
        <f>H124</f>
        <v>11.972167624090394</v>
      </c>
      <c r="H84" s="459"/>
      <c r="I84" s="459"/>
      <c r="J84" s="3" t="s">
        <v>18</v>
      </c>
      <c r="K84" s="9" t="s">
        <v>18</v>
      </c>
      <c r="U84" s="14"/>
      <c r="Z84" s="12">
        <f>D99</f>
        <v>240</v>
      </c>
      <c r="AA84" s="263"/>
      <c r="AB84" s="10"/>
      <c r="AE84" s="10"/>
    </row>
    <row r="85" spans="1:31" s="3" customFormat="1" ht="20.45" customHeight="1" x14ac:dyDescent="0.15">
      <c r="A85" s="54"/>
      <c r="B85" s="54"/>
      <c r="C85" s="55" t="s">
        <v>18</v>
      </c>
      <c r="D85" s="187">
        <v>20</v>
      </c>
      <c r="E85" s="256">
        <f t="shared" si="43"/>
        <v>1.3888888888888888E-2</v>
      </c>
      <c r="F85" s="188">
        <f t="shared" si="44"/>
        <v>21.45125903170662</v>
      </c>
      <c r="G85" s="188">
        <f>H126</f>
        <v>9.4512590317066216</v>
      </c>
      <c r="H85" s="459"/>
      <c r="I85" s="459"/>
      <c r="J85" s="3" t="s">
        <v>18</v>
      </c>
      <c r="K85" s="9" t="s">
        <v>18</v>
      </c>
      <c r="U85" s="14"/>
      <c r="Z85" s="12">
        <f>D100</f>
        <v>300</v>
      </c>
      <c r="AA85" s="264"/>
      <c r="AE85" s="10"/>
    </row>
    <row r="86" spans="1:31" s="3" customFormat="1" ht="20.45" customHeight="1" x14ac:dyDescent="0.15">
      <c r="A86" s="54"/>
      <c r="B86" s="54"/>
      <c r="C86" s="55" t="s">
        <v>232</v>
      </c>
      <c r="D86" s="187">
        <v>25</v>
      </c>
      <c r="E86" s="256">
        <f t="shared" si="43"/>
        <v>1.7361111111111112E-2</v>
      </c>
      <c r="F86" s="188">
        <f t="shared" si="44"/>
        <v>20.397463110929344</v>
      </c>
      <c r="G86" s="188">
        <f t="shared" ref="G86:G92" si="45">H127</f>
        <v>8.3974631109293441</v>
      </c>
      <c r="H86" s="459"/>
      <c r="I86" s="459"/>
      <c r="J86" s="3" t="s">
        <v>18</v>
      </c>
      <c r="K86" s="9" t="s">
        <v>18</v>
      </c>
      <c r="U86" s="14"/>
      <c r="Z86" s="12">
        <f>D101</f>
        <v>360</v>
      </c>
      <c r="AA86" s="264"/>
      <c r="AE86" s="10"/>
    </row>
    <row r="87" spans="1:31" s="3" customFormat="1" ht="20.45" customHeight="1" x14ac:dyDescent="0.15">
      <c r="A87" s="54"/>
      <c r="B87" s="54"/>
      <c r="C87" s="55" t="s">
        <v>18</v>
      </c>
      <c r="D87" s="187">
        <v>30</v>
      </c>
      <c r="E87" s="256">
        <f t="shared" si="43"/>
        <v>2.0833333333333332E-2</v>
      </c>
      <c r="F87" s="188">
        <f t="shared" si="44"/>
        <v>19.461163265428532</v>
      </c>
      <c r="G87" s="188">
        <f t="shared" si="45"/>
        <v>7.4611632654285316</v>
      </c>
      <c r="H87" s="459"/>
      <c r="I87" s="459"/>
      <c r="J87" s="3" t="s">
        <v>18</v>
      </c>
      <c r="K87" s="9" t="s">
        <v>18</v>
      </c>
      <c r="U87" s="14" t="s">
        <v>23</v>
      </c>
      <c r="Z87" s="12" t="s">
        <v>23</v>
      </c>
      <c r="AA87" s="264"/>
    </row>
    <row r="88" spans="1:31" s="3" customFormat="1" ht="20.45" customHeight="1" x14ac:dyDescent="0.15">
      <c r="A88" s="54"/>
      <c r="B88" s="54"/>
      <c r="C88" s="55"/>
      <c r="D88" s="187">
        <v>35</v>
      </c>
      <c r="E88" s="256">
        <f t="shared" si="43"/>
        <v>2.4305555555555556E-2</v>
      </c>
      <c r="F88" s="188">
        <f t="shared" si="44"/>
        <v>19.17286553617172</v>
      </c>
      <c r="G88" s="188">
        <f t="shared" si="45"/>
        <v>7.1728655361717193</v>
      </c>
      <c r="H88" s="459"/>
      <c r="I88" s="459"/>
      <c r="K88" s="9"/>
      <c r="U88" s="14"/>
      <c r="Z88" s="12"/>
      <c r="AA88" s="264"/>
    </row>
    <row r="89" spans="1:31" s="3" customFormat="1" ht="20.45" customHeight="1" x14ac:dyDescent="0.15">
      <c r="A89" s="54"/>
      <c r="B89" s="54"/>
      <c r="C89" s="55"/>
      <c r="D89" s="187">
        <v>40</v>
      </c>
      <c r="E89" s="256">
        <f t="shared" si="43"/>
        <v>2.7777777777777776E-2</v>
      </c>
      <c r="F89" s="188">
        <f t="shared" si="44"/>
        <v>18.895707568603239</v>
      </c>
      <c r="G89" s="188">
        <f t="shared" si="45"/>
        <v>6.8957075686032399</v>
      </c>
      <c r="H89" s="459"/>
      <c r="I89" s="459"/>
      <c r="K89" s="9"/>
      <c r="U89" s="14"/>
      <c r="Z89" s="12"/>
      <c r="AA89" s="264"/>
    </row>
    <row r="90" spans="1:31" s="3" customFormat="1" ht="20.45" customHeight="1" x14ac:dyDescent="0.15">
      <c r="A90" s="54"/>
      <c r="B90" s="54"/>
      <c r="C90" s="55" t="s">
        <v>232</v>
      </c>
      <c r="D90" s="187">
        <v>45</v>
      </c>
      <c r="E90" s="256">
        <f t="shared" si="43"/>
        <v>3.125E-2</v>
      </c>
      <c r="F90" s="188">
        <f t="shared" si="44"/>
        <v>18.629258924749156</v>
      </c>
      <c r="G90" s="188">
        <f t="shared" si="45"/>
        <v>6.6292589247491565</v>
      </c>
      <c r="H90" s="459"/>
      <c r="I90" s="459"/>
      <c r="J90" s="3" t="s">
        <v>18</v>
      </c>
      <c r="K90" s="9" t="s">
        <v>18</v>
      </c>
      <c r="U90" s="14" t="s">
        <v>23</v>
      </c>
      <c r="Z90" s="12" t="s">
        <v>23</v>
      </c>
      <c r="AA90" s="264"/>
    </row>
    <row r="91" spans="1:31" s="3" customFormat="1" ht="20.45" customHeight="1" x14ac:dyDescent="0.15">
      <c r="A91" s="54"/>
      <c r="B91" s="54"/>
      <c r="C91" s="55"/>
      <c r="D91" s="187">
        <v>50</v>
      </c>
      <c r="E91" s="256">
        <f t="shared" si="43"/>
        <v>3.4722222222222224E-2</v>
      </c>
      <c r="F91" s="188">
        <f t="shared" si="44"/>
        <v>18.373105798665421</v>
      </c>
      <c r="G91" s="188">
        <f t="shared" si="45"/>
        <v>6.3731057986654207</v>
      </c>
      <c r="H91" s="459"/>
      <c r="I91" s="459"/>
      <c r="K91" s="9"/>
      <c r="U91" s="14"/>
      <c r="Z91" s="12"/>
      <c r="AA91" s="264"/>
    </row>
    <row r="92" spans="1:31" s="3" customFormat="1" ht="20.45" customHeight="1" x14ac:dyDescent="0.15">
      <c r="A92" s="54"/>
      <c r="B92" s="54"/>
      <c r="C92" s="55"/>
      <c r="D92" s="187">
        <v>55</v>
      </c>
      <c r="E92" s="256">
        <f t="shared" si="43"/>
        <v>3.8194444444444448E-2</v>
      </c>
      <c r="F92" s="188">
        <f t="shared" si="44"/>
        <v>18.126850373779856</v>
      </c>
      <c r="G92" s="188">
        <f t="shared" si="45"/>
        <v>6.1268503737798561</v>
      </c>
      <c r="H92" s="459"/>
      <c r="I92" s="459"/>
      <c r="K92" s="9"/>
      <c r="U92" s="14"/>
      <c r="Z92" s="12"/>
      <c r="AA92" s="264"/>
    </row>
    <row r="93" spans="1:31" s="3" customFormat="1" ht="20.45" customHeight="1" x14ac:dyDescent="0.15">
      <c r="A93" s="54"/>
      <c r="B93" s="54"/>
      <c r="C93" s="55">
        <f>$C$10+(D93+2880)/1440</f>
        <v>43838.416666666664</v>
      </c>
      <c r="D93" s="187">
        <v>60</v>
      </c>
      <c r="E93" s="256">
        <f t="shared" si="43"/>
        <v>4.1666666666666664E-2</v>
      </c>
      <c r="F93" s="188">
        <f t="shared" si="44"/>
        <v>17.890110205066293</v>
      </c>
      <c r="G93" s="188">
        <f>H134</f>
        <v>5.8901102050662937</v>
      </c>
      <c r="H93" s="459"/>
      <c r="I93" s="459"/>
      <c r="J93" s="3" t="s">
        <v>18</v>
      </c>
      <c r="K93" s="9" t="s">
        <v>18</v>
      </c>
      <c r="U93" s="14" t="s">
        <v>23</v>
      </c>
      <c r="Z93" s="12" t="s">
        <v>23</v>
      </c>
      <c r="AA93" s="264"/>
    </row>
    <row r="94" spans="1:31" s="3" customFormat="1" ht="20.45" customHeight="1" x14ac:dyDescent="0.15">
      <c r="A94" s="54"/>
      <c r="B94" s="54"/>
      <c r="C94" s="55"/>
      <c r="D94" s="187">
        <v>75</v>
      </c>
      <c r="E94" s="256">
        <f t="shared" si="43"/>
        <v>5.2083333333333336E-2</v>
      </c>
      <c r="F94" s="188">
        <f t="shared" si="44"/>
        <v>17.662517625091368</v>
      </c>
      <c r="G94" s="188">
        <f>H135</f>
        <v>5.66251762509137</v>
      </c>
      <c r="H94" s="459"/>
      <c r="I94" s="459"/>
      <c r="K94" s="9"/>
      <c r="U94" s="14"/>
      <c r="Z94" s="12"/>
      <c r="AA94" s="264"/>
    </row>
    <row r="95" spans="1:31" s="3" customFormat="1" ht="20.45" customHeight="1" x14ac:dyDescent="0.15">
      <c r="A95" s="54"/>
      <c r="B95" s="54"/>
      <c r="C95" s="55"/>
      <c r="D95" s="187">
        <v>90</v>
      </c>
      <c r="E95" s="256">
        <f t="shared" si="43"/>
        <v>6.25E-2</v>
      </c>
      <c r="F95" s="188">
        <f t="shared" si="44"/>
        <v>17.443719173011559</v>
      </c>
      <c r="G95" s="188">
        <f>H136</f>
        <v>5.4437191730115568</v>
      </c>
      <c r="H95" s="459"/>
      <c r="I95" s="459"/>
      <c r="K95" s="9"/>
      <c r="U95" s="14"/>
      <c r="Z95" s="12"/>
      <c r="AA95" s="264"/>
    </row>
    <row r="96" spans="1:31" s="3" customFormat="1" ht="20.45" customHeight="1" x14ac:dyDescent="0.15">
      <c r="A96" s="54"/>
      <c r="B96" s="54"/>
      <c r="C96" s="55"/>
      <c r="D96" s="187">
        <v>105</v>
      </c>
      <c r="E96" s="256">
        <f t="shared" si="43"/>
        <v>7.2916666666666671E-2</v>
      </c>
      <c r="F96" s="188">
        <f t="shared" si="44"/>
        <v>17.233375045633604</v>
      </c>
      <c r="G96" s="188">
        <f>H137</f>
        <v>5.2333750456336032</v>
      </c>
      <c r="H96" s="459"/>
      <c r="I96" s="459"/>
      <c r="K96" s="9"/>
      <c r="U96" s="14"/>
      <c r="Z96" s="12"/>
      <c r="AA96" s="264"/>
    </row>
    <row r="97" spans="1:27" s="3" customFormat="1" ht="20.45" customHeight="1" x14ac:dyDescent="0.15">
      <c r="A97" s="54"/>
      <c r="B97" s="54"/>
      <c r="C97" s="55">
        <f>$C$10+(D97+2880)/1440</f>
        <v>43838.458333333336</v>
      </c>
      <c r="D97" s="187">
        <v>120</v>
      </c>
      <c r="E97" s="256">
        <f t="shared" si="43"/>
        <v>8.3333333333333329E-2</v>
      </c>
      <c r="F97" s="188">
        <f t="shared" si="44"/>
        <v>16.649864504182442</v>
      </c>
      <c r="G97" s="188">
        <f>H138</f>
        <v>4.6498645041824416</v>
      </c>
      <c r="H97" s="459"/>
      <c r="I97" s="459"/>
      <c r="J97" s="3" t="s">
        <v>18</v>
      </c>
      <c r="K97" s="9" t="s">
        <v>18</v>
      </c>
      <c r="U97" s="14" t="s">
        <v>23</v>
      </c>
      <c r="Z97" s="12" t="s">
        <v>23</v>
      </c>
      <c r="AA97" s="264"/>
    </row>
    <row r="98" spans="1:27" s="3" customFormat="1" ht="20.45" customHeight="1" x14ac:dyDescent="0.15">
      <c r="A98" s="54"/>
      <c r="B98" s="54"/>
      <c r="C98" s="55" t="s">
        <v>232</v>
      </c>
      <c r="D98" s="187">
        <v>180</v>
      </c>
      <c r="E98" s="256">
        <f t="shared" si="43"/>
        <v>0.125</v>
      </c>
      <c r="F98" s="188">
        <f t="shared" si="44"/>
        <v>16.470194748915311</v>
      </c>
      <c r="G98" s="188">
        <f>H140</f>
        <v>4.4701947489153095</v>
      </c>
      <c r="H98" s="459"/>
      <c r="I98" s="459"/>
      <c r="J98" s="63"/>
      <c r="K98" s="9" t="s">
        <v>18</v>
      </c>
      <c r="U98" s="14" t="str">
        <f t="shared" ref="U98:U103" si="46">U97</f>
        <v xml:space="preserve"> </v>
      </c>
      <c r="Z98" s="12" t="s">
        <v>23</v>
      </c>
      <c r="AA98" s="264"/>
    </row>
    <row r="99" spans="1:27" s="3" customFormat="1" ht="20.45" customHeight="1" x14ac:dyDescent="0.15">
      <c r="A99" s="54"/>
      <c r="B99" s="54"/>
      <c r="C99" s="55">
        <f>$C$10+(D99+2880)/1440</f>
        <v>43838.541666666664</v>
      </c>
      <c r="D99" s="187">
        <v>240</v>
      </c>
      <c r="E99" s="256">
        <f t="shared" si="43"/>
        <v>0.16666666666666666</v>
      </c>
      <c r="F99" s="188">
        <f t="shared" si="44"/>
        <v>15.528932255271799</v>
      </c>
      <c r="G99" s="188">
        <f>H142</f>
        <v>3.5289322552717999</v>
      </c>
      <c r="H99" s="459"/>
      <c r="I99" s="459"/>
      <c r="U99" s="14" t="str">
        <f t="shared" si="46"/>
        <v xml:space="preserve"> </v>
      </c>
      <c r="Z99" s="12" t="s">
        <v>23</v>
      </c>
      <c r="AA99" s="264"/>
    </row>
    <row r="100" spans="1:27" s="3" customFormat="1" ht="20.45" customHeight="1" x14ac:dyDescent="0.15">
      <c r="A100" s="54"/>
      <c r="B100" s="54"/>
      <c r="C100" s="55" t="s">
        <v>232</v>
      </c>
      <c r="D100" s="187">
        <v>300</v>
      </c>
      <c r="E100" s="256">
        <f t="shared" si="43"/>
        <v>0.20833333333333334</v>
      </c>
      <c r="F100" s="188">
        <f t="shared" si="44"/>
        <v>14.785865842941075</v>
      </c>
      <c r="G100" s="188">
        <f>H144</f>
        <v>2.7858658429410745</v>
      </c>
      <c r="H100" s="459"/>
      <c r="I100" s="459"/>
      <c r="U100" s="14" t="str">
        <f t="shared" si="46"/>
        <v xml:space="preserve"> </v>
      </c>
      <c r="Z100" s="12" t="s">
        <v>23</v>
      </c>
      <c r="AA100" s="264"/>
    </row>
    <row r="101" spans="1:27" s="3" customFormat="1" ht="20.45" customHeight="1" x14ac:dyDescent="0.15">
      <c r="A101" s="54"/>
      <c r="B101" s="54"/>
      <c r="C101" s="55">
        <f>$C$10+(D101+2880)/1440</f>
        <v>43838.625</v>
      </c>
      <c r="D101" s="187">
        <v>360</v>
      </c>
      <c r="E101" s="256">
        <f t="shared" si="43"/>
        <v>0.25</v>
      </c>
      <c r="F101" s="285">
        <f t="shared" si="44"/>
        <v>14.199262534233043</v>
      </c>
      <c r="G101" s="249">
        <f>H146</f>
        <v>2.1992625342330419</v>
      </c>
      <c r="H101" s="459"/>
      <c r="I101" s="459"/>
      <c r="U101" s="14" t="str">
        <f t="shared" si="46"/>
        <v xml:space="preserve"> </v>
      </c>
      <c r="Z101" s="12" t="s">
        <v>23</v>
      </c>
      <c r="AA101" s="264"/>
    </row>
    <row r="102" spans="1:27" s="3" customFormat="1" ht="17.25" customHeight="1" x14ac:dyDescent="0.15">
      <c r="D102" s="16"/>
      <c r="U102" s="14" t="str">
        <f t="shared" si="46"/>
        <v xml:space="preserve"> </v>
      </c>
      <c r="Z102" s="12" t="s">
        <v>23</v>
      </c>
      <c r="AA102" s="264"/>
    </row>
    <row r="103" spans="1:27" s="3" customFormat="1" ht="17.25" customHeight="1" x14ac:dyDescent="0.15">
      <c r="D103" s="16"/>
      <c r="U103" s="14" t="str">
        <f t="shared" si="46"/>
        <v xml:space="preserve"> </v>
      </c>
      <c r="Z103" s="12"/>
      <c r="AA103" s="264"/>
    </row>
    <row r="104" spans="1:27" s="3" customFormat="1" ht="17.25" customHeight="1" x14ac:dyDescent="0.15">
      <c r="D104" s="16"/>
      <c r="Z104" s="12"/>
      <c r="AA104" s="264"/>
    </row>
    <row r="105" spans="1:27" s="3" customFormat="1" ht="17.25" customHeight="1" x14ac:dyDescent="0.15">
      <c r="D105" s="16"/>
      <c r="Z105" s="12"/>
      <c r="AA105" s="264"/>
    </row>
    <row r="106" spans="1:27" s="3" customFormat="1" ht="17.25" customHeight="1" x14ac:dyDescent="0.15">
      <c r="Z106" s="12"/>
      <c r="AA106" s="264"/>
    </row>
    <row r="107" spans="1:27" s="3" customFormat="1" ht="17.25" customHeight="1" x14ac:dyDescent="0.15">
      <c r="Z107" s="12"/>
      <c r="AA107" s="264"/>
    </row>
    <row r="108" spans="1:27" s="3" customFormat="1" ht="17.25" customHeight="1" x14ac:dyDescent="0.15">
      <c r="Z108" s="12"/>
      <c r="AA108" s="264"/>
    </row>
    <row r="109" spans="1:27" s="3" customFormat="1" ht="17.25" customHeight="1" x14ac:dyDescent="0.15">
      <c r="Z109" s="12"/>
      <c r="AA109" s="264"/>
    </row>
    <row r="110" spans="1:27" s="3" customFormat="1" ht="17.25" customHeight="1" x14ac:dyDescent="0.15">
      <c r="C110" s="29">
        <v>3</v>
      </c>
      <c r="D110" s="34">
        <f>G77</f>
        <v>51.45</v>
      </c>
      <c r="F110" s="250" t="s">
        <v>180</v>
      </c>
      <c r="H110" s="252" t="s">
        <v>181</v>
      </c>
      <c r="Z110" s="12"/>
      <c r="AA110" s="264"/>
    </row>
    <row r="111" spans="1:27" s="3" customFormat="1" ht="17.25" hidden="1" customHeight="1" x14ac:dyDescent="0.15">
      <c r="B111" s="3">
        <v>1</v>
      </c>
      <c r="C111" s="3">
        <v>95</v>
      </c>
      <c r="D111" s="33">
        <f>D110</f>
        <v>51.45</v>
      </c>
      <c r="E111" s="15">
        <f>C111/100</f>
        <v>0.95</v>
      </c>
      <c r="F111" s="54" t="s">
        <v>18</v>
      </c>
      <c r="G111" s="3">
        <v>1</v>
      </c>
      <c r="H111" s="253">
        <f t="shared" ref="H111:H146" si="47">D111^E111</f>
        <v>42.248968494173347</v>
      </c>
      <c r="Z111" s="12"/>
      <c r="AA111" s="264"/>
    </row>
    <row r="112" spans="1:27" s="3" customFormat="1" ht="17.25" hidden="1" customHeight="1" x14ac:dyDescent="0.15">
      <c r="B112" s="3">
        <v>2</v>
      </c>
      <c r="C112" s="3">
        <f t="shared" ref="C112:C119" si="48">C111-C$110</f>
        <v>92</v>
      </c>
      <c r="D112" s="35">
        <f>D111</f>
        <v>51.45</v>
      </c>
      <c r="E112" s="15">
        <f t="shared" ref="E112:E141" si="49">C112/100</f>
        <v>0.92</v>
      </c>
      <c r="F112" s="251"/>
      <c r="G112" s="3">
        <v>2</v>
      </c>
      <c r="H112" s="253">
        <f t="shared" si="47"/>
        <v>37.538295502686367</v>
      </c>
      <c r="I112" s="13">
        <f>H111-H112</f>
        <v>4.7106729914869803</v>
      </c>
      <c r="Z112" s="12"/>
      <c r="AA112" s="264"/>
    </row>
    <row r="113" spans="1:27" s="3" customFormat="1" ht="17.25" hidden="1" customHeight="1" x14ac:dyDescent="0.15">
      <c r="B113" s="3">
        <v>3</v>
      </c>
      <c r="C113" s="3">
        <f t="shared" si="48"/>
        <v>89</v>
      </c>
      <c r="D113" s="35">
        <f t="shared" ref="D113:D146" si="50">D112</f>
        <v>51.45</v>
      </c>
      <c r="E113" s="15">
        <f t="shared" si="49"/>
        <v>0.89</v>
      </c>
      <c r="F113" s="54" t="s">
        <v>18</v>
      </c>
      <c r="G113" s="3">
        <v>3</v>
      </c>
      <c r="H113" s="253">
        <f t="shared" si="47"/>
        <v>33.352852849918435</v>
      </c>
      <c r="I113" s="13">
        <f t="shared" ref="I113:I146" si="51">H112-H113</f>
        <v>4.1854426527679323</v>
      </c>
      <c r="Z113" s="12"/>
      <c r="AA113" s="264"/>
    </row>
    <row r="114" spans="1:27" s="3" customFormat="1" ht="17.25" customHeight="1" x14ac:dyDescent="0.15">
      <c r="B114" s="3">
        <v>4</v>
      </c>
      <c r="C114" s="3">
        <f t="shared" si="48"/>
        <v>86</v>
      </c>
      <c r="D114" s="35">
        <f t="shared" si="50"/>
        <v>51.45</v>
      </c>
      <c r="E114" s="15">
        <f t="shared" si="49"/>
        <v>0.86</v>
      </c>
      <c r="F114" s="251">
        <v>1</v>
      </c>
      <c r="G114" s="36">
        <v>4</v>
      </c>
      <c r="H114" s="254">
        <f t="shared" si="47"/>
        <v>29.634078434613624</v>
      </c>
      <c r="I114" s="13">
        <f t="shared" si="51"/>
        <v>3.7187744153048108</v>
      </c>
      <c r="Z114" s="12"/>
      <c r="AA114" s="264"/>
    </row>
    <row r="115" spans="1:27" s="3" customFormat="1" ht="17.25" customHeight="1" x14ac:dyDescent="0.15">
      <c r="B115" s="3">
        <v>5</v>
      </c>
      <c r="C115" s="3">
        <f t="shared" si="48"/>
        <v>83</v>
      </c>
      <c r="D115" s="35">
        <f t="shared" si="50"/>
        <v>51.45</v>
      </c>
      <c r="E115" s="15">
        <f t="shared" si="49"/>
        <v>0.83</v>
      </c>
      <c r="F115" s="251">
        <v>2</v>
      </c>
      <c r="G115" s="36">
        <v>5</v>
      </c>
      <c r="H115" s="254">
        <f t="shared" si="47"/>
        <v>26.329939709219818</v>
      </c>
      <c r="I115" s="13">
        <f t="shared" si="51"/>
        <v>3.3041387253938055</v>
      </c>
      <c r="Z115" s="12"/>
      <c r="AA115" s="264"/>
    </row>
    <row r="116" spans="1:27" s="3" customFormat="1" ht="17.25" customHeight="1" x14ac:dyDescent="0.15">
      <c r="B116" s="3">
        <v>6</v>
      </c>
      <c r="C116" s="3">
        <f t="shared" si="48"/>
        <v>80</v>
      </c>
      <c r="D116" s="35">
        <f t="shared" si="50"/>
        <v>51.45</v>
      </c>
      <c r="E116" s="15">
        <f t="shared" si="49"/>
        <v>0.8</v>
      </c>
      <c r="F116" s="251">
        <v>3</v>
      </c>
      <c r="G116" s="36">
        <v>6</v>
      </c>
      <c r="H116" s="254">
        <f t="shared" si="47"/>
        <v>23.394205648095749</v>
      </c>
      <c r="I116" s="13">
        <f t="shared" si="51"/>
        <v>2.9357340611240694</v>
      </c>
      <c r="Z116" s="12"/>
      <c r="AA116" s="264"/>
    </row>
    <row r="117" spans="1:27" s="3" customFormat="1" ht="17.25" customHeight="1" x14ac:dyDescent="0.15">
      <c r="B117" s="3">
        <v>7</v>
      </c>
      <c r="C117" s="3">
        <f t="shared" si="48"/>
        <v>77</v>
      </c>
      <c r="D117" s="35">
        <f t="shared" si="50"/>
        <v>51.45</v>
      </c>
      <c r="E117" s="15">
        <f t="shared" si="49"/>
        <v>0.77</v>
      </c>
      <c r="F117" s="251">
        <v>4</v>
      </c>
      <c r="G117" s="36">
        <v>7</v>
      </c>
      <c r="H117" s="254">
        <f t="shared" si="47"/>
        <v>20.785799889764039</v>
      </c>
      <c r="I117" s="13">
        <f t="shared" si="51"/>
        <v>2.6084057583317097</v>
      </c>
      <c r="Z117" s="12"/>
      <c r="AA117" s="264"/>
    </row>
    <row r="118" spans="1:27" s="3" customFormat="1" ht="17.25" customHeight="1" x14ac:dyDescent="0.15">
      <c r="B118" s="3">
        <v>8</v>
      </c>
      <c r="C118" s="3">
        <f t="shared" si="48"/>
        <v>74</v>
      </c>
      <c r="D118" s="35">
        <f t="shared" si="50"/>
        <v>51.45</v>
      </c>
      <c r="E118" s="15">
        <f t="shared" si="49"/>
        <v>0.74</v>
      </c>
      <c r="F118" s="251">
        <v>5</v>
      </c>
      <c r="G118" s="36">
        <v>8</v>
      </c>
      <c r="H118" s="254">
        <f t="shared" si="47"/>
        <v>18.468226002470946</v>
      </c>
      <c r="I118" s="13">
        <f t="shared" si="51"/>
        <v>2.3175738872930935</v>
      </c>
      <c r="Z118" s="12"/>
      <c r="AA118" s="264"/>
    </row>
    <row r="119" spans="1:27" s="3" customFormat="1" ht="17.25" hidden="1" customHeight="1" x14ac:dyDescent="0.15">
      <c r="B119" s="3">
        <v>9</v>
      </c>
      <c r="C119" s="3">
        <f t="shared" si="48"/>
        <v>71</v>
      </c>
      <c r="D119" s="35">
        <f t="shared" si="50"/>
        <v>51.45</v>
      </c>
      <c r="E119" s="15">
        <f t="shared" si="49"/>
        <v>0.71</v>
      </c>
      <c r="F119" s="54"/>
      <c r="G119" s="3">
        <v>9</v>
      </c>
      <c r="H119" s="255">
        <f t="shared" si="47"/>
        <v>16.40905683145283</v>
      </c>
      <c r="I119" s="13">
        <f t="shared" si="51"/>
        <v>2.0591691710181159</v>
      </c>
      <c r="Z119" s="12"/>
      <c r="AA119" s="264"/>
    </row>
    <row r="120" spans="1:27" s="3" customFormat="1" ht="17.25" hidden="1" customHeight="1" x14ac:dyDescent="0.15">
      <c r="A120" s="3">
        <f>C110</f>
        <v>3</v>
      </c>
      <c r="B120" s="3">
        <v>10</v>
      </c>
      <c r="C120" s="3">
        <f>C119-A$120</f>
        <v>68</v>
      </c>
      <c r="D120" s="35">
        <f t="shared" si="50"/>
        <v>51.45</v>
      </c>
      <c r="E120" s="15">
        <f t="shared" si="49"/>
        <v>0.68</v>
      </c>
      <c r="F120" s="54" t="s">
        <v>18</v>
      </c>
      <c r="G120" s="3">
        <v>10</v>
      </c>
      <c r="H120" s="253">
        <f t="shared" si="47"/>
        <v>14.57948078293084</v>
      </c>
      <c r="I120" s="13">
        <f t="shared" si="51"/>
        <v>1.8295760485219894</v>
      </c>
      <c r="Z120" s="12"/>
      <c r="AA120" s="264"/>
    </row>
    <row r="121" spans="1:27" s="3" customFormat="1" ht="17.25" customHeight="1" x14ac:dyDescent="0.15">
      <c r="B121" s="3">
        <v>11</v>
      </c>
      <c r="C121" s="3">
        <f t="shared" ref="C121:C128" si="52">C120-A$120</f>
        <v>65</v>
      </c>
      <c r="D121" s="35">
        <f t="shared" si="50"/>
        <v>51.45</v>
      </c>
      <c r="E121" s="15">
        <f t="shared" si="49"/>
        <v>0.65</v>
      </c>
      <c r="F121" s="251">
        <v>10</v>
      </c>
      <c r="G121" s="36">
        <v>12</v>
      </c>
      <c r="H121" s="254">
        <f t="shared" si="47"/>
        <v>12.953898696505998</v>
      </c>
      <c r="I121" s="13">
        <f t="shared" si="51"/>
        <v>1.625582086424842</v>
      </c>
      <c r="Z121" s="12"/>
      <c r="AA121" s="264"/>
    </row>
    <row r="122" spans="1:27" s="3" customFormat="1" ht="17.25" hidden="1" customHeight="1" x14ac:dyDescent="0.15">
      <c r="B122" s="3">
        <v>12</v>
      </c>
      <c r="C122" s="3">
        <f t="shared" si="52"/>
        <v>62</v>
      </c>
      <c r="D122" s="35">
        <f t="shared" si="50"/>
        <v>51.45</v>
      </c>
      <c r="E122" s="15">
        <f t="shared" si="49"/>
        <v>0.62</v>
      </c>
      <c r="F122" s="54"/>
      <c r="G122" s="3">
        <v>14</v>
      </c>
      <c r="H122" s="253">
        <f t="shared" si="47"/>
        <v>11.509565665452117</v>
      </c>
      <c r="I122" s="13">
        <f t="shared" si="51"/>
        <v>1.4443330310538816</v>
      </c>
      <c r="Z122" s="12"/>
      <c r="AA122" s="264"/>
    </row>
    <row r="123" spans="1:27" s="3" customFormat="1" ht="17.25" hidden="1" customHeight="1" x14ac:dyDescent="0.15">
      <c r="C123" s="3">
        <v>37</v>
      </c>
      <c r="D123" s="35">
        <f t="shared" si="50"/>
        <v>51.45</v>
      </c>
      <c r="E123" s="15">
        <f t="shared" si="49"/>
        <v>0.37</v>
      </c>
      <c r="F123" s="54"/>
      <c r="G123" s="3">
        <v>15</v>
      </c>
      <c r="H123" s="253">
        <f t="shared" si="47"/>
        <v>4.2974673939974162</v>
      </c>
      <c r="I123" s="13">
        <f t="shared" si="51"/>
        <v>7.2120982714547006</v>
      </c>
      <c r="Z123" s="12"/>
      <c r="AA123" s="264"/>
    </row>
    <row r="124" spans="1:27" s="3" customFormat="1" ht="17.25" customHeight="1" x14ac:dyDescent="0.15">
      <c r="B124" s="3">
        <v>13</v>
      </c>
      <c r="C124" s="3">
        <v>63</v>
      </c>
      <c r="D124" s="35">
        <f t="shared" si="50"/>
        <v>51.45</v>
      </c>
      <c r="E124" s="15">
        <f t="shared" si="49"/>
        <v>0.63</v>
      </c>
      <c r="F124" s="251">
        <v>15</v>
      </c>
      <c r="G124" s="36">
        <v>16</v>
      </c>
      <c r="H124" s="254">
        <f t="shared" si="47"/>
        <v>11.972167624090394</v>
      </c>
      <c r="I124" s="13">
        <f t="shared" si="51"/>
        <v>-7.6747002300929781</v>
      </c>
      <c r="Z124" s="12"/>
      <c r="AA124" s="264"/>
    </row>
    <row r="125" spans="1:27" s="3" customFormat="1" ht="17.25" hidden="1" customHeight="1" x14ac:dyDescent="0.15">
      <c r="B125" s="3">
        <v>14</v>
      </c>
      <c r="C125" s="3">
        <f t="shared" si="52"/>
        <v>60</v>
      </c>
      <c r="D125" s="35">
        <f t="shared" si="50"/>
        <v>51.45</v>
      </c>
      <c r="E125" s="15">
        <f t="shared" si="49"/>
        <v>0.6</v>
      </c>
      <c r="F125" s="54"/>
      <c r="G125" s="3">
        <v>18</v>
      </c>
      <c r="H125" s="253">
        <f t="shared" si="47"/>
        <v>10.637295586110692</v>
      </c>
      <c r="I125" s="13">
        <f t="shared" si="51"/>
        <v>1.3348720379797019</v>
      </c>
      <c r="Z125" s="12"/>
      <c r="AA125" s="264"/>
    </row>
    <row r="126" spans="1:27" s="3" customFormat="1" ht="17.25" customHeight="1" x14ac:dyDescent="0.15">
      <c r="B126" s="3">
        <v>15</v>
      </c>
      <c r="C126" s="3">
        <f t="shared" si="52"/>
        <v>57</v>
      </c>
      <c r="D126" s="35">
        <f t="shared" si="50"/>
        <v>51.45</v>
      </c>
      <c r="E126" s="15">
        <f t="shared" si="49"/>
        <v>0.56999999999999995</v>
      </c>
      <c r="F126" s="251">
        <v>20</v>
      </c>
      <c r="G126" s="36">
        <v>20</v>
      </c>
      <c r="H126" s="254">
        <f t="shared" si="47"/>
        <v>9.4512590317066216</v>
      </c>
      <c r="I126" s="13">
        <f t="shared" si="51"/>
        <v>1.1860365544040707</v>
      </c>
      <c r="Z126" s="12"/>
      <c r="AA126" s="264"/>
    </row>
    <row r="127" spans="1:27" s="3" customFormat="1" ht="17.25" customHeight="1" x14ac:dyDescent="0.15">
      <c r="B127" s="3">
        <v>16</v>
      </c>
      <c r="C127" s="3">
        <f t="shared" si="52"/>
        <v>54</v>
      </c>
      <c r="D127" s="35">
        <f t="shared" si="50"/>
        <v>51.45</v>
      </c>
      <c r="E127" s="15">
        <f t="shared" si="49"/>
        <v>0.54</v>
      </c>
      <c r="F127" s="251">
        <v>25</v>
      </c>
      <c r="G127" s="36">
        <v>25</v>
      </c>
      <c r="H127" s="254">
        <f t="shared" si="47"/>
        <v>8.3974631109293441</v>
      </c>
      <c r="I127" s="13">
        <f t="shared" si="51"/>
        <v>1.0537959207772776</v>
      </c>
      <c r="Z127" s="12"/>
      <c r="AA127" s="264"/>
    </row>
    <row r="128" spans="1:27" s="3" customFormat="1" ht="17.25" customHeight="1" x14ac:dyDescent="0.15">
      <c r="B128" s="3">
        <v>17</v>
      </c>
      <c r="C128" s="3">
        <f t="shared" si="52"/>
        <v>51</v>
      </c>
      <c r="D128" s="35">
        <f t="shared" si="50"/>
        <v>51.45</v>
      </c>
      <c r="E128" s="15">
        <f t="shared" si="49"/>
        <v>0.51</v>
      </c>
      <c r="F128" s="251">
        <v>30</v>
      </c>
      <c r="G128" s="36">
        <v>30</v>
      </c>
      <c r="H128" s="254">
        <f t="shared" si="47"/>
        <v>7.4611632654285316</v>
      </c>
      <c r="I128" s="13">
        <f t="shared" si="51"/>
        <v>0.93629984550081247</v>
      </c>
      <c r="Z128" s="12"/>
      <c r="AA128" s="264"/>
    </row>
    <row r="129" spans="1:27" s="3" customFormat="1" ht="17.25" customHeight="1" x14ac:dyDescent="0.15">
      <c r="C129" s="3">
        <v>50</v>
      </c>
      <c r="D129" s="35">
        <f t="shared" si="50"/>
        <v>51.45</v>
      </c>
      <c r="E129" s="15">
        <f t="shared" si="49"/>
        <v>0.5</v>
      </c>
      <c r="F129" s="251">
        <v>35</v>
      </c>
      <c r="G129" s="36">
        <v>35</v>
      </c>
      <c r="H129" s="254">
        <f t="shared" si="47"/>
        <v>7.1728655361717193</v>
      </c>
      <c r="I129" s="13">
        <f t="shared" si="51"/>
        <v>0.2882977292568123</v>
      </c>
      <c r="Z129" s="12"/>
      <c r="AA129" s="264"/>
    </row>
    <row r="130" spans="1:27" s="3" customFormat="1" ht="17.25" customHeight="1" x14ac:dyDescent="0.15">
      <c r="C130" s="3">
        <v>49</v>
      </c>
      <c r="D130" s="35">
        <f t="shared" si="50"/>
        <v>51.45</v>
      </c>
      <c r="E130" s="15">
        <f t="shared" si="49"/>
        <v>0.49</v>
      </c>
      <c r="F130" s="251">
        <v>40</v>
      </c>
      <c r="G130" s="36">
        <v>40</v>
      </c>
      <c r="H130" s="254">
        <f t="shared" si="47"/>
        <v>6.8957075686032399</v>
      </c>
      <c r="I130" s="13">
        <f t="shared" si="51"/>
        <v>0.27715796756847944</v>
      </c>
      <c r="Z130" s="12"/>
      <c r="AA130" s="264"/>
    </row>
    <row r="131" spans="1:27" s="3" customFormat="1" ht="17.25" customHeight="1" x14ac:dyDescent="0.15">
      <c r="A131" s="3">
        <f>A120</f>
        <v>3</v>
      </c>
      <c r="B131" s="3">
        <v>18</v>
      </c>
      <c r="C131" s="3">
        <f>C128-A$131</f>
        <v>48</v>
      </c>
      <c r="D131" s="35">
        <f t="shared" si="50"/>
        <v>51.45</v>
      </c>
      <c r="E131" s="15">
        <f t="shared" si="49"/>
        <v>0.48</v>
      </c>
      <c r="F131" s="251">
        <v>45</v>
      </c>
      <c r="G131" s="36">
        <v>45</v>
      </c>
      <c r="H131" s="254">
        <f t="shared" si="47"/>
        <v>6.6292589247491565</v>
      </c>
      <c r="I131" s="13">
        <f t="shared" si="51"/>
        <v>0.2664486438540834</v>
      </c>
      <c r="Z131" s="12"/>
      <c r="AA131" s="264"/>
    </row>
    <row r="132" spans="1:27" s="3" customFormat="1" ht="17.25" customHeight="1" x14ac:dyDescent="0.15">
      <c r="C132" s="3">
        <v>47</v>
      </c>
      <c r="D132" s="35">
        <f t="shared" si="50"/>
        <v>51.45</v>
      </c>
      <c r="E132" s="15">
        <f t="shared" si="49"/>
        <v>0.47</v>
      </c>
      <c r="F132" s="251">
        <v>50</v>
      </c>
      <c r="G132" s="36">
        <v>50</v>
      </c>
      <c r="H132" s="254">
        <f t="shared" si="47"/>
        <v>6.3731057986654207</v>
      </c>
      <c r="I132" s="13">
        <f t="shared" si="51"/>
        <v>0.25615312608373575</v>
      </c>
      <c r="Z132" s="12"/>
      <c r="AA132" s="264"/>
    </row>
    <row r="133" spans="1:27" s="3" customFormat="1" ht="17.25" customHeight="1" x14ac:dyDescent="0.15">
      <c r="C133" s="3">
        <v>46</v>
      </c>
      <c r="D133" s="35">
        <f t="shared" si="50"/>
        <v>51.45</v>
      </c>
      <c r="E133" s="15">
        <f t="shared" si="49"/>
        <v>0.46</v>
      </c>
      <c r="F133" s="251">
        <v>55</v>
      </c>
      <c r="G133" s="36">
        <v>55</v>
      </c>
      <c r="H133" s="254">
        <f t="shared" si="47"/>
        <v>6.1268503737798561</v>
      </c>
      <c r="I133" s="13">
        <f t="shared" si="51"/>
        <v>0.24625542488556462</v>
      </c>
      <c r="Z133" s="12"/>
      <c r="AA133" s="264"/>
    </row>
    <row r="134" spans="1:27" s="3" customFormat="1" ht="17.25" customHeight="1" x14ac:dyDescent="0.15">
      <c r="B134" s="3">
        <v>19</v>
      </c>
      <c r="C134" s="3">
        <f>C131-A$131</f>
        <v>45</v>
      </c>
      <c r="D134" s="35">
        <f t="shared" si="50"/>
        <v>51.45</v>
      </c>
      <c r="E134" s="15">
        <f t="shared" si="49"/>
        <v>0.45</v>
      </c>
      <c r="F134" s="251">
        <v>60</v>
      </c>
      <c r="G134" s="36">
        <v>60</v>
      </c>
      <c r="H134" s="254">
        <f t="shared" si="47"/>
        <v>5.8901102050662937</v>
      </c>
      <c r="I134" s="13">
        <f t="shared" si="51"/>
        <v>0.2367401687135624</v>
      </c>
      <c r="Z134" s="12"/>
      <c r="AA134" s="264"/>
    </row>
    <row r="135" spans="1:27" s="3" customFormat="1" ht="17.25" customHeight="1" x14ac:dyDescent="0.15">
      <c r="C135" s="3">
        <v>44</v>
      </c>
      <c r="D135" s="35">
        <f t="shared" si="50"/>
        <v>51.45</v>
      </c>
      <c r="E135" s="15">
        <f t="shared" si="49"/>
        <v>0.44</v>
      </c>
      <c r="F135" s="251">
        <v>75</v>
      </c>
      <c r="G135" s="36">
        <v>75</v>
      </c>
      <c r="H135" s="254">
        <f t="shared" si="47"/>
        <v>5.66251762509137</v>
      </c>
      <c r="I135" s="13">
        <f t="shared" si="51"/>
        <v>0.22759257997492366</v>
      </c>
      <c r="Z135" s="12"/>
      <c r="AA135" s="264"/>
    </row>
    <row r="136" spans="1:27" s="3" customFormat="1" ht="17.25" customHeight="1" x14ac:dyDescent="0.15">
      <c r="C136" s="3">
        <v>43</v>
      </c>
      <c r="D136" s="35">
        <f t="shared" si="50"/>
        <v>51.45</v>
      </c>
      <c r="E136" s="15">
        <f t="shared" si="49"/>
        <v>0.43</v>
      </c>
      <c r="F136" s="251">
        <v>90</v>
      </c>
      <c r="G136" s="36">
        <v>90</v>
      </c>
      <c r="H136" s="254">
        <f t="shared" si="47"/>
        <v>5.4437191730115568</v>
      </c>
      <c r="I136" s="13">
        <f t="shared" si="51"/>
        <v>0.21879845207981319</v>
      </c>
      <c r="Z136" s="12"/>
      <c r="AA136" s="264"/>
    </row>
    <row r="137" spans="1:27" s="3" customFormat="1" ht="17.25" customHeight="1" x14ac:dyDescent="0.15">
      <c r="B137" s="3">
        <v>20</v>
      </c>
      <c r="C137" s="3">
        <f>C134-A$131</f>
        <v>42</v>
      </c>
      <c r="D137" s="35">
        <f t="shared" si="50"/>
        <v>51.45</v>
      </c>
      <c r="E137" s="15">
        <f t="shared" si="49"/>
        <v>0.42</v>
      </c>
      <c r="F137" s="251">
        <v>105</v>
      </c>
      <c r="G137" s="36">
        <v>105</v>
      </c>
      <c r="H137" s="254">
        <f t="shared" si="47"/>
        <v>5.2333750456336032</v>
      </c>
      <c r="I137" s="13">
        <f t="shared" si="51"/>
        <v>0.2103441273779536</v>
      </c>
      <c r="Z137" s="12"/>
      <c r="AA137" s="264"/>
    </row>
    <row r="138" spans="1:27" s="3" customFormat="1" ht="17.25" customHeight="1" x14ac:dyDescent="0.15">
      <c r="A138" s="3">
        <f>A131</f>
        <v>3</v>
      </c>
      <c r="C138" s="3">
        <f>C137-A$138</f>
        <v>39</v>
      </c>
      <c r="D138" s="35">
        <f t="shared" si="50"/>
        <v>51.45</v>
      </c>
      <c r="E138" s="15">
        <f t="shared" si="49"/>
        <v>0.39</v>
      </c>
      <c r="F138" s="251">
        <v>120</v>
      </c>
      <c r="G138" s="36">
        <v>120</v>
      </c>
      <c r="H138" s="254">
        <f t="shared" si="47"/>
        <v>4.6498645041824416</v>
      </c>
      <c r="I138" s="13">
        <f t="shared" si="51"/>
        <v>0.58351054145116166</v>
      </c>
      <c r="Z138" s="12"/>
      <c r="AA138" s="264"/>
    </row>
    <row r="139" spans="1:27" s="3" customFormat="1" ht="17.25" hidden="1" customHeight="1" x14ac:dyDescent="0.15">
      <c r="C139" s="3">
        <f t="shared" ref="C139:C146" si="53">C138-A$138</f>
        <v>36</v>
      </c>
      <c r="D139" s="35">
        <f t="shared" si="50"/>
        <v>51.45</v>
      </c>
      <c r="E139" s="15">
        <f t="shared" si="49"/>
        <v>0.36</v>
      </c>
      <c r="F139" s="54"/>
      <c r="G139" s="3">
        <v>150</v>
      </c>
      <c r="H139" s="253">
        <f t="shared" si="47"/>
        <v>4.1314141865859995</v>
      </c>
      <c r="I139" s="13">
        <f t="shared" si="51"/>
        <v>0.51845031759644211</v>
      </c>
      <c r="Z139" s="12"/>
      <c r="AA139" s="264"/>
    </row>
    <row r="140" spans="1:27" s="3" customFormat="1" ht="17.25" customHeight="1" x14ac:dyDescent="0.15">
      <c r="C140" s="3">
        <v>38</v>
      </c>
      <c r="D140" s="35">
        <f t="shared" si="50"/>
        <v>51.45</v>
      </c>
      <c r="E140" s="15">
        <f t="shared" si="49"/>
        <v>0.38</v>
      </c>
      <c r="F140" s="251">
        <v>180</v>
      </c>
      <c r="G140" s="36">
        <v>180</v>
      </c>
      <c r="H140" s="254">
        <f t="shared" si="47"/>
        <v>4.4701947489153095</v>
      </c>
      <c r="I140" s="13">
        <f t="shared" si="51"/>
        <v>-0.33878056232931009</v>
      </c>
      <c r="Z140" s="12"/>
      <c r="AA140" s="264"/>
    </row>
    <row r="141" spans="1:27" s="3" customFormat="1" ht="17.25" hidden="1" customHeight="1" x14ac:dyDescent="0.15">
      <c r="C141" s="3">
        <f t="shared" si="53"/>
        <v>35</v>
      </c>
      <c r="D141" s="35">
        <f t="shared" si="50"/>
        <v>51.45</v>
      </c>
      <c r="E141" s="15">
        <f t="shared" si="49"/>
        <v>0.35</v>
      </c>
      <c r="F141" s="54"/>
      <c r="G141" s="3">
        <v>210</v>
      </c>
      <c r="H141" s="253">
        <f t="shared" si="47"/>
        <v>3.9717772390699175</v>
      </c>
      <c r="I141" s="13">
        <f t="shared" si="51"/>
        <v>0.49841750984539201</v>
      </c>
      <c r="Z141" s="12"/>
      <c r="AA141" s="264"/>
    </row>
    <row r="142" spans="1:27" s="3" customFormat="1" ht="17.25" customHeight="1" x14ac:dyDescent="0.15">
      <c r="C142" s="3">
        <f t="shared" si="53"/>
        <v>32</v>
      </c>
      <c r="D142" s="35">
        <f t="shared" si="50"/>
        <v>51.45</v>
      </c>
      <c r="E142" s="15">
        <f>C142/100</f>
        <v>0.32</v>
      </c>
      <c r="F142" s="251">
        <v>240</v>
      </c>
      <c r="G142" s="36">
        <v>240</v>
      </c>
      <c r="H142" s="254">
        <f t="shared" si="47"/>
        <v>3.5289322552717999</v>
      </c>
      <c r="I142" s="13">
        <f t="shared" si="51"/>
        <v>0.44284498379811765</v>
      </c>
      <c r="Z142" s="12"/>
      <c r="AA142" s="264"/>
    </row>
    <row r="143" spans="1:27" s="3" customFormat="1" ht="17.25" hidden="1" customHeight="1" x14ac:dyDescent="0.15">
      <c r="C143" s="3">
        <f t="shared" si="53"/>
        <v>29</v>
      </c>
      <c r="D143" s="35">
        <f t="shared" si="50"/>
        <v>51.45</v>
      </c>
      <c r="E143" s="15">
        <f>C143/100</f>
        <v>0.28999999999999998</v>
      </c>
      <c r="F143" s="54"/>
      <c r="G143" s="3">
        <v>270</v>
      </c>
      <c r="H143" s="253">
        <f t="shared" si="47"/>
        <v>3.1354635752970754</v>
      </c>
      <c r="I143" s="13">
        <f t="shared" si="51"/>
        <v>0.39346867997472446</v>
      </c>
      <c r="Z143" s="12"/>
      <c r="AA143" s="264"/>
    </row>
    <row r="144" spans="1:27" s="3" customFormat="1" ht="17.25" customHeight="1" x14ac:dyDescent="0.15">
      <c r="C144" s="3">
        <f t="shared" si="53"/>
        <v>26</v>
      </c>
      <c r="D144" s="35">
        <f t="shared" si="50"/>
        <v>51.45</v>
      </c>
      <c r="E144" s="15">
        <f>C144/100</f>
        <v>0.26</v>
      </c>
      <c r="F144" s="251">
        <v>300</v>
      </c>
      <c r="G144" s="36">
        <v>300</v>
      </c>
      <c r="H144" s="254">
        <f t="shared" si="47"/>
        <v>2.7858658429410745</v>
      </c>
      <c r="I144" s="13">
        <f t="shared" si="51"/>
        <v>0.34959773235600089</v>
      </c>
      <c r="Z144" s="12"/>
      <c r="AA144" s="264"/>
    </row>
    <row r="145" spans="3:27" s="3" customFormat="1" ht="17.25" hidden="1" customHeight="1" x14ac:dyDescent="0.15">
      <c r="C145" s="3">
        <f t="shared" si="53"/>
        <v>23</v>
      </c>
      <c r="D145" s="35">
        <f t="shared" si="50"/>
        <v>51.45</v>
      </c>
      <c r="E145" s="15">
        <f>C145/100</f>
        <v>0.23</v>
      </c>
      <c r="F145" s="54"/>
      <c r="G145" s="3">
        <v>330</v>
      </c>
      <c r="H145" s="253">
        <f t="shared" si="47"/>
        <v>2.4752475378797687</v>
      </c>
      <c r="I145" s="13">
        <f t="shared" si="51"/>
        <v>0.31061830506130583</v>
      </c>
      <c r="Z145" s="12"/>
      <c r="AA145" s="264"/>
    </row>
    <row r="146" spans="3:27" s="3" customFormat="1" ht="17.25" customHeight="1" x14ac:dyDescent="0.15">
      <c r="C146" s="3">
        <f t="shared" si="53"/>
        <v>20</v>
      </c>
      <c r="D146" s="35">
        <f t="shared" si="50"/>
        <v>51.45</v>
      </c>
      <c r="E146" s="15">
        <f>C146/100</f>
        <v>0.2</v>
      </c>
      <c r="F146" s="251">
        <v>360</v>
      </c>
      <c r="G146" s="36">
        <v>360</v>
      </c>
      <c r="H146" s="254">
        <f t="shared" si="47"/>
        <v>2.1992625342330419</v>
      </c>
      <c r="I146" s="13">
        <f t="shared" si="51"/>
        <v>0.27598500364672685</v>
      </c>
      <c r="Z146" s="12"/>
      <c r="AA146" s="264"/>
    </row>
    <row r="147" spans="3:27" s="3" customFormat="1" ht="17.25" customHeight="1" x14ac:dyDescent="0.15">
      <c r="C147" s="3" t="s">
        <v>23</v>
      </c>
      <c r="D147" s="11" t="s">
        <v>23</v>
      </c>
      <c r="E147" s="15" t="s">
        <v>23</v>
      </c>
      <c r="F147" s="3" t="s">
        <v>23</v>
      </c>
      <c r="G147" s="10" t="s">
        <v>23</v>
      </c>
      <c r="Z147" s="12"/>
      <c r="AA147" s="264"/>
    </row>
    <row r="148" spans="3:27" s="3" customFormat="1" ht="17.25" customHeight="1" x14ac:dyDescent="0.15">
      <c r="C148" s="3" t="s">
        <v>23</v>
      </c>
      <c r="D148" s="11" t="s">
        <v>23</v>
      </c>
      <c r="E148" s="15" t="s">
        <v>23</v>
      </c>
      <c r="F148" s="3" t="s">
        <v>23</v>
      </c>
      <c r="G148" s="10" t="s">
        <v>23</v>
      </c>
      <c r="AA148" s="264"/>
    </row>
    <row r="149" spans="3:27" s="3" customFormat="1" ht="17.25" customHeight="1" x14ac:dyDescent="0.15">
      <c r="C149" s="3" t="s">
        <v>23</v>
      </c>
      <c r="D149" s="11" t="s">
        <v>23</v>
      </c>
      <c r="E149" s="15" t="s">
        <v>23</v>
      </c>
      <c r="F149" s="3" t="s">
        <v>23</v>
      </c>
      <c r="G149" s="10" t="s">
        <v>23</v>
      </c>
      <c r="AA149" s="264"/>
    </row>
    <row r="150" spans="3:27" s="3" customFormat="1" ht="17.25" customHeight="1" x14ac:dyDescent="0.15">
      <c r="C150" s="3" t="s">
        <v>23</v>
      </c>
      <c r="D150" s="11" t="s">
        <v>23</v>
      </c>
      <c r="E150" s="15" t="s">
        <v>23</v>
      </c>
      <c r="F150" s="3" t="s">
        <v>23</v>
      </c>
      <c r="G150" s="10" t="s">
        <v>23</v>
      </c>
      <c r="AA150" s="264"/>
    </row>
    <row r="151" spans="3:27" s="3" customFormat="1" ht="17.25" customHeight="1" x14ac:dyDescent="0.15">
      <c r="C151" s="3" t="s">
        <v>23</v>
      </c>
      <c r="D151" s="11" t="s">
        <v>23</v>
      </c>
      <c r="E151" s="15" t="s">
        <v>23</v>
      </c>
      <c r="F151" s="3" t="s">
        <v>23</v>
      </c>
      <c r="G151" s="10" t="s">
        <v>23</v>
      </c>
      <c r="AA151" s="264"/>
    </row>
    <row r="152" spans="3:27" s="3" customFormat="1" ht="17.25" customHeight="1" x14ac:dyDescent="0.15">
      <c r="C152" s="3" t="s">
        <v>23</v>
      </c>
      <c r="D152" s="11" t="s">
        <v>23</v>
      </c>
      <c r="E152" s="15" t="s">
        <v>23</v>
      </c>
      <c r="F152" s="3" t="s">
        <v>23</v>
      </c>
      <c r="G152" s="10" t="s">
        <v>23</v>
      </c>
      <c r="AA152" s="264"/>
    </row>
    <row r="153" spans="3:27" s="3" customFormat="1" ht="17.25" customHeight="1" x14ac:dyDescent="0.15">
      <c r="C153" s="3" t="s">
        <v>23</v>
      </c>
      <c r="D153" s="11" t="s">
        <v>23</v>
      </c>
      <c r="E153" s="15" t="s">
        <v>23</v>
      </c>
      <c r="F153" s="3" t="s">
        <v>23</v>
      </c>
      <c r="G153" s="10" t="s">
        <v>23</v>
      </c>
      <c r="AA153" s="264"/>
    </row>
    <row r="154" spans="3:27" s="3" customFormat="1" ht="17.25" customHeight="1" x14ac:dyDescent="0.15">
      <c r="C154" s="3" t="s">
        <v>23</v>
      </c>
      <c r="D154" s="11" t="s">
        <v>23</v>
      </c>
      <c r="E154" s="15" t="s">
        <v>23</v>
      </c>
      <c r="F154" s="3" t="s">
        <v>23</v>
      </c>
      <c r="G154" s="10" t="s">
        <v>23</v>
      </c>
      <c r="AA154" s="264"/>
    </row>
    <row r="155" spans="3:27" s="3" customFormat="1" ht="17.25" customHeight="1" x14ac:dyDescent="0.15">
      <c r="C155" s="3" t="s">
        <v>23</v>
      </c>
      <c r="D155" s="11" t="s">
        <v>23</v>
      </c>
      <c r="E155" s="15" t="s">
        <v>23</v>
      </c>
      <c r="F155" s="3" t="s">
        <v>23</v>
      </c>
      <c r="G155" s="10" t="s">
        <v>23</v>
      </c>
      <c r="AA155" s="264"/>
    </row>
    <row r="156" spans="3:27" s="3" customFormat="1" ht="17.25" customHeight="1" x14ac:dyDescent="0.15">
      <c r="C156" s="3" t="s">
        <v>23</v>
      </c>
      <c r="D156" s="11" t="s">
        <v>23</v>
      </c>
      <c r="E156" s="15" t="s">
        <v>23</v>
      </c>
      <c r="F156" s="3" t="s">
        <v>23</v>
      </c>
      <c r="G156" s="10" t="s">
        <v>23</v>
      </c>
      <c r="AA156" s="264"/>
    </row>
    <row r="157" spans="3:27" s="3" customFormat="1" ht="17.25" customHeight="1" x14ac:dyDescent="0.15">
      <c r="C157" s="3" t="s">
        <v>23</v>
      </c>
      <c r="D157" s="11" t="s">
        <v>23</v>
      </c>
      <c r="E157" s="15" t="s">
        <v>23</v>
      </c>
      <c r="F157" s="3" t="s">
        <v>23</v>
      </c>
      <c r="G157" s="10" t="s">
        <v>23</v>
      </c>
      <c r="AA157" s="264"/>
    </row>
    <row r="158" spans="3:27" s="3" customFormat="1" ht="17.25" customHeight="1" x14ac:dyDescent="0.15">
      <c r="C158" s="3" t="s">
        <v>23</v>
      </c>
      <c r="D158" s="11" t="s">
        <v>23</v>
      </c>
      <c r="E158" s="15" t="s">
        <v>23</v>
      </c>
      <c r="F158" s="3" t="s">
        <v>23</v>
      </c>
      <c r="G158" s="10" t="s">
        <v>23</v>
      </c>
      <c r="AA158" s="264"/>
    </row>
    <row r="159" spans="3:27" s="3" customFormat="1" ht="17.25" customHeight="1" x14ac:dyDescent="0.15">
      <c r="C159" s="3" t="s">
        <v>23</v>
      </c>
      <c r="D159" s="11" t="s">
        <v>23</v>
      </c>
      <c r="E159" s="15" t="s">
        <v>23</v>
      </c>
      <c r="F159" s="3" t="s">
        <v>23</v>
      </c>
      <c r="G159" s="10" t="s">
        <v>23</v>
      </c>
      <c r="AA159" s="264"/>
    </row>
    <row r="160" spans="3:27" s="3" customFormat="1" ht="17.25" customHeight="1" x14ac:dyDescent="0.15">
      <c r="C160" s="3" t="s">
        <v>23</v>
      </c>
      <c r="D160" s="11" t="s">
        <v>23</v>
      </c>
      <c r="E160" s="15" t="s">
        <v>23</v>
      </c>
      <c r="F160" s="3" t="s">
        <v>23</v>
      </c>
      <c r="G160" s="10" t="s">
        <v>23</v>
      </c>
      <c r="AA160" s="264"/>
    </row>
    <row r="161" spans="3:27" s="3" customFormat="1" ht="17.25" customHeight="1" x14ac:dyDescent="0.15">
      <c r="C161" s="3" t="s">
        <v>23</v>
      </c>
      <c r="D161" s="11" t="s">
        <v>23</v>
      </c>
      <c r="E161" s="15" t="s">
        <v>23</v>
      </c>
      <c r="F161" s="3" t="s">
        <v>23</v>
      </c>
      <c r="G161" s="10" t="s">
        <v>23</v>
      </c>
      <c r="AA161" s="264"/>
    </row>
    <row r="162" spans="3:27" s="3" customFormat="1" ht="17.25" customHeight="1" x14ac:dyDescent="0.15">
      <c r="C162" s="3" t="s">
        <v>23</v>
      </c>
      <c r="D162" s="11" t="s">
        <v>23</v>
      </c>
      <c r="E162" s="15" t="s">
        <v>23</v>
      </c>
      <c r="F162" s="3" t="s">
        <v>23</v>
      </c>
      <c r="G162" s="10" t="s">
        <v>23</v>
      </c>
      <c r="AA162" s="264"/>
    </row>
    <row r="163" spans="3:27" s="3" customFormat="1" ht="17.25" customHeight="1" x14ac:dyDescent="0.15">
      <c r="C163" s="3" t="s">
        <v>23</v>
      </c>
      <c r="D163" s="11" t="s">
        <v>23</v>
      </c>
      <c r="E163" s="15" t="s">
        <v>23</v>
      </c>
      <c r="F163" s="3" t="s">
        <v>23</v>
      </c>
      <c r="G163" s="10" t="s">
        <v>23</v>
      </c>
      <c r="AA163" s="264"/>
    </row>
    <row r="164" spans="3:27" s="3" customFormat="1" ht="17.25" customHeight="1" x14ac:dyDescent="0.15">
      <c r="C164" s="3" t="s">
        <v>23</v>
      </c>
      <c r="D164" s="11" t="s">
        <v>23</v>
      </c>
      <c r="E164" s="15" t="s">
        <v>23</v>
      </c>
      <c r="F164" s="3" t="s">
        <v>23</v>
      </c>
      <c r="G164" s="10" t="s">
        <v>23</v>
      </c>
      <c r="AA164" s="264"/>
    </row>
    <row r="165" spans="3:27" s="3" customFormat="1" ht="17.25" customHeight="1" x14ac:dyDescent="0.15">
      <c r="C165" s="3" t="s">
        <v>23</v>
      </c>
      <c r="D165" s="11" t="s">
        <v>23</v>
      </c>
      <c r="E165" s="15" t="s">
        <v>23</v>
      </c>
      <c r="F165" s="3" t="s">
        <v>23</v>
      </c>
      <c r="G165" s="10" t="s">
        <v>23</v>
      </c>
      <c r="AA165" s="264"/>
    </row>
    <row r="166" spans="3:27" s="3" customFormat="1" ht="17.25" customHeight="1" x14ac:dyDescent="0.15">
      <c r="C166" s="3" t="s">
        <v>23</v>
      </c>
      <c r="D166" s="11" t="s">
        <v>23</v>
      </c>
      <c r="E166" s="15" t="s">
        <v>23</v>
      </c>
      <c r="F166" s="3" t="s">
        <v>23</v>
      </c>
      <c r="G166" s="10" t="s">
        <v>23</v>
      </c>
      <c r="AA166" s="264"/>
    </row>
    <row r="167" spans="3:27" s="3" customFormat="1" ht="17.25" customHeight="1" x14ac:dyDescent="0.15">
      <c r="C167" s="3" t="s">
        <v>23</v>
      </c>
      <c r="D167" s="11" t="s">
        <v>23</v>
      </c>
      <c r="E167" s="15" t="s">
        <v>23</v>
      </c>
      <c r="F167" s="3" t="s">
        <v>23</v>
      </c>
      <c r="G167" s="10" t="s">
        <v>23</v>
      </c>
      <c r="AA167" s="264"/>
    </row>
    <row r="168" spans="3:27" s="3" customFormat="1" ht="17.25" customHeight="1" x14ac:dyDescent="0.15">
      <c r="C168" s="3" t="s">
        <v>23</v>
      </c>
      <c r="D168" s="11" t="s">
        <v>23</v>
      </c>
      <c r="E168" s="15" t="s">
        <v>23</v>
      </c>
      <c r="F168" s="3" t="s">
        <v>23</v>
      </c>
      <c r="G168" s="10" t="s">
        <v>23</v>
      </c>
      <c r="AA168" s="264"/>
    </row>
    <row r="169" spans="3:27" s="3" customFormat="1" ht="17.25" customHeight="1" x14ac:dyDescent="0.15">
      <c r="C169" s="3" t="s">
        <v>23</v>
      </c>
      <c r="D169" s="11" t="s">
        <v>23</v>
      </c>
      <c r="E169" s="15" t="s">
        <v>23</v>
      </c>
      <c r="F169" s="3" t="s">
        <v>23</v>
      </c>
      <c r="G169" s="10" t="s">
        <v>23</v>
      </c>
      <c r="AA169" s="264"/>
    </row>
    <row r="170" spans="3:27" s="3" customFormat="1" ht="17.25" customHeight="1" x14ac:dyDescent="0.15">
      <c r="C170" s="3" t="s">
        <v>23</v>
      </c>
      <c r="D170" s="11" t="s">
        <v>23</v>
      </c>
      <c r="E170" s="15" t="s">
        <v>23</v>
      </c>
      <c r="F170" s="3" t="s">
        <v>23</v>
      </c>
      <c r="G170" s="10" t="s">
        <v>23</v>
      </c>
      <c r="AA170" s="264"/>
    </row>
    <row r="171" spans="3:27" s="3" customFormat="1" ht="17.25" customHeight="1" x14ac:dyDescent="0.15">
      <c r="C171" s="3" t="s">
        <v>23</v>
      </c>
      <c r="D171" s="11" t="s">
        <v>23</v>
      </c>
      <c r="E171" s="15" t="s">
        <v>23</v>
      </c>
      <c r="F171" s="3" t="s">
        <v>23</v>
      </c>
      <c r="G171" s="10" t="s">
        <v>23</v>
      </c>
      <c r="AA171" s="264"/>
    </row>
    <row r="172" spans="3:27" s="3" customFormat="1" ht="17.25" customHeight="1" x14ac:dyDescent="0.15">
      <c r="C172" s="3" t="s">
        <v>23</v>
      </c>
      <c r="D172" s="11" t="s">
        <v>23</v>
      </c>
      <c r="E172" s="15" t="s">
        <v>23</v>
      </c>
      <c r="F172" s="3" t="s">
        <v>23</v>
      </c>
      <c r="G172" s="10" t="s">
        <v>23</v>
      </c>
      <c r="AA172" s="264"/>
    </row>
    <row r="173" spans="3:27" s="3" customFormat="1" ht="17.25" customHeight="1" x14ac:dyDescent="0.15">
      <c r="C173" s="3" t="s">
        <v>23</v>
      </c>
      <c r="D173" s="11" t="s">
        <v>23</v>
      </c>
      <c r="E173" s="15" t="s">
        <v>23</v>
      </c>
      <c r="F173" s="3" t="s">
        <v>23</v>
      </c>
      <c r="G173" s="10" t="s">
        <v>23</v>
      </c>
      <c r="AA173" s="264"/>
    </row>
    <row r="174" spans="3:27" s="3" customFormat="1" ht="17.25" customHeight="1" x14ac:dyDescent="0.15">
      <c r="C174" s="3" t="s">
        <v>23</v>
      </c>
      <c r="D174" s="11" t="s">
        <v>23</v>
      </c>
      <c r="E174" s="15" t="s">
        <v>23</v>
      </c>
      <c r="F174" s="3" t="s">
        <v>23</v>
      </c>
      <c r="G174" s="10" t="s">
        <v>23</v>
      </c>
      <c r="AA174" s="264"/>
    </row>
    <row r="175" spans="3:27" s="3" customFormat="1" ht="17.25" customHeight="1" x14ac:dyDescent="0.15">
      <c r="C175" s="3" t="s">
        <v>23</v>
      </c>
      <c r="D175" s="11" t="s">
        <v>23</v>
      </c>
      <c r="E175" s="15" t="s">
        <v>23</v>
      </c>
      <c r="F175" s="3" t="s">
        <v>23</v>
      </c>
      <c r="G175" s="10" t="s">
        <v>23</v>
      </c>
      <c r="AA175" s="264"/>
    </row>
    <row r="176" spans="3:27" s="3" customFormat="1" ht="17.25" customHeight="1" x14ac:dyDescent="0.15">
      <c r="C176" s="3" t="s">
        <v>23</v>
      </c>
      <c r="D176" s="11" t="s">
        <v>23</v>
      </c>
      <c r="E176" s="15" t="s">
        <v>23</v>
      </c>
      <c r="F176" s="3" t="s">
        <v>23</v>
      </c>
      <c r="G176" s="10" t="s">
        <v>23</v>
      </c>
      <c r="AA176" s="264"/>
    </row>
    <row r="177" spans="3:27" s="3" customFormat="1" ht="17.25" customHeight="1" x14ac:dyDescent="0.15">
      <c r="C177" s="3" t="s">
        <v>23</v>
      </c>
      <c r="D177" s="11" t="s">
        <v>23</v>
      </c>
      <c r="E177" s="15" t="s">
        <v>23</v>
      </c>
      <c r="F177" s="3" t="s">
        <v>23</v>
      </c>
      <c r="G177" s="10" t="s">
        <v>23</v>
      </c>
      <c r="AA177" s="264"/>
    </row>
    <row r="178" spans="3:27" s="3" customFormat="1" ht="17.25" customHeight="1" x14ac:dyDescent="0.15">
      <c r="C178" s="3" t="s">
        <v>23</v>
      </c>
      <c r="D178" s="11" t="s">
        <v>23</v>
      </c>
      <c r="E178" s="15" t="s">
        <v>23</v>
      </c>
      <c r="F178" s="3" t="s">
        <v>23</v>
      </c>
      <c r="G178" s="10" t="s">
        <v>23</v>
      </c>
      <c r="AA178" s="264"/>
    </row>
    <row r="179" spans="3:27" s="3" customFormat="1" ht="17.25" customHeight="1" x14ac:dyDescent="0.15">
      <c r="C179" s="3" t="s">
        <v>23</v>
      </c>
      <c r="D179" s="11" t="s">
        <v>23</v>
      </c>
      <c r="E179" s="15" t="s">
        <v>23</v>
      </c>
      <c r="F179" s="3" t="s">
        <v>23</v>
      </c>
      <c r="G179" s="10" t="s">
        <v>23</v>
      </c>
      <c r="AA179" s="264"/>
    </row>
    <row r="180" spans="3:27" s="3" customFormat="1" ht="17.25" customHeight="1" x14ac:dyDescent="0.15">
      <c r="C180" s="3" t="s">
        <v>23</v>
      </c>
      <c r="D180" s="11" t="s">
        <v>23</v>
      </c>
      <c r="E180" s="15" t="s">
        <v>23</v>
      </c>
      <c r="F180" s="3" t="s">
        <v>23</v>
      </c>
      <c r="G180" s="10" t="s">
        <v>23</v>
      </c>
      <c r="AA180" s="264"/>
    </row>
    <row r="181" spans="3:27" s="3" customFormat="1" ht="17.25" customHeight="1" x14ac:dyDescent="0.15">
      <c r="C181" s="3" t="s">
        <v>23</v>
      </c>
      <c r="D181" s="11" t="s">
        <v>23</v>
      </c>
      <c r="E181" s="15" t="s">
        <v>23</v>
      </c>
      <c r="F181" s="3" t="s">
        <v>23</v>
      </c>
      <c r="G181" s="10" t="s">
        <v>23</v>
      </c>
      <c r="AA181" s="264"/>
    </row>
    <row r="182" spans="3:27" s="3" customFormat="1" ht="17.25" customHeight="1" x14ac:dyDescent="0.15">
      <c r="C182" s="3" t="s">
        <v>23</v>
      </c>
      <c r="D182" s="11" t="s">
        <v>23</v>
      </c>
      <c r="E182" s="15" t="s">
        <v>23</v>
      </c>
      <c r="F182" s="3" t="s">
        <v>23</v>
      </c>
      <c r="G182" s="10" t="s">
        <v>23</v>
      </c>
      <c r="AA182" s="264"/>
    </row>
    <row r="183" spans="3:27" s="3" customFormat="1" ht="17.25" customHeight="1" x14ac:dyDescent="0.15">
      <c r="C183" s="3" t="s">
        <v>23</v>
      </c>
      <c r="D183" s="11" t="s">
        <v>23</v>
      </c>
      <c r="E183" s="15" t="s">
        <v>23</v>
      </c>
      <c r="F183" s="3" t="s">
        <v>23</v>
      </c>
      <c r="G183" s="10" t="s">
        <v>23</v>
      </c>
      <c r="AA183" s="264"/>
    </row>
    <row r="184" spans="3:27" s="3" customFormat="1" ht="17.25" customHeight="1" x14ac:dyDescent="0.15">
      <c r="C184" s="3" t="s">
        <v>23</v>
      </c>
      <c r="D184" s="11" t="s">
        <v>23</v>
      </c>
      <c r="E184" s="15" t="s">
        <v>23</v>
      </c>
      <c r="F184" s="3" t="s">
        <v>23</v>
      </c>
      <c r="G184" s="10" t="s">
        <v>23</v>
      </c>
      <c r="AA184" s="264"/>
    </row>
    <row r="185" spans="3:27" s="3" customFormat="1" ht="17.25" customHeight="1" x14ac:dyDescent="0.15">
      <c r="C185" s="3" t="s">
        <v>23</v>
      </c>
      <c r="D185" s="11" t="s">
        <v>23</v>
      </c>
      <c r="E185" s="15" t="s">
        <v>23</v>
      </c>
      <c r="F185" s="3" t="s">
        <v>23</v>
      </c>
      <c r="G185" s="10" t="s">
        <v>23</v>
      </c>
      <c r="AA185" s="264"/>
    </row>
    <row r="186" spans="3:27" s="3" customFormat="1" ht="17.25" customHeight="1" x14ac:dyDescent="0.15">
      <c r="C186" s="3" t="s">
        <v>23</v>
      </c>
      <c r="D186" s="11" t="s">
        <v>23</v>
      </c>
      <c r="E186" s="15" t="s">
        <v>23</v>
      </c>
      <c r="F186" s="3" t="s">
        <v>23</v>
      </c>
      <c r="G186" s="10" t="s">
        <v>23</v>
      </c>
      <c r="AA186" s="264"/>
    </row>
    <row r="187" spans="3:27" s="3" customFormat="1" ht="17.25" customHeight="1" x14ac:dyDescent="0.15">
      <c r="C187" s="3" t="s">
        <v>23</v>
      </c>
      <c r="D187" s="11" t="s">
        <v>23</v>
      </c>
      <c r="E187" s="15" t="s">
        <v>23</v>
      </c>
      <c r="F187" s="3" t="s">
        <v>23</v>
      </c>
      <c r="G187" s="10" t="s">
        <v>23</v>
      </c>
      <c r="AA187" s="264"/>
    </row>
    <row r="188" spans="3:27" s="3" customFormat="1" ht="17.25" customHeight="1" x14ac:dyDescent="0.15">
      <c r="C188" s="3" t="s">
        <v>23</v>
      </c>
      <c r="D188" s="11" t="s">
        <v>23</v>
      </c>
      <c r="E188" s="15" t="s">
        <v>23</v>
      </c>
      <c r="F188" s="3" t="s">
        <v>23</v>
      </c>
      <c r="G188" s="10" t="s">
        <v>23</v>
      </c>
      <c r="AA188" s="264"/>
    </row>
    <row r="189" spans="3:27" s="3" customFormat="1" ht="17.25" customHeight="1" x14ac:dyDescent="0.15">
      <c r="C189" s="3" t="s">
        <v>23</v>
      </c>
      <c r="D189" s="11" t="s">
        <v>23</v>
      </c>
      <c r="E189" s="15" t="s">
        <v>23</v>
      </c>
      <c r="F189" s="3" t="s">
        <v>23</v>
      </c>
      <c r="G189" s="10" t="s">
        <v>23</v>
      </c>
      <c r="AA189" s="264"/>
    </row>
    <row r="190" spans="3:27" s="3" customFormat="1" ht="17.25" customHeight="1" x14ac:dyDescent="0.15">
      <c r="C190" s="3" t="s">
        <v>23</v>
      </c>
      <c r="D190" s="11" t="s">
        <v>23</v>
      </c>
      <c r="E190" s="15" t="s">
        <v>23</v>
      </c>
      <c r="F190" s="3" t="s">
        <v>23</v>
      </c>
      <c r="G190" s="10" t="s">
        <v>23</v>
      </c>
      <c r="AA190" s="264"/>
    </row>
    <row r="191" spans="3:27" s="3" customFormat="1" ht="17.25" customHeight="1" x14ac:dyDescent="0.15">
      <c r="C191" s="3" t="s">
        <v>23</v>
      </c>
      <c r="D191" s="11" t="s">
        <v>23</v>
      </c>
      <c r="E191" s="15" t="s">
        <v>23</v>
      </c>
      <c r="F191" s="3" t="s">
        <v>23</v>
      </c>
      <c r="G191" s="10" t="s">
        <v>23</v>
      </c>
      <c r="AA191" s="264"/>
    </row>
    <row r="192" spans="3:27" s="3" customFormat="1" ht="17.25" customHeight="1" x14ac:dyDescent="0.15">
      <c r="C192" s="3" t="s">
        <v>23</v>
      </c>
      <c r="D192" s="11" t="s">
        <v>23</v>
      </c>
      <c r="E192" s="15" t="s">
        <v>23</v>
      </c>
      <c r="F192" s="3" t="s">
        <v>23</v>
      </c>
      <c r="G192" s="10" t="s">
        <v>23</v>
      </c>
      <c r="AA192" s="264"/>
    </row>
    <row r="193" spans="3:27" s="3" customFormat="1" ht="17.25" customHeight="1" x14ac:dyDescent="0.15">
      <c r="C193" s="3" t="s">
        <v>23</v>
      </c>
      <c r="D193" s="11" t="s">
        <v>23</v>
      </c>
      <c r="E193" s="15" t="s">
        <v>23</v>
      </c>
      <c r="F193" s="3" t="s">
        <v>23</v>
      </c>
      <c r="G193" s="10" t="s">
        <v>23</v>
      </c>
      <c r="AA193" s="264"/>
    </row>
    <row r="194" spans="3:27" s="3" customFormat="1" ht="17.25" customHeight="1" x14ac:dyDescent="0.15">
      <c r="C194" s="3" t="s">
        <v>23</v>
      </c>
      <c r="D194" s="11" t="s">
        <v>23</v>
      </c>
      <c r="E194" s="15" t="s">
        <v>23</v>
      </c>
      <c r="F194" s="3" t="s">
        <v>23</v>
      </c>
      <c r="G194" s="10" t="s">
        <v>23</v>
      </c>
      <c r="AA194" s="264"/>
    </row>
    <row r="195" spans="3:27" s="3" customFormat="1" ht="17.25" customHeight="1" x14ac:dyDescent="0.15">
      <c r="C195" s="3" t="s">
        <v>23</v>
      </c>
      <c r="D195" s="11" t="s">
        <v>23</v>
      </c>
      <c r="E195" s="15" t="s">
        <v>23</v>
      </c>
      <c r="F195" s="3" t="s">
        <v>23</v>
      </c>
      <c r="G195" s="10" t="s">
        <v>23</v>
      </c>
      <c r="AA195" s="264"/>
    </row>
    <row r="196" spans="3:27" s="3" customFormat="1" ht="17.25" customHeight="1" x14ac:dyDescent="0.15">
      <c r="C196" s="3" t="s">
        <v>23</v>
      </c>
      <c r="D196" s="11" t="s">
        <v>23</v>
      </c>
      <c r="E196" s="15" t="s">
        <v>23</v>
      </c>
      <c r="F196" s="3" t="s">
        <v>23</v>
      </c>
      <c r="G196" s="10" t="s">
        <v>23</v>
      </c>
      <c r="AA196" s="264"/>
    </row>
    <row r="197" spans="3:27" s="3" customFormat="1" ht="17.25" customHeight="1" x14ac:dyDescent="0.15">
      <c r="C197" s="3" t="s">
        <v>23</v>
      </c>
      <c r="D197" s="11" t="s">
        <v>23</v>
      </c>
      <c r="E197" s="15" t="s">
        <v>23</v>
      </c>
      <c r="F197" s="3" t="s">
        <v>23</v>
      </c>
      <c r="G197" s="10" t="s">
        <v>23</v>
      </c>
      <c r="AA197" s="264"/>
    </row>
    <row r="198" spans="3:27" s="3" customFormat="1" ht="17.25" customHeight="1" x14ac:dyDescent="0.15">
      <c r="C198" s="3" t="s">
        <v>23</v>
      </c>
      <c r="D198" s="11" t="s">
        <v>23</v>
      </c>
      <c r="E198" s="15" t="s">
        <v>23</v>
      </c>
      <c r="F198" s="3" t="s">
        <v>23</v>
      </c>
      <c r="G198" s="10" t="s">
        <v>23</v>
      </c>
      <c r="AA198" s="264"/>
    </row>
    <row r="199" spans="3:27" s="3" customFormat="1" ht="17.25" customHeight="1" x14ac:dyDescent="0.15">
      <c r="C199" s="3" t="s">
        <v>23</v>
      </c>
      <c r="D199" s="11" t="s">
        <v>23</v>
      </c>
      <c r="E199" s="15" t="s">
        <v>23</v>
      </c>
      <c r="F199" s="3" t="s">
        <v>23</v>
      </c>
      <c r="G199" s="10" t="s">
        <v>23</v>
      </c>
      <c r="AA199" s="264"/>
    </row>
    <row r="200" spans="3:27" s="3" customFormat="1" ht="17.25" customHeight="1" x14ac:dyDescent="0.15">
      <c r="C200" s="3" t="s">
        <v>23</v>
      </c>
      <c r="D200" s="11" t="s">
        <v>23</v>
      </c>
      <c r="E200" s="15" t="s">
        <v>23</v>
      </c>
      <c r="F200" s="3" t="s">
        <v>23</v>
      </c>
      <c r="G200" s="10" t="s">
        <v>23</v>
      </c>
      <c r="AA200" s="264"/>
    </row>
    <row r="201" spans="3:27" s="3" customFormat="1" ht="17.25" customHeight="1" x14ac:dyDescent="0.15">
      <c r="C201" s="3" t="s">
        <v>23</v>
      </c>
      <c r="D201" s="11" t="s">
        <v>23</v>
      </c>
      <c r="E201" s="15" t="s">
        <v>23</v>
      </c>
      <c r="F201" s="3" t="s">
        <v>23</v>
      </c>
      <c r="G201" s="10" t="s">
        <v>23</v>
      </c>
      <c r="AA201" s="264"/>
    </row>
    <row r="202" spans="3:27" s="3" customFormat="1" ht="17.25" customHeight="1" x14ac:dyDescent="0.15">
      <c r="C202" s="3" t="s">
        <v>23</v>
      </c>
      <c r="D202" s="11" t="s">
        <v>23</v>
      </c>
      <c r="E202" s="15" t="s">
        <v>23</v>
      </c>
      <c r="F202" s="3" t="s">
        <v>23</v>
      </c>
      <c r="G202" s="10" t="s">
        <v>23</v>
      </c>
      <c r="AA202" s="264"/>
    </row>
    <row r="203" spans="3:27" s="3" customFormat="1" ht="17.25" customHeight="1" x14ac:dyDescent="0.15">
      <c r="C203" s="3" t="s">
        <v>23</v>
      </c>
      <c r="D203" s="11" t="s">
        <v>23</v>
      </c>
      <c r="E203" s="15" t="s">
        <v>23</v>
      </c>
      <c r="F203" s="3" t="s">
        <v>23</v>
      </c>
      <c r="G203" s="10" t="s">
        <v>23</v>
      </c>
      <c r="AA203" s="264"/>
    </row>
    <row r="204" spans="3:27" s="3" customFormat="1" ht="17.25" customHeight="1" x14ac:dyDescent="0.15">
      <c r="C204" s="3" t="s">
        <v>23</v>
      </c>
      <c r="D204" s="11" t="s">
        <v>23</v>
      </c>
      <c r="E204" s="15" t="s">
        <v>23</v>
      </c>
      <c r="F204" s="3" t="s">
        <v>23</v>
      </c>
      <c r="G204" s="10" t="s">
        <v>23</v>
      </c>
      <c r="AA204" s="264"/>
    </row>
    <row r="205" spans="3:27" s="3" customFormat="1" ht="17.25" customHeight="1" x14ac:dyDescent="0.15">
      <c r="C205" s="3" t="s">
        <v>23</v>
      </c>
      <c r="D205" s="11" t="s">
        <v>23</v>
      </c>
      <c r="E205" s="15" t="s">
        <v>23</v>
      </c>
      <c r="F205" s="3" t="s">
        <v>23</v>
      </c>
      <c r="G205" s="10" t="s">
        <v>23</v>
      </c>
      <c r="AA205" s="264"/>
    </row>
    <row r="206" spans="3:27" s="3" customFormat="1" ht="17.25" customHeight="1" x14ac:dyDescent="0.15">
      <c r="C206" s="3" t="s">
        <v>23</v>
      </c>
      <c r="D206" s="11" t="s">
        <v>23</v>
      </c>
      <c r="E206" s="15" t="s">
        <v>23</v>
      </c>
      <c r="F206" s="3" t="s">
        <v>23</v>
      </c>
      <c r="G206" s="10" t="s">
        <v>23</v>
      </c>
      <c r="AA206" s="264"/>
    </row>
    <row r="207" spans="3:27" s="3" customFormat="1" ht="17.25" customHeight="1" x14ac:dyDescent="0.15">
      <c r="C207" s="3" t="s">
        <v>23</v>
      </c>
      <c r="D207" s="11" t="s">
        <v>23</v>
      </c>
      <c r="E207" s="15" t="s">
        <v>23</v>
      </c>
      <c r="F207" s="3" t="s">
        <v>23</v>
      </c>
      <c r="G207" s="10" t="s">
        <v>23</v>
      </c>
      <c r="AA207" s="264"/>
    </row>
    <row r="208" spans="3:27" s="3" customFormat="1" ht="17.25" customHeight="1" x14ac:dyDescent="0.15">
      <c r="C208" s="3" t="s">
        <v>23</v>
      </c>
      <c r="D208" s="11" t="s">
        <v>23</v>
      </c>
      <c r="E208" s="15" t="s">
        <v>23</v>
      </c>
      <c r="F208" s="3" t="s">
        <v>23</v>
      </c>
      <c r="G208" s="10" t="s">
        <v>23</v>
      </c>
      <c r="AA208" s="264"/>
    </row>
    <row r="209" spans="3:27" s="3" customFormat="1" ht="17.25" customHeight="1" x14ac:dyDescent="0.15">
      <c r="C209" s="3" t="s">
        <v>23</v>
      </c>
      <c r="D209" s="11" t="s">
        <v>23</v>
      </c>
      <c r="E209" s="15" t="s">
        <v>23</v>
      </c>
      <c r="F209" s="3" t="s">
        <v>23</v>
      </c>
      <c r="G209" s="10" t="s">
        <v>23</v>
      </c>
      <c r="AA209" s="264"/>
    </row>
    <row r="210" spans="3:27" s="3" customFormat="1" ht="17.25" customHeight="1" x14ac:dyDescent="0.15">
      <c r="C210" s="3" t="s">
        <v>23</v>
      </c>
      <c r="D210" s="11" t="s">
        <v>23</v>
      </c>
      <c r="E210" s="15" t="s">
        <v>23</v>
      </c>
      <c r="F210" s="3" t="s">
        <v>23</v>
      </c>
      <c r="G210" s="10" t="s">
        <v>23</v>
      </c>
      <c r="AA210" s="264"/>
    </row>
    <row r="211" spans="3:27" s="3" customFormat="1" ht="17.25" customHeight="1" x14ac:dyDescent="0.15">
      <c r="C211" s="3" t="s">
        <v>23</v>
      </c>
      <c r="D211" s="11" t="s">
        <v>23</v>
      </c>
      <c r="E211" s="15" t="s">
        <v>23</v>
      </c>
      <c r="F211" s="3" t="s">
        <v>23</v>
      </c>
      <c r="G211" s="10" t="s">
        <v>23</v>
      </c>
      <c r="AA211" s="264"/>
    </row>
    <row r="212" spans="3:27" s="3" customFormat="1" ht="17.25" customHeight="1" x14ac:dyDescent="0.15">
      <c r="C212" s="3" t="s">
        <v>23</v>
      </c>
      <c r="D212" s="11" t="s">
        <v>23</v>
      </c>
      <c r="E212" s="15" t="s">
        <v>23</v>
      </c>
      <c r="F212" s="3" t="s">
        <v>23</v>
      </c>
      <c r="G212" s="10" t="s">
        <v>23</v>
      </c>
      <c r="AA212" s="264"/>
    </row>
    <row r="213" spans="3:27" s="3" customFormat="1" ht="17.25" customHeight="1" x14ac:dyDescent="0.15">
      <c r="C213" s="3" t="s">
        <v>23</v>
      </c>
      <c r="D213" s="11" t="s">
        <v>23</v>
      </c>
      <c r="E213" s="15" t="s">
        <v>23</v>
      </c>
      <c r="F213" s="3" t="s">
        <v>23</v>
      </c>
      <c r="G213" s="10" t="s">
        <v>23</v>
      </c>
      <c r="AA213" s="264"/>
    </row>
    <row r="214" spans="3:27" s="3" customFormat="1" ht="17.25" customHeight="1" x14ac:dyDescent="0.15">
      <c r="C214" s="3" t="s">
        <v>23</v>
      </c>
      <c r="D214" s="11" t="s">
        <v>23</v>
      </c>
      <c r="E214" s="15" t="s">
        <v>23</v>
      </c>
      <c r="F214" s="3" t="s">
        <v>23</v>
      </c>
      <c r="G214" s="10" t="s">
        <v>23</v>
      </c>
      <c r="AA214" s="264"/>
    </row>
    <row r="215" spans="3:27" s="3" customFormat="1" ht="17.25" customHeight="1" x14ac:dyDescent="0.15">
      <c r="C215" s="3" t="s">
        <v>23</v>
      </c>
      <c r="D215" s="11" t="s">
        <v>23</v>
      </c>
      <c r="E215" s="15" t="s">
        <v>23</v>
      </c>
      <c r="F215" s="3" t="s">
        <v>23</v>
      </c>
      <c r="G215" s="10" t="s">
        <v>23</v>
      </c>
      <c r="AA215" s="264"/>
    </row>
    <row r="216" spans="3:27" s="3" customFormat="1" ht="17.25" customHeight="1" x14ac:dyDescent="0.15">
      <c r="C216" s="3" t="s">
        <v>23</v>
      </c>
      <c r="D216" s="11" t="s">
        <v>23</v>
      </c>
      <c r="E216" s="15" t="s">
        <v>23</v>
      </c>
      <c r="F216" s="3" t="s">
        <v>23</v>
      </c>
      <c r="G216" s="10" t="s">
        <v>23</v>
      </c>
      <c r="AA216" s="264"/>
    </row>
    <row r="217" spans="3:27" s="3" customFormat="1" ht="17.25" customHeight="1" x14ac:dyDescent="0.15">
      <c r="C217" s="3" t="s">
        <v>23</v>
      </c>
      <c r="D217" s="11" t="s">
        <v>23</v>
      </c>
      <c r="E217" s="15" t="s">
        <v>23</v>
      </c>
      <c r="F217" s="3" t="s">
        <v>23</v>
      </c>
      <c r="G217" s="10" t="s">
        <v>23</v>
      </c>
      <c r="AA217" s="264"/>
    </row>
    <row r="218" spans="3:27" s="3" customFormat="1" ht="17.25" customHeight="1" x14ac:dyDescent="0.15">
      <c r="C218" s="3" t="s">
        <v>23</v>
      </c>
      <c r="D218" s="11" t="s">
        <v>23</v>
      </c>
      <c r="E218" s="15" t="s">
        <v>23</v>
      </c>
      <c r="F218" s="3" t="s">
        <v>23</v>
      </c>
      <c r="G218" s="10" t="s">
        <v>23</v>
      </c>
      <c r="AA218" s="264"/>
    </row>
    <row r="219" spans="3:27" s="3" customFormat="1" ht="17.25" customHeight="1" x14ac:dyDescent="0.15">
      <c r="C219" s="3" t="s">
        <v>23</v>
      </c>
      <c r="D219" s="11" t="s">
        <v>23</v>
      </c>
      <c r="E219" s="15" t="s">
        <v>23</v>
      </c>
      <c r="F219" s="3" t="s">
        <v>23</v>
      </c>
      <c r="G219" s="10" t="s">
        <v>23</v>
      </c>
      <c r="AA219" s="264"/>
    </row>
    <row r="220" spans="3:27" s="3" customFormat="1" ht="17.25" customHeight="1" x14ac:dyDescent="0.15">
      <c r="C220" s="3" t="s">
        <v>23</v>
      </c>
      <c r="D220" s="11" t="s">
        <v>23</v>
      </c>
      <c r="E220" s="15" t="s">
        <v>23</v>
      </c>
      <c r="F220" s="3" t="s">
        <v>23</v>
      </c>
      <c r="G220" s="10" t="s">
        <v>23</v>
      </c>
      <c r="AA220" s="264"/>
    </row>
    <row r="221" spans="3:27" s="3" customFormat="1" ht="17.25" customHeight="1" x14ac:dyDescent="0.15">
      <c r="C221" s="3" t="s">
        <v>23</v>
      </c>
      <c r="D221" s="11" t="s">
        <v>23</v>
      </c>
      <c r="E221" s="15" t="s">
        <v>23</v>
      </c>
      <c r="F221" s="3" t="s">
        <v>23</v>
      </c>
      <c r="G221" s="10" t="s">
        <v>23</v>
      </c>
      <c r="AA221" s="264"/>
    </row>
    <row r="222" spans="3:27" s="3" customFormat="1" ht="17.25" customHeight="1" x14ac:dyDescent="0.15">
      <c r="C222" s="3" t="s">
        <v>23</v>
      </c>
      <c r="D222" s="11" t="s">
        <v>23</v>
      </c>
      <c r="E222" s="15" t="s">
        <v>23</v>
      </c>
      <c r="F222" s="3" t="s">
        <v>23</v>
      </c>
      <c r="G222" s="10" t="s">
        <v>23</v>
      </c>
      <c r="AA222" s="264"/>
    </row>
    <row r="223" spans="3:27" s="3" customFormat="1" ht="17.25" customHeight="1" x14ac:dyDescent="0.15">
      <c r="C223" s="3" t="s">
        <v>23</v>
      </c>
      <c r="D223" s="11" t="s">
        <v>23</v>
      </c>
      <c r="E223" s="15" t="s">
        <v>23</v>
      </c>
      <c r="F223" s="3" t="s">
        <v>23</v>
      </c>
      <c r="G223" s="10" t="s">
        <v>23</v>
      </c>
      <c r="AA223" s="264"/>
    </row>
    <row r="224" spans="3:27" s="3" customFormat="1" ht="17.25" customHeight="1" x14ac:dyDescent="0.15">
      <c r="C224" s="3" t="s">
        <v>23</v>
      </c>
      <c r="D224" s="11" t="s">
        <v>23</v>
      </c>
      <c r="E224" s="15" t="s">
        <v>23</v>
      </c>
      <c r="F224" s="3" t="s">
        <v>23</v>
      </c>
      <c r="G224" s="10" t="s">
        <v>23</v>
      </c>
      <c r="AA224" s="264"/>
    </row>
    <row r="225" spans="3:27" s="3" customFormat="1" ht="17.25" customHeight="1" x14ac:dyDescent="0.15">
      <c r="C225" s="3" t="s">
        <v>23</v>
      </c>
      <c r="D225" s="11" t="s">
        <v>23</v>
      </c>
      <c r="E225" s="15" t="s">
        <v>23</v>
      </c>
      <c r="F225" s="3" t="s">
        <v>23</v>
      </c>
      <c r="G225" s="10" t="s">
        <v>23</v>
      </c>
      <c r="AA225" s="264"/>
    </row>
    <row r="226" spans="3:27" s="3" customFormat="1" ht="17.25" customHeight="1" x14ac:dyDescent="0.15">
      <c r="C226" s="3" t="s">
        <v>23</v>
      </c>
      <c r="D226" s="11" t="s">
        <v>23</v>
      </c>
      <c r="E226" s="15" t="s">
        <v>23</v>
      </c>
      <c r="F226" s="3" t="s">
        <v>23</v>
      </c>
      <c r="G226" s="10" t="s">
        <v>23</v>
      </c>
      <c r="AA226" s="264"/>
    </row>
    <row r="227" spans="3:27" s="3" customFormat="1" ht="17.25" customHeight="1" x14ac:dyDescent="0.15">
      <c r="C227" s="3" t="s">
        <v>23</v>
      </c>
      <c r="D227" s="11" t="s">
        <v>23</v>
      </c>
      <c r="E227" s="15" t="s">
        <v>23</v>
      </c>
      <c r="F227" s="3" t="s">
        <v>23</v>
      </c>
      <c r="G227" s="10" t="s">
        <v>23</v>
      </c>
      <c r="AA227" s="264"/>
    </row>
    <row r="228" spans="3:27" s="3" customFormat="1" ht="17.25" customHeight="1" x14ac:dyDescent="0.15">
      <c r="AA228" s="264"/>
    </row>
    <row r="229" spans="3:27" s="3" customFormat="1" ht="17.25" customHeight="1" x14ac:dyDescent="0.15">
      <c r="AA229" s="264"/>
    </row>
    <row r="230" spans="3:27" s="3" customFormat="1" ht="17.25" customHeight="1" x14ac:dyDescent="0.15">
      <c r="AA230" s="264"/>
    </row>
    <row r="231" spans="3:27" s="3" customFormat="1" ht="17.25" customHeight="1" x14ac:dyDescent="0.15">
      <c r="AA231" s="264"/>
    </row>
    <row r="232" spans="3:27" s="3" customFormat="1" ht="17.25" customHeight="1" x14ac:dyDescent="0.15">
      <c r="AA232" s="264"/>
    </row>
    <row r="233" spans="3:27" s="3" customFormat="1" ht="17.25" customHeight="1" x14ac:dyDescent="0.15">
      <c r="AA233" s="264"/>
    </row>
    <row r="234" spans="3:27" s="3" customFormat="1" ht="17.25" customHeight="1" x14ac:dyDescent="0.15">
      <c r="AA234" s="264"/>
    </row>
    <row r="235" spans="3:27" s="3" customFormat="1" ht="17.25" customHeight="1" x14ac:dyDescent="0.15">
      <c r="AA235" s="264"/>
    </row>
    <row r="236" spans="3:27" s="3" customFormat="1" ht="17.25" customHeight="1" x14ac:dyDescent="0.15">
      <c r="AA236" s="264"/>
    </row>
    <row r="237" spans="3:27" s="3" customFormat="1" ht="17.25" customHeight="1" x14ac:dyDescent="0.15">
      <c r="AA237" s="264"/>
    </row>
    <row r="238" spans="3:27" s="3" customFormat="1" ht="17.25" customHeight="1" x14ac:dyDescent="0.15">
      <c r="AA238" s="264"/>
    </row>
    <row r="239" spans="3:27" s="3" customFormat="1" ht="17.25" customHeight="1" x14ac:dyDescent="0.15">
      <c r="AA239" s="264"/>
    </row>
    <row r="240" spans="3:27" s="3" customFormat="1" ht="17.25" customHeight="1" x14ac:dyDescent="0.15">
      <c r="AA240" s="264"/>
    </row>
    <row r="241" spans="27:27" s="3" customFormat="1" ht="17.25" customHeight="1" x14ac:dyDescent="0.15">
      <c r="AA241" s="264"/>
    </row>
    <row r="242" spans="27:27" s="3" customFormat="1" ht="17.25" customHeight="1" x14ac:dyDescent="0.15">
      <c r="AA242" s="264"/>
    </row>
    <row r="243" spans="27:27" s="3" customFormat="1" ht="17.25" customHeight="1" x14ac:dyDescent="0.15">
      <c r="AA243" s="264"/>
    </row>
    <row r="244" spans="27:27" s="3" customFormat="1" ht="17.25" customHeight="1" x14ac:dyDescent="0.15">
      <c r="AA244" s="264"/>
    </row>
    <row r="245" spans="27:27" s="3" customFormat="1" ht="17.25" customHeight="1" x14ac:dyDescent="0.15">
      <c r="AA245" s="264"/>
    </row>
    <row r="246" spans="27:27" s="3" customFormat="1" ht="17.25" customHeight="1" x14ac:dyDescent="0.15">
      <c r="AA246" s="264"/>
    </row>
    <row r="247" spans="27:27" s="3" customFormat="1" ht="17.25" customHeight="1" x14ac:dyDescent="0.15">
      <c r="AA247" s="264"/>
    </row>
    <row r="248" spans="27:27" s="3" customFormat="1" ht="17.25" customHeight="1" x14ac:dyDescent="0.15">
      <c r="AA248" s="264"/>
    </row>
    <row r="249" spans="27:27" s="3" customFormat="1" ht="17.25" customHeight="1" x14ac:dyDescent="0.15">
      <c r="AA249" s="264"/>
    </row>
    <row r="250" spans="27:27" s="3" customFormat="1" ht="17.25" customHeight="1" x14ac:dyDescent="0.15">
      <c r="AA250" s="264"/>
    </row>
    <row r="251" spans="27:27" s="3" customFormat="1" ht="17.25" customHeight="1" x14ac:dyDescent="0.15">
      <c r="AA251" s="264"/>
    </row>
    <row r="252" spans="27:27" s="3" customFormat="1" ht="17.25" customHeight="1" x14ac:dyDescent="0.15">
      <c r="AA252" s="264"/>
    </row>
    <row r="253" spans="27:27" s="3" customFormat="1" ht="17.25" customHeight="1" x14ac:dyDescent="0.15">
      <c r="AA253" s="264"/>
    </row>
    <row r="254" spans="27:27" s="3" customFormat="1" ht="17.25" customHeight="1" x14ac:dyDescent="0.15">
      <c r="AA254" s="264"/>
    </row>
    <row r="255" spans="27:27" s="3" customFormat="1" ht="17.25" customHeight="1" x14ac:dyDescent="0.15">
      <c r="AA255" s="264"/>
    </row>
    <row r="256" spans="27:27" s="3" customFormat="1" ht="17.25" customHeight="1" x14ac:dyDescent="0.15">
      <c r="AA256" s="264"/>
    </row>
    <row r="257" spans="27:27" s="3" customFormat="1" ht="17.25" customHeight="1" x14ac:dyDescent="0.15">
      <c r="AA257" s="264"/>
    </row>
    <row r="258" spans="27:27" s="3" customFormat="1" ht="17.25" customHeight="1" x14ac:dyDescent="0.15">
      <c r="AA258" s="264"/>
    </row>
    <row r="259" spans="27:27" s="3" customFormat="1" ht="17.25" customHeight="1" x14ac:dyDescent="0.15">
      <c r="AA259" s="264"/>
    </row>
    <row r="260" spans="27:27" s="3" customFormat="1" ht="17.25" customHeight="1" x14ac:dyDescent="0.15">
      <c r="AA260" s="264"/>
    </row>
    <row r="261" spans="27:27" s="3" customFormat="1" ht="17.25" customHeight="1" x14ac:dyDescent="0.15">
      <c r="AA261" s="264"/>
    </row>
    <row r="262" spans="27:27" s="3" customFormat="1" ht="17.25" customHeight="1" x14ac:dyDescent="0.15">
      <c r="AA262" s="264"/>
    </row>
    <row r="263" spans="27:27" s="3" customFormat="1" ht="17.25" customHeight="1" x14ac:dyDescent="0.15">
      <c r="AA263" s="264"/>
    </row>
    <row r="264" spans="27:27" s="3" customFormat="1" ht="17.25" customHeight="1" x14ac:dyDescent="0.15">
      <c r="AA264" s="264"/>
    </row>
    <row r="265" spans="27:27" s="3" customFormat="1" ht="17.25" customHeight="1" x14ac:dyDescent="0.15">
      <c r="AA265" s="264"/>
    </row>
    <row r="266" spans="27:27" s="3" customFormat="1" ht="17.25" customHeight="1" x14ac:dyDescent="0.15">
      <c r="AA266" s="264"/>
    </row>
    <row r="267" spans="27:27" s="3" customFormat="1" ht="17.25" customHeight="1" x14ac:dyDescent="0.15">
      <c r="AA267" s="264"/>
    </row>
    <row r="268" spans="27:27" s="3" customFormat="1" ht="17.25" customHeight="1" x14ac:dyDescent="0.15">
      <c r="AA268" s="264"/>
    </row>
    <row r="269" spans="27:27" s="3" customFormat="1" ht="17.25" customHeight="1" x14ac:dyDescent="0.15">
      <c r="AA269" s="264"/>
    </row>
    <row r="270" spans="27:27" s="3" customFormat="1" ht="17.25" customHeight="1" x14ac:dyDescent="0.15">
      <c r="AA270" s="264"/>
    </row>
    <row r="271" spans="27:27" s="3" customFormat="1" ht="17.25" customHeight="1" x14ac:dyDescent="0.15">
      <c r="AA271" s="264"/>
    </row>
    <row r="272" spans="27:27" s="3" customFormat="1" ht="17.25" customHeight="1" x14ac:dyDescent="0.15">
      <c r="AA272" s="264"/>
    </row>
    <row r="273" spans="27:27" s="3" customFormat="1" ht="17.25" customHeight="1" x14ac:dyDescent="0.15">
      <c r="AA273" s="264"/>
    </row>
    <row r="274" spans="27:27" s="3" customFormat="1" ht="17.25" customHeight="1" x14ac:dyDescent="0.15">
      <c r="AA274" s="264"/>
    </row>
    <row r="275" spans="27:27" s="3" customFormat="1" ht="17.25" customHeight="1" x14ac:dyDescent="0.15">
      <c r="AA275" s="264"/>
    </row>
    <row r="276" spans="27:27" s="3" customFormat="1" ht="17.25" customHeight="1" x14ac:dyDescent="0.15">
      <c r="AA276" s="264"/>
    </row>
    <row r="277" spans="27:27" s="3" customFormat="1" ht="17.25" customHeight="1" x14ac:dyDescent="0.15">
      <c r="AA277" s="264"/>
    </row>
    <row r="278" spans="27:27" s="3" customFormat="1" ht="17.25" customHeight="1" x14ac:dyDescent="0.15">
      <c r="AA278" s="264"/>
    </row>
    <row r="279" spans="27:27" s="3" customFormat="1" ht="17.25" customHeight="1" x14ac:dyDescent="0.15">
      <c r="AA279" s="264"/>
    </row>
    <row r="280" spans="27:27" s="3" customFormat="1" ht="17.25" customHeight="1" x14ac:dyDescent="0.15">
      <c r="AA280" s="264"/>
    </row>
    <row r="281" spans="27:27" s="3" customFormat="1" ht="17.25" customHeight="1" x14ac:dyDescent="0.15">
      <c r="AA281" s="264"/>
    </row>
    <row r="282" spans="27:27" s="3" customFormat="1" ht="17.25" customHeight="1" x14ac:dyDescent="0.15">
      <c r="AA282" s="264"/>
    </row>
    <row r="283" spans="27:27" s="3" customFormat="1" ht="17.25" customHeight="1" x14ac:dyDescent="0.15">
      <c r="AA283" s="264"/>
    </row>
    <row r="284" spans="27:27" s="3" customFormat="1" ht="17.25" customHeight="1" x14ac:dyDescent="0.15">
      <c r="AA284" s="264"/>
    </row>
    <row r="285" spans="27:27" s="3" customFormat="1" ht="17.25" customHeight="1" x14ac:dyDescent="0.15">
      <c r="AA285" s="264"/>
    </row>
    <row r="286" spans="27:27" s="3" customFormat="1" ht="17.25" customHeight="1" x14ac:dyDescent="0.15">
      <c r="AA286" s="264"/>
    </row>
    <row r="287" spans="27:27" s="3" customFormat="1" ht="17.25" customHeight="1" x14ac:dyDescent="0.15">
      <c r="AA287" s="264"/>
    </row>
    <row r="288" spans="27:27" s="3" customFormat="1" ht="17.25" customHeight="1" x14ac:dyDescent="0.15">
      <c r="AA288" s="264"/>
    </row>
    <row r="289" spans="27:27" s="3" customFormat="1" ht="17.25" customHeight="1" x14ac:dyDescent="0.15">
      <c r="AA289" s="264"/>
    </row>
    <row r="290" spans="27:27" s="3" customFormat="1" ht="17.25" customHeight="1" x14ac:dyDescent="0.15">
      <c r="AA290" s="264"/>
    </row>
    <row r="291" spans="27:27" s="3" customFormat="1" ht="17.25" customHeight="1" x14ac:dyDescent="0.15">
      <c r="AA291" s="264"/>
    </row>
    <row r="292" spans="27:27" s="3" customFormat="1" ht="17.25" customHeight="1" x14ac:dyDescent="0.15">
      <c r="AA292" s="264"/>
    </row>
    <row r="293" spans="27:27" s="3" customFormat="1" ht="17.25" customHeight="1" x14ac:dyDescent="0.15">
      <c r="AA293" s="264"/>
    </row>
    <row r="294" spans="27:27" s="3" customFormat="1" ht="17.25" customHeight="1" x14ac:dyDescent="0.15">
      <c r="AA294" s="264"/>
    </row>
    <row r="295" spans="27:27" s="3" customFormat="1" ht="17.25" customHeight="1" x14ac:dyDescent="0.15">
      <c r="AA295" s="264"/>
    </row>
    <row r="296" spans="27:27" s="3" customFormat="1" ht="17.25" customHeight="1" x14ac:dyDescent="0.15">
      <c r="AA296" s="264"/>
    </row>
    <row r="297" spans="27:27" s="3" customFormat="1" ht="17.25" customHeight="1" x14ac:dyDescent="0.15">
      <c r="AA297" s="264"/>
    </row>
    <row r="298" spans="27:27" s="3" customFormat="1" ht="17.25" customHeight="1" x14ac:dyDescent="0.15">
      <c r="AA298" s="264"/>
    </row>
    <row r="299" spans="27:27" s="3" customFormat="1" ht="17.25" customHeight="1" x14ac:dyDescent="0.15">
      <c r="AA299" s="264"/>
    </row>
    <row r="300" spans="27:27" s="3" customFormat="1" ht="17.25" customHeight="1" x14ac:dyDescent="0.15">
      <c r="AA300" s="264"/>
    </row>
    <row r="301" spans="27:27" s="3" customFormat="1" ht="17.25" customHeight="1" x14ac:dyDescent="0.15">
      <c r="AA301" s="264"/>
    </row>
    <row r="302" spans="27:27" s="3" customFormat="1" ht="17.25" customHeight="1" x14ac:dyDescent="0.15">
      <c r="AA302" s="264"/>
    </row>
    <row r="303" spans="27:27" s="3" customFormat="1" ht="17.25" customHeight="1" x14ac:dyDescent="0.15">
      <c r="AA303" s="264"/>
    </row>
    <row r="304" spans="27:27" s="3" customFormat="1" ht="17.25" customHeight="1" x14ac:dyDescent="0.15">
      <c r="AA304" s="264"/>
    </row>
    <row r="305" spans="27:27" s="3" customFormat="1" ht="17.25" customHeight="1" x14ac:dyDescent="0.15">
      <c r="AA305" s="264"/>
    </row>
    <row r="306" spans="27:27" s="3" customFormat="1" ht="17.25" customHeight="1" x14ac:dyDescent="0.15">
      <c r="AA306" s="264"/>
    </row>
    <row r="307" spans="27:27" s="3" customFormat="1" ht="17.25" customHeight="1" x14ac:dyDescent="0.15">
      <c r="AA307" s="264"/>
    </row>
    <row r="308" spans="27:27" s="3" customFormat="1" ht="17.25" customHeight="1" x14ac:dyDescent="0.15">
      <c r="AA308" s="264"/>
    </row>
    <row r="309" spans="27:27" s="3" customFormat="1" ht="17.25" customHeight="1" x14ac:dyDescent="0.15">
      <c r="AA309" s="264"/>
    </row>
    <row r="310" spans="27:27" s="3" customFormat="1" ht="17.25" customHeight="1" x14ac:dyDescent="0.15">
      <c r="AA310" s="264"/>
    </row>
    <row r="311" spans="27:27" s="3" customFormat="1" ht="17.25" customHeight="1" x14ac:dyDescent="0.15">
      <c r="AA311" s="264"/>
    </row>
    <row r="312" spans="27:27" s="3" customFormat="1" ht="17.25" customHeight="1" x14ac:dyDescent="0.15">
      <c r="AA312" s="264"/>
    </row>
    <row r="313" spans="27:27" s="3" customFormat="1" ht="17.25" customHeight="1" x14ac:dyDescent="0.15">
      <c r="AA313" s="264"/>
    </row>
    <row r="314" spans="27:27" s="3" customFormat="1" ht="17.25" customHeight="1" x14ac:dyDescent="0.15">
      <c r="AA314" s="264"/>
    </row>
    <row r="315" spans="27:27" s="3" customFormat="1" ht="17.25" customHeight="1" x14ac:dyDescent="0.15">
      <c r="AA315" s="264"/>
    </row>
    <row r="316" spans="27:27" s="3" customFormat="1" ht="17.25" customHeight="1" x14ac:dyDescent="0.15">
      <c r="AA316" s="264"/>
    </row>
    <row r="317" spans="27:27" s="3" customFormat="1" ht="17.25" customHeight="1" x14ac:dyDescent="0.15">
      <c r="AA317" s="264"/>
    </row>
    <row r="318" spans="27:27" s="3" customFormat="1" ht="17.25" customHeight="1" x14ac:dyDescent="0.15">
      <c r="AA318" s="264"/>
    </row>
    <row r="319" spans="27:27" s="3" customFormat="1" ht="17.25" customHeight="1" x14ac:dyDescent="0.15">
      <c r="AA319" s="264"/>
    </row>
    <row r="320" spans="27:27" s="3" customFormat="1" ht="17.25" customHeight="1" x14ac:dyDescent="0.15">
      <c r="AA320" s="264"/>
    </row>
    <row r="321" spans="27:27" s="3" customFormat="1" ht="17.25" customHeight="1" x14ac:dyDescent="0.15">
      <c r="AA321" s="264"/>
    </row>
    <row r="322" spans="27:27" s="3" customFormat="1" ht="17.25" customHeight="1" x14ac:dyDescent="0.15">
      <c r="AA322" s="264"/>
    </row>
    <row r="323" spans="27:27" s="3" customFormat="1" ht="17.25" customHeight="1" x14ac:dyDescent="0.15">
      <c r="AA323" s="264"/>
    </row>
    <row r="324" spans="27:27" s="3" customFormat="1" ht="17.25" customHeight="1" x14ac:dyDescent="0.15">
      <c r="AA324" s="264"/>
    </row>
    <row r="325" spans="27:27" s="3" customFormat="1" ht="17.25" customHeight="1" x14ac:dyDescent="0.15">
      <c r="AA325" s="264"/>
    </row>
    <row r="326" spans="27:27" s="3" customFormat="1" ht="17.25" customHeight="1" x14ac:dyDescent="0.15">
      <c r="AA326" s="264"/>
    </row>
    <row r="327" spans="27:27" s="3" customFormat="1" ht="17.25" customHeight="1" x14ac:dyDescent="0.15">
      <c r="AA327" s="264"/>
    </row>
    <row r="328" spans="27:27" s="3" customFormat="1" ht="17.25" customHeight="1" x14ac:dyDescent="0.15">
      <c r="AA328" s="264"/>
    </row>
    <row r="329" spans="27:27" s="3" customFormat="1" ht="17.25" customHeight="1" x14ac:dyDescent="0.15">
      <c r="AA329" s="264"/>
    </row>
    <row r="330" spans="27:27" s="3" customFormat="1" ht="17.25" customHeight="1" x14ac:dyDescent="0.15">
      <c r="AA330" s="264"/>
    </row>
    <row r="331" spans="27:27" s="3" customFormat="1" ht="17.25" customHeight="1" x14ac:dyDescent="0.15">
      <c r="AA331" s="264"/>
    </row>
    <row r="332" spans="27:27" s="3" customFormat="1" ht="17.25" customHeight="1" x14ac:dyDescent="0.15">
      <c r="AA332" s="264"/>
    </row>
    <row r="333" spans="27:27" s="3" customFormat="1" ht="17.25" customHeight="1" x14ac:dyDescent="0.15">
      <c r="AA333" s="264"/>
    </row>
    <row r="334" spans="27:27" s="3" customFormat="1" ht="17.25" customHeight="1" x14ac:dyDescent="0.15">
      <c r="AA334" s="264"/>
    </row>
    <row r="335" spans="27:27" s="3" customFormat="1" ht="17.25" customHeight="1" x14ac:dyDescent="0.15">
      <c r="AA335" s="264"/>
    </row>
    <row r="336" spans="27:27" s="3" customFormat="1" ht="17.25" customHeight="1" x14ac:dyDescent="0.15">
      <c r="AA336" s="264"/>
    </row>
    <row r="337" spans="27:27" s="3" customFormat="1" ht="17.25" customHeight="1" x14ac:dyDescent="0.15">
      <c r="AA337" s="264"/>
    </row>
    <row r="338" spans="27:27" s="3" customFormat="1" ht="17.25" customHeight="1" x14ac:dyDescent="0.15">
      <c r="AA338" s="264"/>
    </row>
    <row r="339" spans="27:27" s="3" customFormat="1" ht="17.25" customHeight="1" x14ac:dyDescent="0.15">
      <c r="AA339" s="264"/>
    </row>
    <row r="340" spans="27:27" s="3" customFormat="1" ht="17.25" customHeight="1" x14ac:dyDescent="0.15">
      <c r="AA340" s="264"/>
    </row>
    <row r="341" spans="27:27" s="3" customFormat="1" ht="17.25" customHeight="1" x14ac:dyDescent="0.15">
      <c r="AA341" s="264"/>
    </row>
    <row r="342" spans="27:27" s="3" customFormat="1" ht="17.25" customHeight="1" x14ac:dyDescent="0.15">
      <c r="AA342" s="264"/>
    </row>
    <row r="343" spans="27:27" s="3" customFormat="1" ht="17.25" customHeight="1" x14ac:dyDescent="0.15">
      <c r="AA343" s="264"/>
    </row>
    <row r="344" spans="27:27" s="3" customFormat="1" ht="17.25" customHeight="1" x14ac:dyDescent="0.15">
      <c r="AA344" s="264"/>
    </row>
    <row r="345" spans="27:27" s="3" customFormat="1" ht="17.25" customHeight="1" x14ac:dyDescent="0.15">
      <c r="AA345" s="264"/>
    </row>
    <row r="346" spans="27:27" s="3" customFormat="1" ht="17.25" customHeight="1" x14ac:dyDescent="0.15">
      <c r="AA346" s="264"/>
    </row>
    <row r="347" spans="27:27" s="3" customFormat="1" ht="17.25" customHeight="1" x14ac:dyDescent="0.15">
      <c r="AA347" s="264"/>
    </row>
    <row r="348" spans="27:27" s="3" customFormat="1" ht="17.25" customHeight="1" x14ac:dyDescent="0.15">
      <c r="AA348" s="264"/>
    </row>
    <row r="349" spans="27:27" s="3" customFormat="1" ht="17.25" customHeight="1" x14ac:dyDescent="0.15">
      <c r="AA349" s="264"/>
    </row>
    <row r="350" spans="27:27" s="3" customFormat="1" ht="17.25" customHeight="1" x14ac:dyDescent="0.15">
      <c r="AA350" s="264"/>
    </row>
    <row r="351" spans="27:27" s="3" customFormat="1" ht="17.25" customHeight="1" x14ac:dyDescent="0.15">
      <c r="AA351" s="264"/>
    </row>
    <row r="352" spans="27:27" s="3" customFormat="1" ht="17.25" customHeight="1" x14ac:dyDescent="0.15">
      <c r="AA352" s="264"/>
    </row>
    <row r="353" spans="27:27" s="3" customFormat="1" ht="17.25" customHeight="1" x14ac:dyDescent="0.15">
      <c r="AA353" s="264"/>
    </row>
    <row r="354" spans="27:27" s="3" customFormat="1" ht="17.25" customHeight="1" x14ac:dyDescent="0.15">
      <c r="AA354" s="264"/>
    </row>
    <row r="355" spans="27:27" s="3" customFormat="1" ht="17.25" customHeight="1" x14ac:dyDescent="0.15">
      <c r="AA355" s="264"/>
    </row>
    <row r="356" spans="27:27" s="3" customFormat="1" ht="17.25" customHeight="1" x14ac:dyDescent="0.15">
      <c r="AA356" s="264"/>
    </row>
    <row r="357" spans="27:27" s="3" customFormat="1" ht="17.25" customHeight="1" x14ac:dyDescent="0.15">
      <c r="AA357" s="264"/>
    </row>
    <row r="358" spans="27:27" s="3" customFormat="1" ht="17.25" customHeight="1" x14ac:dyDescent="0.15">
      <c r="AA358" s="264"/>
    </row>
    <row r="359" spans="27:27" s="3" customFormat="1" ht="17.25" customHeight="1" x14ac:dyDescent="0.15">
      <c r="AA359" s="264"/>
    </row>
    <row r="360" spans="27:27" s="3" customFormat="1" ht="17.25" customHeight="1" x14ac:dyDescent="0.15">
      <c r="AA360" s="264"/>
    </row>
    <row r="361" spans="27:27" s="3" customFormat="1" ht="17.25" customHeight="1" x14ac:dyDescent="0.15">
      <c r="AA361" s="264"/>
    </row>
    <row r="362" spans="27:27" s="3" customFormat="1" ht="17.25" customHeight="1" x14ac:dyDescent="0.15">
      <c r="AA362" s="264"/>
    </row>
    <row r="363" spans="27:27" s="3" customFormat="1" ht="17.25" customHeight="1" x14ac:dyDescent="0.15">
      <c r="AA363" s="264"/>
    </row>
    <row r="364" spans="27:27" s="3" customFormat="1" ht="17.25" customHeight="1" x14ac:dyDescent="0.15">
      <c r="AA364" s="264"/>
    </row>
    <row r="365" spans="27:27" s="3" customFormat="1" ht="17.25" customHeight="1" x14ac:dyDescent="0.15">
      <c r="AA365" s="264"/>
    </row>
    <row r="366" spans="27:27" s="3" customFormat="1" ht="17.25" customHeight="1" x14ac:dyDescent="0.15">
      <c r="AA366" s="264"/>
    </row>
    <row r="367" spans="27:27" s="3" customFormat="1" ht="17.25" customHeight="1" x14ac:dyDescent="0.15">
      <c r="AA367" s="264"/>
    </row>
    <row r="368" spans="27:27" s="3" customFormat="1" ht="17.25" customHeight="1" x14ac:dyDescent="0.15">
      <c r="AA368" s="264"/>
    </row>
    <row r="369" spans="27:27" s="3" customFormat="1" ht="17.25" customHeight="1" x14ac:dyDescent="0.15">
      <c r="AA369" s="264"/>
    </row>
    <row r="370" spans="27:27" s="3" customFormat="1" ht="17.25" customHeight="1" x14ac:dyDescent="0.15">
      <c r="AA370" s="264"/>
    </row>
    <row r="371" spans="27:27" s="3" customFormat="1" ht="17.25" customHeight="1" x14ac:dyDescent="0.15">
      <c r="AA371" s="264"/>
    </row>
    <row r="372" spans="27:27" s="3" customFormat="1" ht="17.25" customHeight="1" x14ac:dyDescent="0.15">
      <c r="AA372" s="264"/>
    </row>
    <row r="373" spans="27:27" s="3" customFormat="1" ht="17.25" customHeight="1" x14ac:dyDescent="0.15">
      <c r="AA373" s="264"/>
    </row>
    <row r="374" spans="27:27" s="3" customFormat="1" ht="17.25" customHeight="1" x14ac:dyDescent="0.15">
      <c r="AA374" s="264"/>
    </row>
    <row r="375" spans="27:27" s="3" customFormat="1" ht="17.25" customHeight="1" x14ac:dyDescent="0.15">
      <c r="AA375" s="264"/>
    </row>
    <row r="376" spans="27:27" s="3" customFormat="1" ht="17.25" customHeight="1" x14ac:dyDescent="0.15">
      <c r="AA376" s="264"/>
    </row>
    <row r="377" spans="27:27" s="3" customFormat="1" ht="17.25" customHeight="1" x14ac:dyDescent="0.15">
      <c r="AA377" s="264"/>
    </row>
    <row r="378" spans="27:27" s="3" customFormat="1" ht="17.25" customHeight="1" x14ac:dyDescent="0.15">
      <c r="AA378" s="264"/>
    </row>
    <row r="379" spans="27:27" s="3" customFormat="1" ht="17.25" customHeight="1" x14ac:dyDescent="0.15">
      <c r="AA379" s="264"/>
    </row>
    <row r="380" spans="27:27" s="3" customFormat="1" ht="17.25" customHeight="1" x14ac:dyDescent="0.15">
      <c r="AA380" s="264"/>
    </row>
    <row r="381" spans="27:27" s="3" customFormat="1" ht="17.25" customHeight="1" x14ac:dyDescent="0.15">
      <c r="AA381" s="264"/>
    </row>
    <row r="382" spans="27:27" s="3" customFormat="1" ht="17.25" customHeight="1" x14ac:dyDescent="0.15">
      <c r="AA382" s="264"/>
    </row>
    <row r="383" spans="27:27" s="3" customFormat="1" ht="17.25" customHeight="1" x14ac:dyDescent="0.15">
      <c r="AA383" s="264"/>
    </row>
    <row r="384" spans="27:27" s="3" customFormat="1" ht="17.25" customHeight="1" x14ac:dyDescent="0.15">
      <c r="AA384" s="264"/>
    </row>
    <row r="385" spans="27:27" s="3" customFormat="1" ht="17.25" customHeight="1" x14ac:dyDescent="0.15">
      <c r="AA385" s="264"/>
    </row>
    <row r="386" spans="27:27" s="3" customFormat="1" ht="17.25" customHeight="1" x14ac:dyDescent="0.15">
      <c r="AA386" s="264"/>
    </row>
    <row r="387" spans="27:27" s="3" customFormat="1" ht="17.25" customHeight="1" x14ac:dyDescent="0.15">
      <c r="AA387" s="264"/>
    </row>
    <row r="388" spans="27:27" s="3" customFormat="1" ht="17.25" customHeight="1" x14ac:dyDescent="0.15">
      <c r="AA388" s="264"/>
    </row>
    <row r="389" spans="27:27" s="3" customFormat="1" ht="17.25" customHeight="1" x14ac:dyDescent="0.15">
      <c r="AA389" s="264"/>
    </row>
    <row r="390" spans="27:27" s="3" customFormat="1" ht="17.25" customHeight="1" x14ac:dyDescent="0.15">
      <c r="AA390" s="264"/>
    </row>
    <row r="391" spans="27:27" s="3" customFormat="1" ht="17.25" customHeight="1" x14ac:dyDescent="0.15">
      <c r="AA391" s="264"/>
    </row>
    <row r="392" spans="27:27" s="3" customFormat="1" ht="17.25" customHeight="1" x14ac:dyDescent="0.15">
      <c r="AA392" s="264"/>
    </row>
    <row r="393" spans="27:27" s="3" customFormat="1" ht="17.25" customHeight="1" x14ac:dyDescent="0.15">
      <c r="AA393" s="264"/>
    </row>
    <row r="394" spans="27:27" s="3" customFormat="1" ht="17.25" customHeight="1" x14ac:dyDescent="0.15">
      <c r="AA394" s="264"/>
    </row>
    <row r="395" spans="27:27" s="3" customFormat="1" ht="17.25" customHeight="1" x14ac:dyDescent="0.15">
      <c r="AA395" s="264"/>
    </row>
    <row r="396" spans="27:27" s="3" customFormat="1" ht="17.25" customHeight="1" x14ac:dyDescent="0.15">
      <c r="AA396" s="264"/>
    </row>
    <row r="397" spans="27:27" s="3" customFormat="1" ht="17.25" customHeight="1" x14ac:dyDescent="0.15">
      <c r="AA397" s="264"/>
    </row>
    <row r="398" spans="27:27" s="3" customFormat="1" ht="17.25" customHeight="1" x14ac:dyDescent="0.15">
      <c r="AA398" s="264"/>
    </row>
    <row r="399" spans="27:27" s="3" customFormat="1" ht="17.25" customHeight="1" x14ac:dyDescent="0.15">
      <c r="AA399" s="264"/>
    </row>
    <row r="400" spans="27:27" s="3" customFormat="1" ht="17.25" customHeight="1" x14ac:dyDescent="0.15">
      <c r="AA400" s="264"/>
    </row>
    <row r="401" spans="27:27" s="3" customFormat="1" ht="17.25" customHeight="1" x14ac:dyDescent="0.15">
      <c r="AA401" s="264"/>
    </row>
    <row r="402" spans="27:27" s="3" customFormat="1" ht="17.25" customHeight="1" x14ac:dyDescent="0.15">
      <c r="AA402" s="264"/>
    </row>
    <row r="403" spans="27:27" s="3" customFormat="1" ht="17.25" customHeight="1" x14ac:dyDescent="0.15">
      <c r="AA403" s="264"/>
    </row>
    <row r="404" spans="27:27" s="3" customFormat="1" ht="17.25" customHeight="1" x14ac:dyDescent="0.15">
      <c r="AA404" s="264"/>
    </row>
    <row r="405" spans="27:27" s="3" customFormat="1" ht="17.25" customHeight="1" x14ac:dyDescent="0.15">
      <c r="AA405" s="264"/>
    </row>
    <row r="406" spans="27:27" s="3" customFormat="1" ht="17.25" customHeight="1" x14ac:dyDescent="0.15">
      <c r="AA406" s="264"/>
    </row>
    <row r="407" spans="27:27" s="3" customFormat="1" ht="17.25" customHeight="1" x14ac:dyDescent="0.15">
      <c r="AA407" s="264"/>
    </row>
    <row r="408" spans="27:27" s="3" customFormat="1" ht="17.25" customHeight="1" x14ac:dyDescent="0.15">
      <c r="AA408" s="264"/>
    </row>
    <row r="409" spans="27:27" s="3" customFormat="1" ht="17.25" customHeight="1" x14ac:dyDescent="0.15">
      <c r="AA409" s="264"/>
    </row>
    <row r="410" spans="27:27" s="3" customFormat="1" ht="17.25" customHeight="1" x14ac:dyDescent="0.15">
      <c r="AA410" s="264"/>
    </row>
    <row r="411" spans="27:27" s="3" customFormat="1" ht="17.25" customHeight="1" x14ac:dyDescent="0.15">
      <c r="AA411" s="264"/>
    </row>
    <row r="412" spans="27:27" s="3" customFormat="1" ht="17.25" customHeight="1" x14ac:dyDescent="0.15">
      <c r="AA412" s="264"/>
    </row>
    <row r="413" spans="27:27" s="3" customFormat="1" ht="17.25" customHeight="1" x14ac:dyDescent="0.15">
      <c r="AA413" s="264"/>
    </row>
    <row r="414" spans="27:27" s="3" customFormat="1" ht="17.25" customHeight="1" x14ac:dyDescent="0.15">
      <c r="AA414" s="264"/>
    </row>
    <row r="415" spans="27:27" s="3" customFormat="1" ht="17.25" customHeight="1" x14ac:dyDescent="0.15">
      <c r="AA415" s="264"/>
    </row>
    <row r="416" spans="27:27" s="3" customFormat="1" ht="17.25" customHeight="1" x14ac:dyDescent="0.15">
      <c r="AA416" s="264"/>
    </row>
    <row r="417" spans="27:27" s="3" customFormat="1" ht="17.25" customHeight="1" x14ac:dyDescent="0.15">
      <c r="AA417" s="264"/>
    </row>
    <row r="418" spans="27:27" s="3" customFormat="1" ht="17.25" customHeight="1" x14ac:dyDescent="0.15">
      <c r="AA418" s="264"/>
    </row>
    <row r="419" spans="27:27" s="3" customFormat="1" ht="17.25" customHeight="1" x14ac:dyDescent="0.15">
      <c r="AA419" s="264"/>
    </row>
    <row r="420" spans="27:27" s="3" customFormat="1" ht="17.25" customHeight="1" x14ac:dyDescent="0.15">
      <c r="AA420" s="264"/>
    </row>
    <row r="421" spans="27:27" s="3" customFormat="1" ht="17.25" customHeight="1" x14ac:dyDescent="0.15">
      <c r="AA421" s="264"/>
    </row>
    <row r="422" spans="27:27" s="3" customFormat="1" ht="17.25" customHeight="1" x14ac:dyDescent="0.15">
      <c r="AA422" s="264"/>
    </row>
    <row r="423" spans="27:27" s="3" customFormat="1" ht="17.25" customHeight="1" x14ac:dyDescent="0.15">
      <c r="AA423" s="264"/>
    </row>
    <row r="424" spans="27:27" s="3" customFormat="1" ht="17.25" customHeight="1" x14ac:dyDescent="0.15">
      <c r="AA424" s="264"/>
    </row>
    <row r="425" spans="27:27" s="3" customFormat="1" ht="17.25" customHeight="1" x14ac:dyDescent="0.15">
      <c r="AA425" s="264"/>
    </row>
    <row r="426" spans="27:27" s="3" customFormat="1" ht="17.25" customHeight="1" x14ac:dyDescent="0.15">
      <c r="AA426" s="264"/>
    </row>
    <row r="427" spans="27:27" s="3" customFormat="1" ht="17.25" customHeight="1" x14ac:dyDescent="0.15">
      <c r="AA427" s="264"/>
    </row>
    <row r="428" spans="27:27" s="3" customFormat="1" ht="17.25" customHeight="1" x14ac:dyDescent="0.15">
      <c r="AA428" s="264"/>
    </row>
    <row r="429" spans="27:27" s="3" customFormat="1" ht="17.25" customHeight="1" x14ac:dyDescent="0.15">
      <c r="AA429" s="264"/>
    </row>
    <row r="430" spans="27:27" s="3" customFormat="1" ht="17.25" customHeight="1" x14ac:dyDescent="0.15">
      <c r="AA430" s="264"/>
    </row>
    <row r="431" spans="27:27" s="3" customFormat="1" ht="17.25" customHeight="1" x14ac:dyDescent="0.15">
      <c r="AA431" s="264"/>
    </row>
    <row r="432" spans="27:27" s="3" customFormat="1" ht="17.25" customHeight="1" x14ac:dyDescent="0.15">
      <c r="AA432" s="264"/>
    </row>
    <row r="433" spans="27:27" s="3" customFormat="1" ht="17.25" customHeight="1" x14ac:dyDescent="0.15">
      <c r="AA433" s="264"/>
    </row>
    <row r="434" spans="27:27" s="3" customFormat="1" ht="17.25" customHeight="1" x14ac:dyDescent="0.15">
      <c r="AA434" s="264"/>
    </row>
    <row r="435" spans="27:27" s="3" customFormat="1" ht="17.25" customHeight="1" x14ac:dyDescent="0.15">
      <c r="AA435" s="264"/>
    </row>
    <row r="436" spans="27:27" s="3" customFormat="1" ht="17.25" customHeight="1" x14ac:dyDescent="0.15">
      <c r="AA436" s="264"/>
    </row>
    <row r="437" spans="27:27" s="3" customFormat="1" ht="17.25" customHeight="1" x14ac:dyDescent="0.15">
      <c r="AA437" s="264"/>
    </row>
    <row r="438" spans="27:27" s="3" customFormat="1" ht="17.25" customHeight="1" x14ac:dyDescent="0.15">
      <c r="AA438" s="264"/>
    </row>
    <row r="439" spans="27:27" s="3" customFormat="1" ht="17.25" customHeight="1" x14ac:dyDescent="0.15">
      <c r="AA439" s="264"/>
    </row>
    <row r="440" spans="27:27" s="3" customFormat="1" ht="17.25" customHeight="1" x14ac:dyDescent="0.15">
      <c r="AA440" s="264"/>
    </row>
    <row r="441" spans="27:27" s="3" customFormat="1" ht="17.25" customHeight="1" x14ac:dyDescent="0.15">
      <c r="AA441" s="264"/>
    </row>
    <row r="442" spans="27:27" s="3" customFormat="1" ht="17.25" customHeight="1" x14ac:dyDescent="0.15">
      <c r="AA442" s="264"/>
    </row>
    <row r="443" spans="27:27" s="3" customFormat="1" ht="17.25" customHeight="1" x14ac:dyDescent="0.15">
      <c r="AA443" s="264"/>
    </row>
    <row r="444" spans="27:27" s="3" customFormat="1" ht="17.25" customHeight="1" x14ac:dyDescent="0.15">
      <c r="AA444" s="264"/>
    </row>
    <row r="445" spans="27:27" s="3" customFormat="1" ht="17.25" customHeight="1" x14ac:dyDescent="0.15">
      <c r="AA445" s="264"/>
    </row>
    <row r="446" spans="27:27" s="3" customFormat="1" ht="17.25" customHeight="1" x14ac:dyDescent="0.15">
      <c r="AA446" s="264"/>
    </row>
    <row r="447" spans="27:27" s="3" customFormat="1" ht="17.25" customHeight="1" x14ac:dyDescent="0.15">
      <c r="AA447" s="264"/>
    </row>
    <row r="448" spans="27:27" s="3" customFormat="1" ht="17.25" customHeight="1" x14ac:dyDescent="0.15">
      <c r="AA448" s="264"/>
    </row>
    <row r="449" spans="27:27" s="3" customFormat="1" ht="17.25" customHeight="1" x14ac:dyDescent="0.15">
      <c r="AA449" s="264"/>
    </row>
    <row r="450" spans="27:27" s="3" customFormat="1" ht="17.25" customHeight="1" x14ac:dyDescent="0.15">
      <c r="AA450" s="264"/>
    </row>
    <row r="451" spans="27:27" s="3" customFormat="1" ht="17.25" customHeight="1" x14ac:dyDescent="0.15">
      <c r="AA451" s="264"/>
    </row>
    <row r="452" spans="27:27" s="3" customFormat="1" ht="17.25" customHeight="1" x14ac:dyDescent="0.15">
      <c r="AA452" s="264"/>
    </row>
    <row r="453" spans="27:27" s="3" customFormat="1" ht="17.25" customHeight="1" x14ac:dyDescent="0.15">
      <c r="AA453" s="264"/>
    </row>
    <row r="454" spans="27:27" s="3" customFormat="1" ht="17.25" customHeight="1" x14ac:dyDescent="0.15">
      <c r="AA454" s="264"/>
    </row>
    <row r="455" spans="27:27" s="3" customFormat="1" ht="17.25" customHeight="1" x14ac:dyDescent="0.15">
      <c r="AA455" s="264"/>
    </row>
    <row r="456" spans="27:27" s="3" customFormat="1" ht="17.25" customHeight="1" x14ac:dyDescent="0.15">
      <c r="AA456" s="264"/>
    </row>
    <row r="457" spans="27:27" s="3" customFormat="1" x14ac:dyDescent="0.15">
      <c r="AA457" s="264"/>
    </row>
    <row r="458" spans="27:27" s="3" customFormat="1" x14ac:dyDescent="0.15">
      <c r="AA458" s="264"/>
    </row>
    <row r="459" spans="27:27" s="3" customFormat="1" x14ac:dyDescent="0.15">
      <c r="AA459" s="264"/>
    </row>
    <row r="460" spans="27:27" s="3" customFormat="1" x14ac:dyDescent="0.15">
      <c r="AA460" s="264"/>
    </row>
    <row r="461" spans="27:27" s="3" customFormat="1" x14ac:dyDescent="0.15">
      <c r="AA461" s="264"/>
    </row>
    <row r="462" spans="27:27" s="3" customFormat="1" x14ac:dyDescent="0.15">
      <c r="AA462" s="264"/>
    </row>
    <row r="463" spans="27:27" s="3" customFormat="1" x14ac:dyDescent="0.15">
      <c r="AA463" s="264"/>
    </row>
    <row r="464" spans="27:27" s="3" customFormat="1" x14ac:dyDescent="0.15">
      <c r="AA464" s="264"/>
    </row>
    <row r="465" spans="27:27" s="3" customFormat="1" x14ac:dyDescent="0.15">
      <c r="AA465" s="264"/>
    </row>
    <row r="466" spans="27:27" s="3" customFormat="1" x14ac:dyDescent="0.15">
      <c r="AA466" s="264"/>
    </row>
    <row r="467" spans="27:27" s="3" customFormat="1" x14ac:dyDescent="0.15">
      <c r="AA467" s="264"/>
    </row>
    <row r="468" spans="27:27" s="3" customFormat="1" x14ac:dyDescent="0.15">
      <c r="AA468" s="264"/>
    </row>
    <row r="469" spans="27:27" s="3" customFormat="1" x14ac:dyDescent="0.15">
      <c r="AA469" s="264"/>
    </row>
    <row r="470" spans="27:27" s="3" customFormat="1" x14ac:dyDescent="0.15">
      <c r="AA470" s="264"/>
    </row>
    <row r="471" spans="27:27" s="3" customFormat="1" x14ac:dyDescent="0.15">
      <c r="AA471" s="264"/>
    </row>
    <row r="472" spans="27:27" s="3" customFormat="1" x14ac:dyDescent="0.15">
      <c r="AA472" s="264"/>
    </row>
    <row r="473" spans="27:27" s="3" customFormat="1" x14ac:dyDescent="0.15">
      <c r="AA473" s="264"/>
    </row>
    <row r="474" spans="27:27" s="3" customFormat="1" x14ac:dyDescent="0.15">
      <c r="AA474" s="264"/>
    </row>
    <row r="475" spans="27:27" s="3" customFormat="1" x14ac:dyDescent="0.15">
      <c r="AA475" s="264"/>
    </row>
    <row r="476" spans="27:27" s="3" customFormat="1" x14ac:dyDescent="0.15">
      <c r="AA476" s="264"/>
    </row>
    <row r="477" spans="27:27" s="3" customFormat="1" x14ac:dyDescent="0.15">
      <c r="AA477" s="264"/>
    </row>
    <row r="478" spans="27:27" s="3" customFormat="1" x14ac:dyDescent="0.15">
      <c r="AA478" s="264"/>
    </row>
    <row r="479" spans="27:27" s="3" customFormat="1" x14ac:dyDescent="0.15">
      <c r="AA479" s="264"/>
    </row>
    <row r="480" spans="27:27" s="3" customFormat="1" x14ac:dyDescent="0.15">
      <c r="AA480" s="264"/>
    </row>
    <row r="481" spans="27:27" s="3" customFormat="1" x14ac:dyDescent="0.15">
      <c r="AA481" s="264"/>
    </row>
    <row r="482" spans="27:27" s="3" customFormat="1" x14ac:dyDescent="0.15">
      <c r="AA482" s="264"/>
    </row>
    <row r="483" spans="27:27" s="3" customFormat="1" x14ac:dyDescent="0.15">
      <c r="AA483" s="264"/>
    </row>
    <row r="484" spans="27:27" s="3" customFormat="1" x14ac:dyDescent="0.15">
      <c r="AA484" s="264"/>
    </row>
    <row r="485" spans="27:27" s="3" customFormat="1" x14ac:dyDescent="0.15">
      <c r="AA485" s="264"/>
    </row>
    <row r="486" spans="27:27" s="3" customFormat="1" x14ac:dyDescent="0.15">
      <c r="AA486" s="264"/>
    </row>
    <row r="487" spans="27:27" s="3" customFormat="1" x14ac:dyDescent="0.15">
      <c r="AA487" s="264"/>
    </row>
    <row r="488" spans="27:27" s="3" customFormat="1" x14ac:dyDescent="0.15">
      <c r="AA488" s="264"/>
    </row>
    <row r="489" spans="27:27" s="3" customFormat="1" x14ac:dyDescent="0.15">
      <c r="AA489" s="264"/>
    </row>
    <row r="490" spans="27:27" s="3" customFormat="1" x14ac:dyDescent="0.15">
      <c r="AA490" s="264"/>
    </row>
    <row r="491" spans="27:27" s="3" customFormat="1" x14ac:dyDescent="0.15">
      <c r="AA491" s="264"/>
    </row>
    <row r="492" spans="27:27" s="3" customFormat="1" x14ac:dyDescent="0.15">
      <c r="AA492" s="264"/>
    </row>
    <row r="493" spans="27:27" s="3" customFormat="1" x14ac:dyDescent="0.15">
      <c r="AA493" s="264"/>
    </row>
    <row r="494" spans="27:27" s="3" customFormat="1" x14ac:dyDescent="0.15">
      <c r="AA494" s="264"/>
    </row>
    <row r="495" spans="27:27" s="3" customFormat="1" x14ac:dyDescent="0.15">
      <c r="AA495" s="264"/>
    </row>
    <row r="496" spans="27:27" s="3" customFormat="1" x14ac:dyDescent="0.15">
      <c r="AA496" s="264"/>
    </row>
    <row r="497" spans="27:27" s="3" customFormat="1" x14ac:dyDescent="0.15">
      <c r="AA497" s="264"/>
    </row>
    <row r="498" spans="27:27" s="3" customFormat="1" x14ac:dyDescent="0.15">
      <c r="AA498" s="264"/>
    </row>
    <row r="499" spans="27:27" s="3" customFormat="1" x14ac:dyDescent="0.15">
      <c r="AA499" s="264"/>
    </row>
    <row r="500" spans="27:27" s="3" customFormat="1" x14ac:dyDescent="0.15">
      <c r="AA500" s="264"/>
    </row>
    <row r="501" spans="27:27" s="3" customFormat="1" x14ac:dyDescent="0.15">
      <c r="AA501" s="264"/>
    </row>
    <row r="502" spans="27:27" s="3" customFormat="1" x14ac:dyDescent="0.15">
      <c r="AA502" s="264"/>
    </row>
    <row r="503" spans="27:27" s="3" customFormat="1" x14ac:dyDescent="0.15">
      <c r="AA503" s="264"/>
    </row>
    <row r="504" spans="27:27" s="3" customFormat="1" x14ac:dyDescent="0.15">
      <c r="AA504" s="264"/>
    </row>
    <row r="505" spans="27:27" s="3" customFormat="1" x14ac:dyDescent="0.15">
      <c r="AA505" s="264"/>
    </row>
    <row r="506" spans="27:27" s="3" customFormat="1" x14ac:dyDescent="0.15">
      <c r="AA506" s="264"/>
    </row>
    <row r="507" spans="27:27" s="3" customFormat="1" x14ac:dyDescent="0.15">
      <c r="AA507" s="264"/>
    </row>
    <row r="508" spans="27:27" s="3" customFormat="1" x14ac:dyDescent="0.15">
      <c r="AA508" s="264"/>
    </row>
    <row r="509" spans="27:27" s="3" customFormat="1" x14ac:dyDescent="0.15">
      <c r="AA509" s="264"/>
    </row>
    <row r="510" spans="27:27" s="3" customFormat="1" x14ac:dyDescent="0.15">
      <c r="AA510" s="264"/>
    </row>
    <row r="511" spans="27:27" s="3" customFormat="1" x14ac:dyDescent="0.15">
      <c r="AA511" s="264"/>
    </row>
    <row r="512" spans="27:27" s="3" customFormat="1" x14ac:dyDescent="0.15">
      <c r="AA512" s="264"/>
    </row>
    <row r="513" spans="27:27" s="3" customFormat="1" x14ac:dyDescent="0.15">
      <c r="AA513" s="264"/>
    </row>
    <row r="514" spans="27:27" s="3" customFormat="1" x14ac:dyDescent="0.15">
      <c r="AA514" s="264"/>
    </row>
    <row r="515" spans="27:27" s="3" customFormat="1" x14ac:dyDescent="0.15">
      <c r="AA515" s="264"/>
    </row>
    <row r="516" spans="27:27" s="3" customFormat="1" x14ac:dyDescent="0.15">
      <c r="AA516" s="264"/>
    </row>
    <row r="517" spans="27:27" s="3" customFormat="1" x14ac:dyDescent="0.15">
      <c r="AA517" s="264"/>
    </row>
    <row r="518" spans="27:27" s="3" customFormat="1" x14ac:dyDescent="0.15">
      <c r="AA518" s="264"/>
    </row>
    <row r="519" spans="27:27" s="3" customFormat="1" x14ac:dyDescent="0.15">
      <c r="AA519" s="264"/>
    </row>
    <row r="520" spans="27:27" s="3" customFormat="1" x14ac:dyDescent="0.15">
      <c r="AA520" s="264"/>
    </row>
    <row r="521" spans="27:27" s="3" customFormat="1" x14ac:dyDescent="0.15">
      <c r="AA521" s="264"/>
    </row>
    <row r="522" spans="27:27" s="3" customFormat="1" x14ac:dyDescent="0.15">
      <c r="AA522" s="264"/>
    </row>
    <row r="523" spans="27:27" s="3" customFormat="1" x14ac:dyDescent="0.15">
      <c r="AA523" s="264"/>
    </row>
    <row r="524" spans="27:27" s="3" customFormat="1" x14ac:dyDescent="0.15">
      <c r="AA524" s="264"/>
    </row>
    <row r="525" spans="27:27" s="3" customFormat="1" x14ac:dyDescent="0.15">
      <c r="AA525" s="264"/>
    </row>
    <row r="526" spans="27:27" s="3" customFormat="1" x14ac:dyDescent="0.15">
      <c r="AA526" s="264"/>
    </row>
    <row r="527" spans="27:27" s="3" customFormat="1" x14ac:dyDescent="0.15">
      <c r="AA527" s="264"/>
    </row>
    <row r="528" spans="27:27" s="3" customFormat="1" x14ac:dyDescent="0.15">
      <c r="AA528" s="264"/>
    </row>
    <row r="529" spans="27:27" s="3" customFormat="1" x14ac:dyDescent="0.15">
      <c r="AA529" s="264"/>
    </row>
    <row r="530" spans="27:27" s="3" customFormat="1" x14ac:dyDescent="0.15">
      <c r="AA530" s="264"/>
    </row>
    <row r="531" spans="27:27" s="3" customFormat="1" x14ac:dyDescent="0.15">
      <c r="AA531" s="264"/>
    </row>
    <row r="532" spans="27:27" s="3" customFormat="1" x14ac:dyDescent="0.15">
      <c r="AA532" s="264"/>
    </row>
    <row r="533" spans="27:27" s="3" customFormat="1" x14ac:dyDescent="0.15">
      <c r="AA533" s="264"/>
    </row>
    <row r="534" spans="27:27" s="3" customFormat="1" x14ac:dyDescent="0.15">
      <c r="AA534" s="264"/>
    </row>
    <row r="535" spans="27:27" s="3" customFormat="1" x14ac:dyDescent="0.15">
      <c r="AA535" s="264"/>
    </row>
    <row r="536" spans="27:27" s="3" customFormat="1" x14ac:dyDescent="0.15">
      <c r="AA536" s="264"/>
    </row>
    <row r="537" spans="27:27" s="3" customFormat="1" x14ac:dyDescent="0.15">
      <c r="AA537" s="264"/>
    </row>
    <row r="538" spans="27:27" s="3" customFormat="1" x14ac:dyDescent="0.15">
      <c r="AA538" s="264"/>
    </row>
    <row r="539" spans="27:27" s="3" customFormat="1" x14ac:dyDescent="0.15">
      <c r="AA539" s="264"/>
    </row>
    <row r="540" spans="27:27" s="3" customFormat="1" x14ac:dyDescent="0.15">
      <c r="AA540" s="264"/>
    </row>
    <row r="541" spans="27:27" s="3" customFormat="1" x14ac:dyDescent="0.15">
      <c r="AA541" s="264"/>
    </row>
    <row r="542" spans="27:27" s="3" customFormat="1" x14ac:dyDescent="0.15">
      <c r="AA542" s="264"/>
    </row>
    <row r="543" spans="27:27" s="3" customFormat="1" x14ac:dyDescent="0.15">
      <c r="AA543" s="264"/>
    </row>
    <row r="544" spans="27:27" s="3" customFormat="1" x14ac:dyDescent="0.15">
      <c r="AA544" s="264"/>
    </row>
    <row r="545" spans="27:27" s="3" customFormat="1" x14ac:dyDescent="0.15">
      <c r="AA545" s="264"/>
    </row>
    <row r="546" spans="27:27" s="3" customFormat="1" x14ac:dyDescent="0.15">
      <c r="AA546" s="264"/>
    </row>
    <row r="547" spans="27:27" s="3" customFormat="1" x14ac:dyDescent="0.15">
      <c r="AA547" s="264"/>
    </row>
    <row r="548" spans="27:27" s="3" customFormat="1" x14ac:dyDescent="0.15">
      <c r="AA548" s="264"/>
    </row>
    <row r="549" spans="27:27" s="3" customFormat="1" x14ac:dyDescent="0.15">
      <c r="AA549" s="264"/>
    </row>
    <row r="550" spans="27:27" s="3" customFormat="1" x14ac:dyDescent="0.15">
      <c r="AA550" s="264"/>
    </row>
    <row r="551" spans="27:27" s="3" customFormat="1" x14ac:dyDescent="0.15">
      <c r="AA551" s="264"/>
    </row>
    <row r="552" spans="27:27" s="3" customFormat="1" x14ac:dyDescent="0.15">
      <c r="AA552" s="264"/>
    </row>
    <row r="553" spans="27:27" s="3" customFormat="1" x14ac:dyDescent="0.15">
      <c r="AA553" s="264"/>
    </row>
    <row r="554" spans="27:27" s="3" customFormat="1" x14ac:dyDescent="0.15">
      <c r="AA554" s="264"/>
    </row>
    <row r="555" spans="27:27" s="3" customFormat="1" x14ac:dyDescent="0.15">
      <c r="AA555" s="264"/>
    </row>
    <row r="556" spans="27:27" s="3" customFormat="1" x14ac:dyDescent="0.15">
      <c r="AA556" s="264"/>
    </row>
    <row r="557" spans="27:27" s="3" customFormat="1" x14ac:dyDescent="0.15">
      <c r="AA557" s="264"/>
    </row>
    <row r="558" spans="27:27" s="3" customFormat="1" x14ac:dyDescent="0.15">
      <c r="AA558" s="264"/>
    </row>
    <row r="559" spans="27:27" s="3" customFormat="1" x14ac:dyDescent="0.15">
      <c r="AA559" s="264"/>
    </row>
    <row r="560" spans="27:27" s="3" customFormat="1" x14ac:dyDescent="0.15">
      <c r="AA560" s="264"/>
    </row>
    <row r="561" spans="27:27" s="3" customFormat="1" x14ac:dyDescent="0.15">
      <c r="AA561" s="264"/>
    </row>
    <row r="562" spans="27:27" s="3" customFormat="1" x14ac:dyDescent="0.15">
      <c r="AA562" s="264"/>
    </row>
    <row r="563" spans="27:27" s="3" customFormat="1" x14ac:dyDescent="0.15">
      <c r="AA563" s="264"/>
    </row>
    <row r="564" spans="27:27" s="3" customFormat="1" x14ac:dyDescent="0.15">
      <c r="AA564" s="264"/>
    </row>
    <row r="565" spans="27:27" s="3" customFormat="1" x14ac:dyDescent="0.15">
      <c r="AA565" s="264"/>
    </row>
    <row r="566" spans="27:27" s="3" customFormat="1" x14ac:dyDescent="0.15">
      <c r="AA566" s="264"/>
    </row>
    <row r="567" spans="27:27" s="3" customFormat="1" x14ac:dyDescent="0.15">
      <c r="AA567" s="264"/>
    </row>
    <row r="568" spans="27:27" s="3" customFormat="1" x14ac:dyDescent="0.15">
      <c r="AA568" s="264"/>
    </row>
    <row r="569" spans="27:27" s="3" customFormat="1" x14ac:dyDescent="0.15">
      <c r="AA569" s="264"/>
    </row>
    <row r="570" spans="27:27" s="3" customFormat="1" x14ac:dyDescent="0.15">
      <c r="AA570" s="264"/>
    </row>
    <row r="571" spans="27:27" s="3" customFormat="1" x14ac:dyDescent="0.15">
      <c r="AA571" s="264"/>
    </row>
    <row r="572" spans="27:27" s="3" customFormat="1" x14ac:dyDescent="0.15">
      <c r="AA572" s="264"/>
    </row>
    <row r="573" spans="27:27" s="3" customFormat="1" x14ac:dyDescent="0.15">
      <c r="AA573" s="264"/>
    </row>
    <row r="574" spans="27:27" s="3" customFormat="1" x14ac:dyDescent="0.15">
      <c r="AA574" s="264"/>
    </row>
    <row r="575" spans="27:27" s="3" customFormat="1" x14ac:dyDescent="0.15">
      <c r="AA575" s="264"/>
    </row>
    <row r="576" spans="27:27" s="3" customFormat="1" x14ac:dyDescent="0.15">
      <c r="AA576" s="264"/>
    </row>
    <row r="577" spans="27:27" s="3" customFormat="1" x14ac:dyDescent="0.15">
      <c r="AA577" s="264"/>
    </row>
    <row r="578" spans="27:27" s="3" customFormat="1" x14ac:dyDescent="0.15">
      <c r="AA578" s="264"/>
    </row>
    <row r="579" spans="27:27" s="3" customFormat="1" x14ac:dyDescent="0.15">
      <c r="AA579" s="264"/>
    </row>
    <row r="580" spans="27:27" s="3" customFormat="1" x14ac:dyDescent="0.15">
      <c r="AA580" s="264"/>
    </row>
    <row r="581" spans="27:27" s="3" customFormat="1" x14ac:dyDescent="0.15">
      <c r="AA581" s="264"/>
    </row>
    <row r="582" spans="27:27" s="3" customFormat="1" x14ac:dyDescent="0.15">
      <c r="AA582" s="264"/>
    </row>
    <row r="583" spans="27:27" s="3" customFormat="1" x14ac:dyDescent="0.15">
      <c r="AA583" s="264"/>
    </row>
    <row r="584" spans="27:27" s="3" customFormat="1" x14ac:dyDescent="0.15">
      <c r="AA584" s="264"/>
    </row>
    <row r="585" spans="27:27" s="3" customFormat="1" x14ac:dyDescent="0.15">
      <c r="AA585" s="264"/>
    </row>
    <row r="586" spans="27:27" s="3" customFormat="1" x14ac:dyDescent="0.15">
      <c r="AA586" s="264"/>
    </row>
    <row r="587" spans="27:27" s="3" customFormat="1" x14ac:dyDescent="0.15">
      <c r="AA587" s="264"/>
    </row>
    <row r="588" spans="27:27" s="3" customFormat="1" x14ac:dyDescent="0.15">
      <c r="AA588" s="264"/>
    </row>
    <row r="589" spans="27:27" s="3" customFormat="1" x14ac:dyDescent="0.15">
      <c r="AA589" s="264"/>
    </row>
    <row r="590" spans="27:27" s="3" customFormat="1" x14ac:dyDescent="0.15">
      <c r="AA590" s="264"/>
    </row>
    <row r="591" spans="27:27" s="3" customFormat="1" x14ac:dyDescent="0.15">
      <c r="AA591" s="264"/>
    </row>
    <row r="592" spans="27:27" s="3" customFormat="1" x14ac:dyDescent="0.15">
      <c r="AA592" s="264"/>
    </row>
    <row r="593" spans="27:27" s="3" customFormat="1" x14ac:dyDescent="0.15">
      <c r="AA593" s="264"/>
    </row>
    <row r="594" spans="27:27" s="3" customFormat="1" x14ac:dyDescent="0.15">
      <c r="AA594" s="264"/>
    </row>
    <row r="595" spans="27:27" s="3" customFormat="1" x14ac:dyDescent="0.15">
      <c r="AA595" s="264"/>
    </row>
    <row r="596" spans="27:27" s="3" customFormat="1" x14ac:dyDescent="0.15">
      <c r="AA596" s="264"/>
    </row>
    <row r="597" spans="27:27" s="3" customFormat="1" x14ac:dyDescent="0.15">
      <c r="AA597" s="264"/>
    </row>
    <row r="598" spans="27:27" s="3" customFormat="1" x14ac:dyDescent="0.15">
      <c r="AA598" s="264"/>
    </row>
    <row r="599" spans="27:27" s="3" customFormat="1" x14ac:dyDescent="0.15">
      <c r="AA599" s="264"/>
    </row>
    <row r="600" spans="27:27" s="3" customFormat="1" x14ac:dyDescent="0.15">
      <c r="AA600" s="264"/>
    </row>
    <row r="601" spans="27:27" s="3" customFormat="1" x14ac:dyDescent="0.15">
      <c r="AA601" s="264"/>
    </row>
    <row r="602" spans="27:27" s="3" customFormat="1" x14ac:dyDescent="0.15">
      <c r="AA602" s="264"/>
    </row>
    <row r="603" spans="27:27" s="3" customFormat="1" x14ac:dyDescent="0.15">
      <c r="AA603" s="264"/>
    </row>
    <row r="604" spans="27:27" s="3" customFormat="1" x14ac:dyDescent="0.15">
      <c r="AA604" s="264"/>
    </row>
    <row r="605" spans="27:27" s="3" customFormat="1" x14ac:dyDescent="0.15">
      <c r="AA605" s="264"/>
    </row>
    <row r="606" spans="27:27" s="3" customFormat="1" x14ac:dyDescent="0.15">
      <c r="AA606" s="264"/>
    </row>
    <row r="607" spans="27:27" s="3" customFormat="1" x14ac:dyDescent="0.15">
      <c r="AA607" s="264"/>
    </row>
    <row r="608" spans="27:27" s="3" customFormat="1" x14ac:dyDescent="0.15">
      <c r="AA608" s="264"/>
    </row>
    <row r="609" spans="27:27" s="3" customFormat="1" x14ac:dyDescent="0.15">
      <c r="AA609" s="264"/>
    </row>
    <row r="610" spans="27:27" s="3" customFormat="1" x14ac:dyDescent="0.15">
      <c r="AA610" s="264"/>
    </row>
    <row r="611" spans="27:27" s="3" customFormat="1" x14ac:dyDescent="0.15">
      <c r="AA611" s="264"/>
    </row>
    <row r="612" spans="27:27" s="3" customFormat="1" x14ac:dyDescent="0.15">
      <c r="AA612" s="264"/>
    </row>
    <row r="613" spans="27:27" s="3" customFormat="1" x14ac:dyDescent="0.15">
      <c r="AA613" s="264"/>
    </row>
    <row r="614" spans="27:27" s="3" customFormat="1" x14ac:dyDescent="0.15">
      <c r="AA614" s="264"/>
    </row>
    <row r="615" spans="27:27" s="3" customFormat="1" x14ac:dyDescent="0.15">
      <c r="AA615" s="264"/>
    </row>
    <row r="616" spans="27:27" s="3" customFormat="1" x14ac:dyDescent="0.15">
      <c r="AA616" s="264"/>
    </row>
    <row r="617" spans="27:27" s="3" customFormat="1" x14ac:dyDescent="0.15">
      <c r="AA617" s="264"/>
    </row>
    <row r="618" spans="27:27" s="3" customFormat="1" x14ac:dyDescent="0.15">
      <c r="AA618" s="264"/>
    </row>
    <row r="619" spans="27:27" s="3" customFormat="1" x14ac:dyDescent="0.15">
      <c r="AA619" s="264"/>
    </row>
    <row r="620" spans="27:27" s="3" customFormat="1" x14ac:dyDescent="0.15">
      <c r="AA620" s="264"/>
    </row>
    <row r="621" spans="27:27" s="3" customFormat="1" x14ac:dyDescent="0.15">
      <c r="AA621" s="264"/>
    </row>
    <row r="622" spans="27:27" s="3" customFormat="1" x14ac:dyDescent="0.15">
      <c r="AA622" s="264"/>
    </row>
    <row r="623" spans="27:27" s="3" customFormat="1" x14ac:dyDescent="0.15">
      <c r="AA623" s="264"/>
    </row>
    <row r="624" spans="27:27" s="3" customFormat="1" x14ac:dyDescent="0.15">
      <c r="AA624" s="264"/>
    </row>
    <row r="625" spans="27:27" s="3" customFormat="1" x14ac:dyDescent="0.15">
      <c r="AA625" s="264"/>
    </row>
    <row r="626" spans="27:27" s="3" customFormat="1" x14ac:dyDescent="0.15">
      <c r="AA626" s="264"/>
    </row>
    <row r="627" spans="27:27" s="3" customFormat="1" x14ac:dyDescent="0.15">
      <c r="AA627" s="264"/>
    </row>
    <row r="628" spans="27:27" s="3" customFormat="1" x14ac:dyDescent="0.15">
      <c r="AA628" s="264"/>
    </row>
    <row r="629" spans="27:27" s="3" customFormat="1" x14ac:dyDescent="0.15">
      <c r="AA629" s="264"/>
    </row>
    <row r="630" spans="27:27" s="3" customFormat="1" x14ac:dyDescent="0.15">
      <c r="AA630" s="264"/>
    </row>
    <row r="631" spans="27:27" s="3" customFormat="1" x14ac:dyDescent="0.15">
      <c r="AA631" s="264"/>
    </row>
    <row r="632" spans="27:27" s="3" customFormat="1" x14ac:dyDescent="0.15">
      <c r="AA632" s="264"/>
    </row>
    <row r="633" spans="27:27" s="3" customFormat="1" x14ac:dyDescent="0.15">
      <c r="AA633" s="264"/>
    </row>
    <row r="634" spans="27:27" s="3" customFormat="1" x14ac:dyDescent="0.15">
      <c r="AA634" s="264"/>
    </row>
    <row r="635" spans="27:27" s="3" customFormat="1" x14ac:dyDescent="0.15">
      <c r="AA635" s="264"/>
    </row>
    <row r="636" spans="27:27" s="3" customFormat="1" x14ac:dyDescent="0.15">
      <c r="AA636" s="264"/>
    </row>
    <row r="637" spans="27:27" s="3" customFormat="1" x14ac:dyDescent="0.15">
      <c r="AA637" s="264"/>
    </row>
    <row r="638" spans="27:27" s="3" customFormat="1" x14ac:dyDescent="0.15">
      <c r="AA638" s="264"/>
    </row>
    <row r="639" spans="27:27" s="3" customFormat="1" x14ac:dyDescent="0.15">
      <c r="AA639" s="264"/>
    </row>
    <row r="640" spans="27:27" s="3" customFormat="1" x14ac:dyDescent="0.15">
      <c r="AA640" s="264"/>
    </row>
    <row r="641" spans="27:27" s="3" customFormat="1" x14ac:dyDescent="0.15">
      <c r="AA641" s="264"/>
    </row>
    <row r="642" spans="27:27" s="3" customFormat="1" x14ac:dyDescent="0.15">
      <c r="AA642" s="264"/>
    </row>
    <row r="643" spans="27:27" s="3" customFormat="1" x14ac:dyDescent="0.15">
      <c r="AA643" s="264"/>
    </row>
    <row r="644" spans="27:27" s="3" customFormat="1" x14ac:dyDescent="0.15">
      <c r="AA644" s="264"/>
    </row>
    <row r="645" spans="27:27" s="3" customFormat="1" x14ac:dyDescent="0.15">
      <c r="AA645" s="264"/>
    </row>
    <row r="646" spans="27:27" s="3" customFormat="1" x14ac:dyDescent="0.15">
      <c r="AA646" s="264"/>
    </row>
    <row r="647" spans="27:27" s="3" customFormat="1" x14ac:dyDescent="0.15">
      <c r="AA647" s="264"/>
    </row>
    <row r="648" spans="27:27" s="3" customFormat="1" x14ac:dyDescent="0.15">
      <c r="AA648" s="264"/>
    </row>
    <row r="649" spans="27:27" s="3" customFormat="1" x14ac:dyDescent="0.15">
      <c r="AA649" s="264"/>
    </row>
    <row r="650" spans="27:27" s="3" customFormat="1" x14ac:dyDescent="0.15">
      <c r="AA650" s="264"/>
    </row>
    <row r="651" spans="27:27" s="3" customFormat="1" x14ac:dyDescent="0.15">
      <c r="AA651" s="264"/>
    </row>
    <row r="652" spans="27:27" s="3" customFormat="1" x14ac:dyDescent="0.15">
      <c r="AA652" s="264"/>
    </row>
    <row r="653" spans="27:27" s="3" customFormat="1" x14ac:dyDescent="0.15">
      <c r="AA653" s="264"/>
    </row>
    <row r="654" spans="27:27" s="3" customFormat="1" x14ac:dyDescent="0.15">
      <c r="AA654" s="264"/>
    </row>
    <row r="655" spans="27:27" s="3" customFormat="1" x14ac:dyDescent="0.15">
      <c r="AA655" s="264"/>
    </row>
    <row r="656" spans="27:27" s="3" customFormat="1" x14ac:dyDescent="0.15">
      <c r="AA656" s="264"/>
    </row>
    <row r="657" spans="27:27" s="3" customFormat="1" x14ac:dyDescent="0.15">
      <c r="AA657" s="264"/>
    </row>
    <row r="658" spans="27:27" s="3" customFormat="1" x14ac:dyDescent="0.15">
      <c r="AA658" s="264"/>
    </row>
    <row r="659" spans="27:27" s="3" customFormat="1" x14ac:dyDescent="0.15">
      <c r="AA659" s="264"/>
    </row>
    <row r="660" spans="27:27" s="3" customFormat="1" x14ac:dyDescent="0.15">
      <c r="AA660" s="264"/>
    </row>
    <row r="661" spans="27:27" s="3" customFormat="1" x14ac:dyDescent="0.15">
      <c r="AA661" s="264"/>
    </row>
    <row r="662" spans="27:27" s="3" customFormat="1" x14ac:dyDescent="0.15">
      <c r="AA662" s="264"/>
    </row>
    <row r="663" spans="27:27" s="3" customFormat="1" x14ac:dyDescent="0.15">
      <c r="AA663" s="264"/>
    </row>
    <row r="664" spans="27:27" s="3" customFormat="1" x14ac:dyDescent="0.15">
      <c r="AA664" s="264"/>
    </row>
    <row r="665" spans="27:27" s="3" customFormat="1" x14ac:dyDescent="0.15">
      <c r="AA665" s="264"/>
    </row>
    <row r="666" spans="27:27" s="3" customFormat="1" x14ac:dyDescent="0.15">
      <c r="AA666" s="264"/>
    </row>
    <row r="667" spans="27:27" s="3" customFormat="1" x14ac:dyDescent="0.15">
      <c r="AA667" s="264"/>
    </row>
    <row r="668" spans="27:27" s="3" customFormat="1" x14ac:dyDescent="0.15">
      <c r="AA668" s="264"/>
    </row>
    <row r="669" spans="27:27" s="3" customFormat="1" x14ac:dyDescent="0.15">
      <c r="AA669" s="264"/>
    </row>
    <row r="670" spans="27:27" s="3" customFormat="1" x14ac:dyDescent="0.15">
      <c r="AA670" s="264"/>
    </row>
    <row r="671" spans="27:27" s="3" customFormat="1" x14ac:dyDescent="0.15">
      <c r="AA671" s="264"/>
    </row>
    <row r="672" spans="27:27" s="3" customFormat="1" x14ac:dyDescent="0.15">
      <c r="AA672" s="264"/>
    </row>
    <row r="673" spans="27:27" s="3" customFormat="1" x14ac:dyDescent="0.15">
      <c r="AA673" s="264"/>
    </row>
    <row r="674" spans="27:27" s="3" customFormat="1" x14ac:dyDescent="0.15">
      <c r="AA674" s="264"/>
    </row>
    <row r="675" spans="27:27" s="3" customFormat="1" x14ac:dyDescent="0.15">
      <c r="AA675" s="264"/>
    </row>
    <row r="676" spans="27:27" s="3" customFormat="1" x14ac:dyDescent="0.15">
      <c r="AA676" s="264"/>
    </row>
    <row r="677" spans="27:27" s="3" customFormat="1" x14ac:dyDescent="0.15">
      <c r="AA677" s="264"/>
    </row>
    <row r="678" spans="27:27" s="3" customFormat="1" x14ac:dyDescent="0.15">
      <c r="AA678" s="264"/>
    </row>
    <row r="679" spans="27:27" s="3" customFormat="1" x14ac:dyDescent="0.15">
      <c r="AA679" s="264"/>
    </row>
    <row r="680" spans="27:27" s="3" customFormat="1" x14ac:dyDescent="0.15">
      <c r="AA680" s="264"/>
    </row>
    <row r="681" spans="27:27" s="3" customFormat="1" x14ac:dyDescent="0.15">
      <c r="AA681" s="264"/>
    </row>
    <row r="682" spans="27:27" s="3" customFormat="1" x14ac:dyDescent="0.15">
      <c r="AA682" s="264"/>
    </row>
    <row r="683" spans="27:27" s="3" customFormat="1" x14ac:dyDescent="0.15">
      <c r="AA683" s="264"/>
    </row>
    <row r="684" spans="27:27" s="3" customFormat="1" x14ac:dyDescent="0.15">
      <c r="AA684" s="264"/>
    </row>
    <row r="685" spans="27:27" s="3" customFormat="1" x14ac:dyDescent="0.15">
      <c r="AA685" s="264"/>
    </row>
    <row r="686" spans="27:27" s="3" customFormat="1" x14ac:dyDescent="0.15">
      <c r="AA686" s="264"/>
    </row>
    <row r="687" spans="27:27" s="3" customFormat="1" x14ac:dyDescent="0.15">
      <c r="AA687" s="264"/>
    </row>
    <row r="688" spans="27:27" s="3" customFormat="1" x14ac:dyDescent="0.15">
      <c r="AA688" s="264"/>
    </row>
    <row r="689" spans="1:27" s="3" customFormat="1" x14ac:dyDescent="0.15">
      <c r="AA689" s="264"/>
    </row>
    <row r="690" spans="1:27" s="3" customFormat="1" x14ac:dyDescent="0.15">
      <c r="AA690" s="264"/>
    </row>
    <row r="691" spans="1:27" s="3" customFormat="1" x14ac:dyDescent="0.15">
      <c r="AA691" s="264"/>
    </row>
    <row r="692" spans="1:27" x14ac:dyDescent="0.15">
      <c r="A692" s="3"/>
      <c r="B692" s="3"/>
      <c r="C692" s="3"/>
      <c r="D692" s="3"/>
      <c r="E692" s="3"/>
      <c r="F692" s="3"/>
      <c r="G692" s="3"/>
      <c r="H692" s="3"/>
      <c r="I692" s="3"/>
    </row>
    <row r="693" spans="1:27" x14ac:dyDescent="0.15">
      <c r="A693" s="3"/>
      <c r="B693" s="3"/>
      <c r="C693" s="3"/>
      <c r="D693" s="3"/>
      <c r="E693" s="3"/>
      <c r="F693" s="3"/>
      <c r="G693" s="3"/>
      <c r="H693" s="3"/>
      <c r="I693" s="3"/>
    </row>
    <row r="694" spans="1:27" x14ac:dyDescent="0.15">
      <c r="A694" s="3"/>
      <c r="B694" s="3"/>
      <c r="C694" s="3"/>
      <c r="D694" s="3"/>
      <c r="E694" s="3"/>
      <c r="F694" s="3"/>
      <c r="G694" s="3"/>
      <c r="H694" s="3"/>
      <c r="I694" s="3"/>
    </row>
    <row r="695" spans="1:27" x14ac:dyDescent="0.15">
      <c r="I695" s="4"/>
    </row>
    <row r="696" spans="1:27" x14ac:dyDescent="0.15">
      <c r="I696" s="4"/>
    </row>
    <row r="697" spans="1:27" x14ac:dyDescent="0.15">
      <c r="I697" s="4"/>
    </row>
    <row r="698" spans="1:27" x14ac:dyDescent="0.15">
      <c r="I698" s="4"/>
    </row>
    <row r="699" spans="1:27" x14ac:dyDescent="0.15">
      <c r="I699" s="4"/>
    </row>
    <row r="700" spans="1:27" x14ac:dyDescent="0.15">
      <c r="I700" s="4"/>
    </row>
    <row r="701" spans="1:27" x14ac:dyDescent="0.15">
      <c r="I701" s="4"/>
    </row>
    <row r="702" spans="1:27" x14ac:dyDescent="0.15">
      <c r="I702" s="4"/>
    </row>
    <row r="703" spans="1:27" x14ac:dyDescent="0.15">
      <c r="I703" s="4"/>
    </row>
    <row r="704" spans="1:27" x14ac:dyDescent="0.15">
      <c r="I704" s="4"/>
    </row>
    <row r="705" spans="9:9" x14ac:dyDescent="0.15">
      <c r="I705" s="4"/>
    </row>
    <row r="706" spans="9:9" x14ac:dyDescent="0.15">
      <c r="I706" s="4"/>
    </row>
    <row r="707" spans="9:9" x14ac:dyDescent="0.15">
      <c r="I707" s="4"/>
    </row>
    <row r="708" spans="9:9" x14ac:dyDescent="0.15">
      <c r="I708" s="4"/>
    </row>
    <row r="709" spans="9:9" x14ac:dyDescent="0.15">
      <c r="I709" s="4"/>
    </row>
    <row r="710" spans="9:9" x14ac:dyDescent="0.15">
      <c r="I710" s="4"/>
    </row>
    <row r="711" spans="9:9" x14ac:dyDescent="0.15">
      <c r="I711" s="4"/>
    </row>
    <row r="712" spans="9:9" x14ac:dyDescent="0.15">
      <c r="I712" s="4"/>
    </row>
    <row r="713" spans="9:9" x14ac:dyDescent="0.15">
      <c r="I713" s="4"/>
    </row>
    <row r="714" spans="9:9" x14ac:dyDescent="0.15">
      <c r="I714" s="4"/>
    </row>
    <row r="715" spans="9:9" x14ac:dyDescent="0.15">
      <c r="I715" s="4"/>
    </row>
    <row r="716" spans="9:9" x14ac:dyDescent="0.15">
      <c r="I716" s="4"/>
    </row>
    <row r="717" spans="9:9" x14ac:dyDescent="0.15">
      <c r="I717" s="4"/>
    </row>
    <row r="718" spans="9:9" x14ac:dyDescent="0.15">
      <c r="I718" s="4"/>
    </row>
    <row r="719" spans="9:9" x14ac:dyDescent="0.15">
      <c r="I719" s="4"/>
    </row>
    <row r="720" spans="9:9" x14ac:dyDescent="0.15">
      <c r="I720" s="4"/>
    </row>
    <row r="721" spans="9:9" x14ac:dyDescent="0.15">
      <c r="I721" s="4"/>
    </row>
    <row r="722" spans="9:9" x14ac:dyDescent="0.15">
      <c r="I722" s="4"/>
    </row>
    <row r="723" spans="9:9" x14ac:dyDescent="0.15">
      <c r="I723" s="4"/>
    </row>
    <row r="724" spans="9:9" x14ac:dyDescent="0.15">
      <c r="I724" s="4"/>
    </row>
    <row r="725" spans="9:9" x14ac:dyDescent="0.15">
      <c r="I725" s="4"/>
    </row>
    <row r="726" spans="9:9" x14ac:dyDescent="0.15">
      <c r="I726" s="4"/>
    </row>
    <row r="727" spans="9:9" x14ac:dyDescent="0.15">
      <c r="I727" s="4"/>
    </row>
    <row r="728" spans="9:9" x14ac:dyDescent="0.15">
      <c r="I728" s="4"/>
    </row>
    <row r="729" spans="9:9" x14ac:dyDescent="0.15">
      <c r="I729" s="4"/>
    </row>
    <row r="730" spans="9:9" x14ac:dyDescent="0.15">
      <c r="I730" s="4"/>
    </row>
    <row r="731" spans="9:9" x14ac:dyDescent="0.15">
      <c r="I731" s="4"/>
    </row>
    <row r="732" spans="9:9" x14ac:dyDescent="0.15">
      <c r="I732" s="4"/>
    </row>
    <row r="733" spans="9:9" x14ac:dyDescent="0.15">
      <c r="I733" s="4"/>
    </row>
    <row r="734" spans="9:9" x14ac:dyDescent="0.15">
      <c r="I734" s="4"/>
    </row>
    <row r="735" spans="9:9" x14ac:dyDescent="0.15">
      <c r="I735" s="4"/>
    </row>
    <row r="736" spans="9:9" x14ac:dyDescent="0.15">
      <c r="I736" s="4"/>
    </row>
    <row r="737" spans="9:9" x14ac:dyDescent="0.15">
      <c r="I737" s="4"/>
    </row>
    <row r="738" spans="9:9" x14ac:dyDescent="0.15">
      <c r="I738" s="4"/>
    </row>
    <row r="739" spans="9:9" x14ac:dyDescent="0.15">
      <c r="I739" s="4"/>
    </row>
    <row r="740" spans="9:9" x14ac:dyDescent="0.15">
      <c r="I740" s="4"/>
    </row>
    <row r="741" spans="9:9" x14ac:dyDescent="0.15">
      <c r="I741" s="4"/>
    </row>
    <row r="742" spans="9:9" x14ac:dyDescent="0.15">
      <c r="I742" s="4"/>
    </row>
    <row r="743" spans="9:9" x14ac:dyDescent="0.15">
      <c r="I743" s="4"/>
    </row>
    <row r="744" spans="9:9" x14ac:dyDescent="0.15">
      <c r="I744" s="4"/>
    </row>
    <row r="745" spans="9:9" x14ac:dyDescent="0.15">
      <c r="I745" s="4"/>
    </row>
    <row r="746" spans="9:9" x14ac:dyDescent="0.15">
      <c r="I746" s="4"/>
    </row>
    <row r="747" spans="9:9" x14ac:dyDescent="0.15">
      <c r="I747" s="4"/>
    </row>
    <row r="748" spans="9:9" x14ac:dyDescent="0.15">
      <c r="I748" s="4"/>
    </row>
    <row r="749" spans="9:9" x14ac:dyDescent="0.15">
      <c r="I749" s="4"/>
    </row>
    <row r="750" spans="9:9" x14ac:dyDescent="0.15">
      <c r="I750" s="4"/>
    </row>
    <row r="751" spans="9:9" x14ac:dyDescent="0.15">
      <c r="I751" s="4"/>
    </row>
    <row r="752" spans="9:9" x14ac:dyDescent="0.15">
      <c r="I752" s="4"/>
    </row>
    <row r="753" spans="9:9" x14ac:dyDescent="0.15">
      <c r="I753" s="4"/>
    </row>
    <row r="754" spans="9:9" x14ac:dyDescent="0.15">
      <c r="I754" s="4"/>
    </row>
    <row r="755" spans="9:9" x14ac:dyDescent="0.15">
      <c r="I755" s="4"/>
    </row>
    <row r="756" spans="9:9" x14ac:dyDescent="0.15">
      <c r="I756" s="4"/>
    </row>
    <row r="757" spans="9:9" x14ac:dyDescent="0.15">
      <c r="I757" s="4"/>
    </row>
    <row r="758" spans="9:9" x14ac:dyDescent="0.15">
      <c r="I758" s="4"/>
    </row>
    <row r="759" spans="9:9" x14ac:dyDescent="0.15">
      <c r="I759" s="4"/>
    </row>
    <row r="760" spans="9:9" x14ac:dyDescent="0.15">
      <c r="I760" s="4"/>
    </row>
    <row r="761" spans="9:9" x14ac:dyDescent="0.15">
      <c r="I761" s="4"/>
    </row>
    <row r="762" spans="9:9" x14ac:dyDescent="0.15">
      <c r="I762" s="4"/>
    </row>
    <row r="763" spans="9:9" x14ac:dyDescent="0.15">
      <c r="I763" s="4"/>
    </row>
    <row r="764" spans="9:9" x14ac:dyDescent="0.15">
      <c r="I764" s="4"/>
    </row>
    <row r="765" spans="9:9" x14ac:dyDescent="0.15">
      <c r="I765" s="4"/>
    </row>
    <row r="766" spans="9:9" x14ac:dyDescent="0.15">
      <c r="I766" s="4"/>
    </row>
    <row r="767" spans="9:9" x14ac:dyDescent="0.15">
      <c r="I767" s="4"/>
    </row>
    <row r="768" spans="9:9" x14ac:dyDescent="0.15">
      <c r="I768" s="4"/>
    </row>
    <row r="769" spans="9:9" x14ac:dyDescent="0.15">
      <c r="I769" s="4"/>
    </row>
    <row r="770" spans="9:9" x14ac:dyDescent="0.15">
      <c r="I770" s="4"/>
    </row>
    <row r="771" spans="9:9" x14ac:dyDescent="0.15">
      <c r="I771" s="4"/>
    </row>
    <row r="772" spans="9:9" x14ac:dyDescent="0.15">
      <c r="I772" s="4"/>
    </row>
    <row r="773" spans="9:9" x14ac:dyDescent="0.15">
      <c r="I773" s="4"/>
    </row>
    <row r="774" spans="9:9" x14ac:dyDescent="0.15">
      <c r="I774" s="4"/>
    </row>
    <row r="775" spans="9:9" x14ac:dyDescent="0.15">
      <c r="I775" s="4"/>
    </row>
    <row r="776" spans="9:9" x14ac:dyDescent="0.15">
      <c r="I776" s="4"/>
    </row>
    <row r="777" spans="9:9" x14ac:dyDescent="0.15">
      <c r="I777" s="4"/>
    </row>
    <row r="778" spans="9:9" x14ac:dyDescent="0.15">
      <c r="I778" s="4"/>
    </row>
    <row r="779" spans="9:9" x14ac:dyDescent="0.15">
      <c r="I779" s="4"/>
    </row>
    <row r="780" spans="9:9" x14ac:dyDescent="0.15">
      <c r="I780" s="4"/>
    </row>
    <row r="781" spans="9:9" x14ac:dyDescent="0.15">
      <c r="I781" s="4"/>
    </row>
    <row r="782" spans="9:9" x14ac:dyDescent="0.15">
      <c r="I782" s="4"/>
    </row>
    <row r="783" spans="9:9" x14ac:dyDescent="0.15">
      <c r="I783" s="4"/>
    </row>
    <row r="784" spans="9:9" x14ac:dyDescent="0.15">
      <c r="I784" s="4"/>
    </row>
    <row r="785" spans="9:9" x14ac:dyDescent="0.15">
      <c r="I785" s="4"/>
    </row>
    <row r="786" spans="9:9" x14ac:dyDescent="0.15">
      <c r="I786" s="4"/>
    </row>
    <row r="787" spans="9:9" x14ac:dyDescent="0.15">
      <c r="I787" s="4"/>
    </row>
    <row r="788" spans="9:9" x14ac:dyDescent="0.15">
      <c r="I788" s="4"/>
    </row>
    <row r="789" spans="9:9" x14ac:dyDescent="0.15">
      <c r="I789" s="4"/>
    </row>
    <row r="790" spans="9:9" x14ac:dyDescent="0.15">
      <c r="I790" s="4"/>
    </row>
    <row r="791" spans="9:9" x14ac:dyDescent="0.15">
      <c r="I791" s="4"/>
    </row>
    <row r="792" spans="9:9" x14ac:dyDescent="0.15">
      <c r="I792" s="4"/>
    </row>
    <row r="793" spans="9:9" x14ac:dyDescent="0.15">
      <c r="I793" s="4"/>
    </row>
    <row r="794" spans="9:9" x14ac:dyDescent="0.15">
      <c r="I794" s="4"/>
    </row>
    <row r="795" spans="9:9" x14ac:dyDescent="0.15">
      <c r="I795" s="4"/>
    </row>
    <row r="796" spans="9:9" x14ac:dyDescent="0.15">
      <c r="I796" s="4"/>
    </row>
    <row r="797" spans="9:9" x14ac:dyDescent="0.15">
      <c r="I797" s="4"/>
    </row>
    <row r="798" spans="9:9" x14ac:dyDescent="0.15">
      <c r="I798" s="4"/>
    </row>
    <row r="799" spans="9:9" x14ac:dyDescent="0.15">
      <c r="I799" s="4"/>
    </row>
    <row r="800" spans="9:9" x14ac:dyDescent="0.15">
      <c r="I800" s="4"/>
    </row>
    <row r="801" spans="9:9" x14ac:dyDescent="0.15">
      <c r="I801" s="4"/>
    </row>
    <row r="802" spans="9:9" x14ac:dyDescent="0.15">
      <c r="I802" s="4"/>
    </row>
    <row r="803" spans="9:9" x14ac:dyDescent="0.15">
      <c r="I803" s="4"/>
    </row>
    <row r="804" spans="9:9" x14ac:dyDescent="0.15">
      <c r="I804" s="4"/>
    </row>
    <row r="805" spans="9:9" x14ac:dyDescent="0.15">
      <c r="I805" s="4"/>
    </row>
    <row r="806" spans="9:9" x14ac:dyDescent="0.15">
      <c r="I806" s="4"/>
    </row>
    <row r="807" spans="9:9" x14ac:dyDescent="0.15">
      <c r="I807" s="4"/>
    </row>
    <row r="808" spans="9:9" x14ac:dyDescent="0.15">
      <c r="I808" s="4"/>
    </row>
    <row r="809" spans="9:9" x14ac:dyDescent="0.15">
      <c r="I809" s="4"/>
    </row>
    <row r="810" spans="9:9" x14ac:dyDescent="0.15">
      <c r="I810" s="4"/>
    </row>
    <row r="811" spans="9:9" x14ac:dyDescent="0.15">
      <c r="I811" s="4"/>
    </row>
    <row r="812" spans="9:9" x14ac:dyDescent="0.15">
      <c r="I812" s="4"/>
    </row>
    <row r="813" spans="9:9" x14ac:dyDescent="0.15">
      <c r="I813" s="4"/>
    </row>
    <row r="814" spans="9:9" x14ac:dyDescent="0.15">
      <c r="I814" s="4"/>
    </row>
    <row r="815" spans="9:9" x14ac:dyDescent="0.15">
      <c r="I815" s="4"/>
    </row>
    <row r="816" spans="9:9" x14ac:dyDescent="0.15">
      <c r="I816" s="4"/>
    </row>
    <row r="817" spans="9:9" x14ac:dyDescent="0.15">
      <c r="I817" s="4"/>
    </row>
    <row r="818" spans="9:9" x14ac:dyDescent="0.15">
      <c r="I818" s="4"/>
    </row>
    <row r="819" spans="9:9" x14ac:dyDescent="0.15">
      <c r="I819" s="4"/>
    </row>
    <row r="820" spans="9:9" x14ac:dyDescent="0.15">
      <c r="I820" s="4"/>
    </row>
    <row r="821" spans="9:9" x14ac:dyDescent="0.15">
      <c r="I821" s="4"/>
    </row>
    <row r="822" spans="9:9" x14ac:dyDescent="0.15">
      <c r="I822" s="4"/>
    </row>
  </sheetData>
  <dataConsolidate/>
  <mergeCells count="96">
    <mergeCell ref="H71:I71"/>
    <mergeCell ref="H79:I79"/>
    <mergeCell ref="H80:I80"/>
    <mergeCell ref="C6:E6"/>
    <mergeCell ref="H76:I76"/>
    <mergeCell ref="H77:I77"/>
    <mergeCell ref="H78:I78"/>
    <mergeCell ref="H72:I72"/>
    <mergeCell ref="H73:I73"/>
    <mergeCell ref="H74:I74"/>
    <mergeCell ref="H75:I75"/>
    <mergeCell ref="H68:I68"/>
    <mergeCell ref="H69:I69"/>
    <mergeCell ref="H64:I64"/>
    <mergeCell ref="H65:I65"/>
    <mergeCell ref="H66:I66"/>
    <mergeCell ref="H70:I70"/>
    <mergeCell ref="H60:I60"/>
    <mergeCell ref="H61:I61"/>
    <mergeCell ref="H62:I62"/>
    <mergeCell ref="H63:I63"/>
    <mergeCell ref="H58:I58"/>
    <mergeCell ref="H59:I59"/>
    <mergeCell ref="H54:I54"/>
    <mergeCell ref="H55:I55"/>
    <mergeCell ref="H67:I67"/>
    <mergeCell ref="H42:I42"/>
    <mergeCell ref="H43:I43"/>
    <mergeCell ref="H44:I44"/>
    <mergeCell ref="H56:I56"/>
    <mergeCell ref="H57:I57"/>
    <mergeCell ref="H50:I50"/>
    <mergeCell ref="H51:I51"/>
    <mergeCell ref="H52:I52"/>
    <mergeCell ref="H53:I53"/>
    <mergeCell ref="H45:I45"/>
    <mergeCell ref="H46:I46"/>
    <mergeCell ref="H47:I47"/>
    <mergeCell ref="H48:I48"/>
    <mergeCell ref="H49:I49"/>
    <mergeCell ref="H40:I40"/>
    <mergeCell ref="H41:I41"/>
    <mergeCell ref="H28:I28"/>
    <mergeCell ref="H29:I29"/>
    <mergeCell ref="H30:I30"/>
    <mergeCell ref="H31:I31"/>
    <mergeCell ref="H32:I32"/>
    <mergeCell ref="H33:I33"/>
    <mergeCell ref="H34:I34"/>
    <mergeCell ref="H35:I35"/>
    <mergeCell ref="H36:I36"/>
    <mergeCell ref="H37:I37"/>
    <mergeCell ref="H24:I24"/>
    <mergeCell ref="H25:I25"/>
    <mergeCell ref="H26:I26"/>
    <mergeCell ref="H27:I27"/>
    <mergeCell ref="D9:E9"/>
    <mergeCell ref="H9:I9"/>
    <mergeCell ref="H10:I10"/>
    <mergeCell ref="H11:I11"/>
    <mergeCell ref="H12:I12"/>
    <mergeCell ref="H13:I13"/>
    <mergeCell ref="H16:I16"/>
    <mergeCell ref="H17:I17"/>
    <mergeCell ref="H18:I18"/>
    <mergeCell ref="H19:I19"/>
    <mergeCell ref="H20:I20"/>
    <mergeCell ref="H21:I21"/>
    <mergeCell ref="H101:I101"/>
    <mergeCell ref="H87:I87"/>
    <mergeCell ref="H90:I90"/>
    <mergeCell ref="H93:I93"/>
    <mergeCell ref="H97:I97"/>
    <mergeCell ref="H88:I88"/>
    <mergeCell ref="H89:I89"/>
    <mergeCell ref="H91:I91"/>
    <mergeCell ref="H92:I92"/>
    <mergeCell ref="H94:I94"/>
    <mergeCell ref="H95:I95"/>
    <mergeCell ref="H96:I96"/>
    <mergeCell ref="M1:N1"/>
    <mergeCell ref="H98:I98"/>
    <mergeCell ref="H99:I99"/>
    <mergeCell ref="H100:I100"/>
    <mergeCell ref="H83:I83"/>
    <mergeCell ref="H84:I84"/>
    <mergeCell ref="H85:I85"/>
    <mergeCell ref="H86:I86"/>
    <mergeCell ref="H14:I14"/>
    <mergeCell ref="H15:I15"/>
    <mergeCell ref="H22:I22"/>
    <mergeCell ref="H23:I23"/>
    <mergeCell ref="H81:I81"/>
    <mergeCell ref="H82:I82"/>
    <mergeCell ref="H38:I38"/>
    <mergeCell ref="H39:I39"/>
  </mergeCells>
  <phoneticPr fontId="5" type="noConversion"/>
  <pageMargins left="0.70866141732283472" right="0.27559055118110237" top="1.1811023622047245" bottom="0.78740157480314965" header="0.51181102362204722" footer="0.59055118110236227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72" r:id="rId4" name="CommandButton7">
          <controlPr defaultSize="0" autoLine="0" r:id="rId5">
            <anchor moveWithCells="1">
              <from>
                <xdr:col>17</xdr:col>
                <xdr:colOff>276225</xdr:colOff>
                <xdr:row>19</xdr:row>
                <xdr:rowOff>247650</xdr:rowOff>
              </from>
              <to>
                <xdr:col>19</xdr:col>
                <xdr:colOff>647700</xdr:colOff>
                <xdr:row>21</xdr:row>
                <xdr:rowOff>133350</xdr:rowOff>
              </to>
            </anchor>
          </controlPr>
        </control>
      </mc:Choice>
      <mc:Fallback>
        <control shapeId="10272" r:id="rId4" name="CommandButton7"/>
      </mc:Fallback>
    </mc:AlternateContent>
    <mc:AlternateContent xmlns:mc="http://schemas.openxmlformats.org/markup-compatibility/2006">
      <mc:Choice Requires="x14">
        <control shapeId="10267" r:id="rId6" name="CommandButton5">
          <controlPr defaultSize="0" autoLine="0" r:id="rId7">
            <anchor moveWithCells="1">
              <from>
                <xdr:col>17</xdr:col>
                <xdr:colOff>276225</xdr:colOff>
                <xdr:row>16</xdr:row>
                <xdr:rowOff>66675</xdr:rowOff>
              </from>
              <to>
                <xdr:col>19</xdr:col>
                <xdr:colOff>647700</xdr:colOff>
                <xdr:row>17</xdr:row>
                <xdr:rowOff>219075</xdr:rowOff>
              </to>
            </anchor>
          </controlPr>
        </control>
      </mc:Choice>
      <mc:Fallback>
        <control shapeId="10267" r:id="rId6" name="CommandButton5"/>
      </mc:Fallback>
    </mc:AlternateContent>
    <mc:AlternateContent xmlns:mc="http://schemas.openxmlformats.org/markup-compatibility/2006">
      <mc:Choice Requires="x14">
        <control shapeId="10266" r:id="rId8" name="CommandButton4">
          <controlPr defaultSize="0" autoLine="0" r:id="rId9">
            <anchor moveWithCells="1">
              <from>
                <xdr:col>17</xdr:col>
                <xdr:colOff>276225</xdr:colOff>
                <xdr:row>18</xdr:row>
                <xdr:rowOff>28575</xdr:rowOff>
              </from>
              <to>
                <xdr:col>19</xdr:col>
                <xdr:colOff>647700</xdr:colOff>
                <xdr:row>19</xdr:row>
                <xdr:rowOff>180975</xdr:rowOff>
              </to>
            </anchor>
          </controlPr>
        </control>
      </mc:Choice>
      <mc:Fallback>
        <control shapeId="10266" r:id="rId8" name="CommandButton4"/>
      </mc:Fallback>
    </mc:AlternateContent>
    <mc:AlternateContent xmlns:mc="http://schemas.openxmlformats.org/markup-compatibility/2006">
      <mc:Choice Requires="x14">
        <control shapeId="10263" r:id="rId10" name="CommandButton2">
          <controlPr defaultSize="0" autoLine="0" r:id="rId11">
            <anchor moveWithCells="1">
              <from>
                <xdr:col>17</xdr:col>
                <xdr:colOff>352425</xdr:colOff>
                <xdr:row>30</xdr:row>
                <xdr:rowOff>114300</xdr:rowOff>
              </from>
              <to>
                <xdr:col>19</xdr:col>
                <xdr:colOff>723900</xdr:colOff>
                <xdr:row>32</xdr:row>
                <xdr:rowOff>0</xdr:rowOff>
              </to>
            </anchor>
          </controlPr>
        </control>
      </mc:Choice>
      <mc:Fallback>
        <control shapeId="10263" r:id="rId10" name="CommandButton2"/>
      </mc:Fallback>
    </mc:AlternateContent>
    <mc:AlternateContent xmlns:mc="http://schemas.openxmlformats.org/markup-compatibility/2006">
      <mc:Choice Requires="x14">
        <control shapeId="10254" r:id="rId12" name="CommandButton1">
          <controlPr defaultSize="0" autoLine="0" r:id="rId13">
            <anchor moveWithCells="1">
              <from>
                <xdr:col>17</xdr:col>
                <xdr:colOff>352425</xdr:colOff>
                <xdr:row>32</xdr:row>
                <xdr:rowOff>104775</xdr:rowOff>
              </from>
              <to>
                <xdr:col>19</xdr:col>
                <xdr:colOff>723900</xdr:colOff>
                <xdr:row>33</xdr:row>
                <xdr:rowOff>257175</xdr:rowOff>
              </to>
            </anchor>
          </controlPr>
        </control>
      </mc:Choice>
      <mc:Fallback>
        <control shapeId="10254" r:id="rId12" name="CommandButton1"/>
      </mc:Fallback>
    </mc:AlternateContent>
    <mc:AlternateContent xmlns:mc="http://schemas.openxmlformats.org/markup-compatibility/2006">
      <mc:Choice Requires="x14">
        <control shapeId="10268" r:id="rId14" name="Frame1">
          <controlPr defaultSize="0" autoLine="0" r:id="rId15">
            <anchor moveWithCells="1">
              <from>
                <xdr:col>17</xdr:col>
                <xdr:colOff>666750</xdr:colOff>
                <xdr:row>22</xdr:row>
                <xdr:rowOff>257175</xdr:rowOff>
              </from>
              <to>
                <xdr:col>19</xdr:col>
                <xdr:colOff>352425</xdr:colOff>
                <xdr:row>29</xdr:row>
                <xdr:rowOff>238125</xdr:rowOff>
              </to>
            </anchor>
          </controlPr>
        </control>
      </mc:Choice>
      <mc:Fallback>
        <control shapeId="10268" r:id="rId14" name="Frame1"/>
      </mc:Fallback>
    </mc:AlternateContent>
    <mc:AlternateContent xmlns:mc="http://schemas.openxmlformats.org/markup-compatibility/2006">
      <mc:Choice Requires="x14">
        <control shapeId="10269" r:id="rId16" name="CommandButton3">
          <controlPr defaultSize="0" autoLine="0" r:id="rId17">
            <anchor moveWithCells="1">
              <from>
                <xdr:col>10</xdr:col>
                <xdr:colOff>104775</xdr:colOff>
                <xdr:row>13</xdr:row>
                <xdr:rowOff>238125</xdr:rowOff>
              </from>
              <to>
                <xdr:col>12</xdr:col>
                <xdr:colOff>133350</xdr:colOff>
                <xdr:row>15</xdr:row>
                <xdr:rowOff>123825</xdr:rowOff>
              </to>
            </anchor>
          </controlPr>
        </control>
      </mc:Choice>
      <mc:Fallback>
        <control shapeId="10269" r:id="rId16" name="CommandButton3"/>
      </mc:Fallback>
    </mc:AlternateContent>
    <mc:AlternateContent xmlns:mc="http://schemas.openxmlformats.org/markup-compatibility/2006">
      <mc:Choice Requires="x14">
        <control shapeId="10270" r:id="rId18" name="CommandButton6">
          <controlPr defaultSize="0" autoLine="0" r:id="rId19">
            <anchor moveWithCells="1">
              <from>
                <xdr:col>10</xdr:col>
                <xdr:colOff>104775</xdr:colOff>
                <xdr:row>11</xdr:row>
                <xdr:rowOff>247650</xdr:rowOff>
              </from>
              <to>
                <xdr:col>12</xdr:col>
                <xdr:colOff>133350</xdr:colOff>
                <xdr:row>13</xdr:row>
                <xdr:rowOff>133350</xdr:rowOff>
              </to>
            </anchor>
          </controlPr>
        </control>
      </mc:Choice>
      <mc:Fallback>
        <control shapeId="10270" r:id="rId18" name="CommandButton6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2:Q22"/>
  <sheetViews>
    <sheetView workbookViewId="0"/>
  </sheetViews>
  <sheetFormatPr defaultRowHeight="13.5" x14ac:dyDescent="0.15"/>
  <cols>
    <col min="1" max="1" width="8.88671875" style="69"/>
    <col min="4" max="4" width="11.5546875" style="74" customWidth="1"/>
    <col min="5" max="5" width="7" bestFit="1" customWidth="1"/>
    <col min="6" max="6" width="4.77734375" customWidth="1"/>
    <col min="7" max="7" width="5.21875" customWidth="1"/>
    <col min="8" max="8" width="6.21875" customWidth="1"/>
    <col min="9" max="15" width="4.77734375" customWidth="1"/>
    <col min="16" max="17" width="5.21875" customWidth="1"/>
  </cols>
  <sheetData>
    <row r="2" spans="1:17" ht="27" customHeight="1" x14ac:dyDescent="0.15">
      <c r="A2" s="69" t="s">
        <v>78</v>
      </c>
      <c r="B2" s="70">
        <f>입력표!M51</f>
        <v>520</v>
      </c>
      <c r="C2" t="s">
        <v>79</v>
      </c>
      <c r="D2" s="71" t="s">
        <v>80</v>
      </c>
      <c r="E2" s="72">
        <v>57.6</v>
      </c>
      <c r="F2" s="72">
        <v>72</v>
      </c>
      <c r="G2" s="72">
        <v>86.4</v>
      </c>
      <c r="H2" s="72">
        <v>115.2</v>
      </c>
      <c r="I2" s="72">
        <v>144</v>
      </c>
      <c r="J2" s="72">
        <v>216</v>
      </c>
      <c r="K2" s="72">
        <v>288</v>
      </c>
      <c r="L2" s="72">
        <v>432</v>
      </c>
      <c r="M2" s="72">
        <v>576</v>
      </c>
      <c r="N2" s="72">
        <v>720</v>
      </c>
      <c r="O2" s="72">
        <v>864</v>
      </c>
      <c r="P2" s="72">
        <v>1152</v>
      </c>
      <c r="Q2" s="72">
        <v>1440</v>
      </c>
    </row>
    <row r="3" spans="1:17" ht="27" customHeight="1" x14ac:dyDescent="0.15">
      <c r="A3" s="69" t="s">
        <v>81</v>
      </c>
      <c r="B3" s="266">
        <f>INT(86400*76/1000)*0+6572.5</f>
        <v>6572.5</v>
      </c>
      <c r="C3" t="s">
        <v>82</v>
      </c>
      <c r="D3" s="71" t="s">
        <v>83</v>
      </c>
      <c r="E3" s="72">
        <v>40</v>
      </c>
      <c r="F3" s="72">
        <v>42</v>
      </c>
      <c r="G3" s="72">
        <v>45</v>
      </c>
      <c r="H3" s="72">
        <v>48</v>
      </c>
      <c r="I3" s="72">
        <v>50</v>
      </c>
      <c r="J3" s="72">
        <v>52</v>
      </c>
      <c r="K3" s="72">
        <v>54</v>
      </c>
      <c r="L3" s="72">
        <v>57</v>
      </c>
      <c r="M3" s="72">
        <v>59</v>
      </c>
      <c r="N3" s="72">
        <v>61</v>
      </c>
      <c r="O3" s="72">
        <v>62</v>
      </c>
      <c r="P3" s="72">
        <v>64</v>
      </c>
      <c r="Q3" s="72">
        <v>65</v>
      </c>
    </row>
    <row r="4" spans="1:17" ht="27" customHeight="1" x14ac:dyDescent="0.15">
      <c r="A4" s="69" t="s">
        <v>84</v>
      </c>
      <c r="B4" s="94">
        <v>26.84</v>
      </c>
      <c r="C4" t="s">
        <v>85</v>
      </c>
      <c r="D4" s="71" t="s">
        <v>86</v>
      </c>
      <c r="E4" s="72">
        <v>34</v>
      </c>
      <c r="F4" s="72">
        <v>36</v>
      </c>
      <c r="G4" s="72">
        <v>38</v>
      </c>
      <c r="H4" s="72">
        <v>41</v>
      </c>
      <c r="I4" s="72">
        <v>42</v>
      </c>
      <c r="J4" s="72">
        <v>44</v>
      </c>
      <c r="K4" s="72">
        <v>46</v>
      </c>
      <c r="L4" s="72">
        <v>48</v>
      </c>
      <c r="M4" s="72">
        <v>50</v>
      </c>
      <c r="N4" s="72">
        <v>52</v>
      </c>
      <c r="O4" s="72">
        <v>53</v>
      </c>
      <c r="P4" s="72">
        <v>54</v>
      </c>
      <c r="Q4" s="72">
        <v>55</v>
      </c>
    </row>
    <row r="5" spans="1:17" ht="27" customHeight="1" x14ac:dyDescent="0.15">
      <c r="A5" s="69" t="s">
        <v>87</v>
      </c>
      <c r="B5">
        <f>입력표!I48</f>
        <v>3</v>
      </c>
      <c r="C5" t="s">
        <v>88</v>
      </c>
      <c r="D5" s="71" t="s">
        <v>89</v>
      </c>
      <c r="E5" s="73">
        <f>INT((E3+E4)/2*10)/10</f>
        <v>37</v>
      </c>
      <c r="F5" s="73">
        <f t="shared" ref="F5:Q5" si="0">INT((F3+F4)/2*10)/10</f>
        <v>39</v>
      </c>
      <c r="G5" s="73">
        <f t="shared" si="0"/>
        <v>41.5</v>
      </c>
      <c r="H5" s="73">
        <f t="shared" si="0"/>
        <v>44.5</v>
      </c>
      <c r="I5" s="73">
        <f t="shared" si="0"/>
        <v>46</v>
      </c>
      <c r="J5" s="73">
        <f t="shared" si="0"/>
        <v>48</v>
      </c>
      <c r="K5" s="73">
        <f t="shared" si="0"/>
        <v>50</v>
      </c>
      <c r="L5" s="73">
        <f t="shared" si="0"/>
        <v>52.5</v>
      </c>
      <c r="M5" s="73">
        <f t="shared" si="0"/>
        <v>54.5</v>
      </c>
      <c r="N5" s="73">
        <f t="shared" si="0"/>
        <v>56.5</v>
      </c>
      <c r="O5" s="73">
        <f t="shared" si="0"/>
        <v>57.5</v>
      </c>
      <c r="P5" s="73">
        <f t="shared" si="0"/>
        <v>59</v>
      </c>
      <c r="Q5" s="73">
        <f t="shared" si="0"/>
        <v>60</v>
      </c>
    </row>
    <row r="6" spans="1:17" ht="27" customHeight="1" x14ac:dyDescent="0.15">
      <c r="A6" s="69" t="s">
        <v>90</v>
      </c>
      <c r="B6" s="269">
        <f>J5</f>
        <v>48</v>
      </c>
      <c r="C6" t="s">
        <v>91</v>
      </c>
      <c r="E6" s="75"/>
      <c r="F6" s="75"/>
      <c r="G6" s="75"/>
      <c r="H6" s="75"/>
      <c r="I6" s="75"/>
      <c r="J6" s="75"/>
      <c r="K6" s="75"/>
      <c r="L6" s="75"/>
      <c r="M6" s="75"/>
      <c r="N6" s="75"/>
      <c r="O6" s="75"/>
      <c r="P6" s="75"/>
      <c r="Q6" s="75"/>
    </row>
    <row r="7" spans="1:17" ht="27" customHeight="1" x14ac:dyDescent="0.15"/>
    <row r="8" spans="1:17" ht="27" customHeight="1" x14ac:dyDescent="0.15">
      <c r="A8" s="69" t="s">
        <v>92</v>
      </c>
      <c r="B8">
        <f>INT((B2*B4)/(B3*B6/100)*100)/100</f>
        <v>4.42</v>
      </c>
      <c r="C8" t="s">
        <v>88</v>
      </c>
      <c r="D8" s="69" t="s">
        <v>78</v>
      </c>
      <c r="E8" s="70">
        <f>입력표!C26</f>
        <v>520</v>
      </c>
      <c r="F8" t="s">
        <v>79</v>
      </c>
    </row>
    <row r="9" spans="1:17" ht="27" customHeight="1" x14ac:dyDescent="0.15">
      <c r="A9" s="69" t="s">
        <v>93</v>
      </c>
      <c r="B9">
        <f>INT((B5*B3*B6/100)/B2*10)/10</f>
        <v>18.2</v>
      </c>
      <c r="C9" t="s">
        <v>85</v>
      </c>
      <c r="D9" s="69" t="s">
        <v>81</v>
      </c>
      <c r="E9" s="70">
        <f>INT(86400*76/1000)</f>
        <v>6566</v>
      </c>
      <c r="F9" t="s">
        <v>82</v>
      </c>
    </row>
    <row r="10" spans="1:17" ht="27" customHeight="1" x14ac:dyDescent="0.15">
      <c r="D10" s="69" t="s">
        <v>84</v>
      </c>
      <c r="E10" s="94">
        <f>입력표!M49+6</f>
        <v>69.45</v>
      </c>
      <c r="F10" t="s">
        <v>85</v>
      </c>
    </row>
    <row r="11" spans="1:17" ht="27" customHeight="1" x14ac:dyDescent="0.15">
      <c r="A11" s="267" t="s">
        <v>193</v>
      </c>
      <c r="B11" s="268">
        <f>INT((B5*B3*B6/100)/B4*10)/10</f>
        <v>352.6</v>
      </c>
      <c r="D11" s="69" t="s">
        <v>87</v>
      </c>
      <c r="E11">
        <v>5</v>
      </c>
      <c r="F11" t="s">
        <v>88</v>
      </c>
    </row>
    <row r="12" spans="1:17" ht="27" customHeight="1" x14ac:dyDescent="0.15">
      <c r="D12" s="69" t="s">
        <v>90</v>
      </c>
      <c r="E12" s="75">
        <f>I5</f>
        <v>46</v>
      </c>
      <c r="F12" t="s">
        <v>91</v>
      </c>
    </row>
    <row r="13" spans="1:17" ht="27" customHeight="1" x14ac:dyDescent="0.15">
      <c r="D13" s="69"/>
    </row>
    <row r="14" spans="1:17" ht="27" customHeight="1" x14ac:dyDescent="0.15">
      <c r="D14" s="69" t="s">
        <v>92</v>
      </c>
      <c r="E14">
        <f>INT((E8*E10)/(E9*E12/100)*1000)/1000</f>
        <v>11.956</v>
      </c>
      <c r="F14" t="s">
        <v>88</v>
      </c>
    </row>
    <row r="15" spans="1:17" ht="27" customHeight="1" x14ac:dyDescent="0.15">
      <c r="D15" s="69" t="s">
        <v>93</v>
      </c>
      <c r="E15">
        <f>INT((E11*E9*E12/100)/E8*10)/10</f>
        <v>29</v>
      </c>
      <c r="F15" t="s">
        <v>85</v>
      </c>
    </row>
    <row r="16" spans="1:17" ht="27" customHeight="1" x14ac:dyDescent="0.15"/>
    <row r="17" ht="27" customHeight="1" x14ac:dyDescent="0.15"/>
    <row r="18" ht="27" customHeight="1" x14ac:dyDescent="0.15"/>
    <row r="19" ht="27" customHeight="1" x14ac:dyDescent="0.15"/>
    <row r="20" ht="27" customHeight="1" x14ac:dyDescent="0.15"/>
    <row r="21" ht="27" customHeight="1" x14ac:dyDescent="0.15"/>
    <row r="22" ht="27" customHeight="1" x14ac:dyDescent="0.15"/>
  </sheetData>
  <phoneticPr fontId="5" type="noConversion"/>
  <pageMargins left="0.75" right="0.75" top="1" bottom="1" header="0.5" footer="0.5"/>
  <pageSetup paperSize="9" orientation="landscape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/>
  <dimension ref="A1:C135"/>
  <sheetViews>
    <sheetView workbookViewId="0"/>
  </sheetViews>
  <sheetFormatPr defaultRowHeight="13.5" x14ac:dyDescent="0.15"/>
  <cols>
    <col min="1" max="1" width="8.88671875" style="77"/>
    <col min="2" max="3" width="8.88671875" style="78"/>
    <col min="4" max="16384" width="8.88671875" style="77"/>
  </cols>
  <sheetData>
    <row r="1" spans="1:2" x14ac:dyDescent="0.15">
      <c r="B1" s="77"/>
    </row>
    <row r="2" spans="1:2" x14ac:dyDescent="0.15">
      <c r="A2" s="77" t="s">
        <v>98</v>
      </c>
      <c r="B2" s="77"/>
    </row>
    <row r="3" spans="1:2" x14ac:dyDescent="0.15">
      <c r="A3" s="77">
        <v>2</v>
      </c>
      <c r="B3" s="77"/>
    </row>
    <row r="4" spans="1:2" x14ac:dyDescent="0.15">
      <c r="A4" s="77">
        <v>1</v>
      </c>
      <c r="B4" s="77"/>
    </row>
    <row r="5" spans="1:2" x14ac:dyDescent="0.15">
      <c r="A5" s="77">
        <v>6</v>
      </c>
      <c r="B5" s="77"/>
    </row>
    <row r="6" spans="1:2" x14ac:dyDescent="0.15">
      <c r="A6" s="77" t="s">
        <v>99</v>
      </c>
      <c r="B6" s="77"/>
    </row>
    <row r="7" spans="1:2" x14ac:dyDescent="0.15">
      <c r="A7" s="77">
        <f>입력표!M46</f>
        <v>80</v>
      </c>
      <c r="B7" s="77"/>
    </row>
    <row r="8" spans="1:2" x14ac:dyDescent="0.15">
      <c r="A8" s="77" t="s">
        <v>100</v>
      </c>
      <c r="B8" s="77"/>
    </row>
    <row r="9" spans="1:2" x14ac:dyDescent="0.15">
      <c r="A9" s="77">
        <v>1</v>
      </c>
      <c r="B9" s="77"/>
    </row>
    <row r="10" spans="1:2" x14ac:dyDescent="0.15">
      <c r="A10" s="77" t="s">
        <v>101</v>
      </c>
      <c r="B10" s="77"/>
    </row>
    <row r="11" spans="1:2" x14ac:dyDescent="0.15">
      <c r="A11" s="77">
        <v>1</v>
      </c>
      <c r="B11" s="77"/>
    </row>
    <row r="12" spans="1:2" x14ac:dyDescent="0.15">
      <c r="A12" s="77" t="s">
        <v>102</v>
      </c>
      <c r="B12" s="77"/>
    </row>
    <row r="13" spans="1:2" x14ac:dyDescent="0.15">
      <c r="A13" s="77">
        <v>1</v>
      </c>
      <c r="B13" s="77"/>
    </row>
    <row r="14" spans="1:2" x14ac:dyDescent="0.15">
      <c r="A14" s="77" t="s">
        <v>103</v>
      </c>
      <c r="B14" s="77"/>
    </row>
    <row r="15" spans="1:2" x14ac:dyDescent="0.15">
      <c r="A15" s="77" t="str">
        <f>입력표!I54</f>
        <v>W-1</v>
      </c>
      <c r="B15" s="77"/>
    </row>
    <row r="16" spans="1:2" x14ac:dyDescent="0.15">
      <c r="A16" s="77">
        <v>0</v>
      </c>
      <c r="B16" s="77"/>
    </row>
    <row r="17" spans="1:2" x14ac:dyDescent="0.15">
      <c r="A17" s="77">
        <v>0</v>
      </c>
      <c r="B17" s="77"/>
    </row>
    <row r="18" spans="1:2" x14ac:dyDescent="0.15">
      <c r="A18" s="77">
        <f>입력표!N45/2/1000</f>
        <v>0.125</v>
      </c>
      <c r="B18" s="77"/>
    </row>
    <row r="19" spans="1:2" x14ac:dyDescent="0.15">
      <c r="A19" s="77">
        <f>입력표!M44/2/1000</f>
        <v>0.125</v>
      </c>
      <c r="B19" s="77"/>
    </row>
    <row r="20" spans="1:2" x14ac:dyDescent="0.15">
      <c r="A20" s="77">
        <v>0</v>
      </c>
      <c r="B20" s="77"/>
    </row>
    <row r="21" spans="1:2" x14ac:dyDescent="0.15">
      <c r="A21" s="77">
        <v>0</v>
      </c>
      <c r="B21" s="77"/>
    </row>
    <row r="22" spans="1:2" x14ac:dyDescent="0.15">
      <c r="A22" s="77">
        <v>1</v>
      </c>
      <c r="B22" s="77"/>
    </row>
    <row r="23" spans="1:2" x14ac:dyDescent="0.15">
      <c r="A23" s="77">
        <v>5</v>
      </c>
      <c r="B23" s="77"/>
    </row>
    <row r="24" spans="1:2" x14ac:dyDescent="0.15">
      <c r="A24" s="79">
        <v>0</v>
      </c>
      <c r="B24" s="79">
        <f>입력표!D3</f>
        <v>324</v>
      </c>
    </row>
    <row r="25" spans="1:2" x14ac:dyDescent="0.15">
      <c r="A25" s="79">
        <f>단계양수시험!D31</f>
        <v>120</v>
      </c>
      <c r="B25" s="79">
        <f>입력표!D4</f>
        <v>413</v>
      </c>
    </row>
    <row r="26" spans="1:2" x14ac:dyDescent="0.15">
      <c r="A26" s="79">
        <f>단계양수시험!D36</f>
        <v>240</v>
      </c>
      <c r="B26" s="79">
        <f>입력표!D5</f>
        <v>501.5</v>
      </c>
    </row>
    <row r="27" spans="1:2" x14ac:dyDescent="0.15">
      <c r="A27" s="79">
        <f>단계양수시험!D41</f>
        <v>360</v>
      </c>
      <c r="B27" s="79">
        <f>입력표!D6</f>
        <v>590</v>
      </c>
    </row>
    <row r="28" spans="1:2" x14ac:dyDescent="0.15">
      <c r="A28" s="79">
        <f>단계양수시험!D46</f>
        <v>480</v>
      </c>
      <c r="B28" s="79">
        <f>입력표!D7</f>
        <v>678.5</v>
      </c>
    </row>
    <row r="29" spans="1:2" x14ac:dyDescent="0.15">
      <c r="A29" s="77" t="s">
        <v>104</v>
      </c>
      <c r="B29" s="77"/>
    </row>
    <row r="30" spans="1:2" x14ac:dyDescent="0.15">
      <c r="A30" s="77" t="str">
        <f>A15</f>
        <v>W-1</v>
      </c>
      <c r="B30" s="77"/>
    </row>
    <row r="31" spans="1:2" x14ac:dyDescent="0.15">
      <c r="A31" s="80">
        <f>A19</f>
        <v>0.125</v>
      </c>
      <c r="B31" s="77"/>
    </row>
    <row r="32" spans="1:2" x14ac:dyDescent="0.15">
      <c r="A32" s="77">
        <v>0</v>
      </c>
      <c r="B32" s="77"/>
    </row>
    <row r="33" spans="1:3" x14ac:dyDescent="0.15">
      <c r="A33" s="77">
        <v>0</v>
      </c>
      <c r="B33" s="77"/>
    </row>
    <row r="34" spans="1:3" x14ac:dyDescent="0.15">
      <c r="A34" s="79">
        <f>SUM(C35:C134)</f>
        <v>100</v>
      </c>
      <c r="B34" s="77"/>
    </row>
    <row r="35" spans="1:3" x14ac:dyDescent="0.15">
      <c r="A35" s="77">
        <f>Sheet1!A1</f>
        <v>1</v>
      </c>
      <c r="B35" s="78">
        <f>Sheet1!B1</f>
        <v>2.08</v>
      </c>
      <c r="C35" s="79">
        <v>1</v>
      </c>
    </row>
    <row r="36" spans="1:3" x14ac:dyDescent="0.15">
      <c r="A36" s="77">
        <f>Sheet1!A2</f>
        <v>2</v>
      </c>
      <c r="B36" s="78">
        <f>Sheet1!B2</f>
        <v>4.04</v>
      </c>
      <c r="C36" s="79">
        <v>1</v>
      </c>
    </row>
    <row r="37" spans="1:3" x14ac:dyDescent="0.15">
      <c r="A37" s="77">
        <f>Sheet1!A3</f>
        <v>3</v>
      </c>
      <c r="B37" s="78">
        <f>Sheet1!B3</f>
        <v>5.81</v>
      </c>
      <c r="C37" s="79">
        <v>1</v>
      </c>
    </row>
    <row r="38" spans="1:3" x14ac:dyDescent="0.15">
      <c r="A38" s="77">
        <f>Sheet1!A4</f>
        <v>4</v>
      </c>
      <c r="B38" s="78">
        <f>Sheet1!B4</f>
        <v>7.07</v>
      </c>
      <c r="C38" s="79">
        <v>1</v>
      </c>
    </row>
    <row r="39" spans="1:3" x14ac:dyDescent="0.15">
      <c r="A39" s="77">
        <f>Sheet1!A5</f>
        <v>5</v>
      </c>
      <c r="B39" s="78">
        <f>Sheet1!B5</f>
        <v>8.0500000000000007</v>
      </c>
      <c r="C39" s="79">
        <v>1</v>
      </c>
    </row>
    <row r="40" spans="1:3" x14ac:dyDescent="0.15">
      <c r="A40" s="77">
        <f>Sheet1!A6</f>
        <v>10</v>
      </c>
      <c r="B40" s="78">
        <f>Sheet1!B6</f>
        <v>11.08</v>
      </c>
      <c r="C40" s="79">
        <v>1</v>
      </c>
    </row>
    <row r="41" spans="1:3" x14ac:dyDescent="0.15">
      <c r="A41" s="77">
        <f>Sheet1!A7</f>
        <v>15</v>
      </c>
      <c r="B41" s="78">
        <f>Sheet1!B7</f>
        <v>12.86</v>
      </c>
      <c r="C41" s="79">
        <v>1</v>
      </c>
    </row>
    <row r="42" spans="1:3" x14ac:dyDescent="0.15">
      <c r="A42" s="77">
        <f>Sheet1!A8</f>
        <v>20</v>
      </c>
      <c r="B42" s="78">
        <f>Sheet1!B8</f>
        <v>14.12</v>
      </c>
      <c r="C42" s="79">
        <v>1</v>
      </c>
    </row>
    <row r="43" spans="1:3" x14ac:dyDescent="0.15">
      <c r="A43" s="77">
        <f>Sheet1!A9</f>
        <v>25</v>
      </c>
      <c r="B43" s="78">
        <f>Sheet1!B9</f>
        <v>15.1</v>
      </c>
      <c r="C43" s="79">
        <v>1</v>
      </c>
    </row>
    <row r="44" spans="1:3" x14ac:dyDescent="0.15">
      <c r="A44" s="77">
        <f>Sheet1!A10</f>
        <v>30</v>
      </c>
      <c r="B44" s="78">
        <f>Sheet1!B10</f>
        <v>15.89</v>
      </c>
      <c r="C44" s="79">
        <v>1</v>
      </c>
    </row>
    <row r="45" spans="1:3" x14ac:dyDescent="0.15">
      <c r="A45" s="77">
        <f>Sheet1!A11</f>
        <v>35</v>
      </c>
      <c r="B45" s="78">
        <f>Sheet1!B11</f>
        <v>16.57</v>
      </c>
      <c r="C45" s="79">
        <v>1</v>
      </c>
    </row>
    <row r="46" spans="1:3" x14ac:dyDescent="0.15">
      <c r="A46" s="77">
        <f>Sheet1!A12</f>
        <v>40</v>
      </c>
      <c r="B46" s="78">
        <f>Sheet1!B12</f>
        <v>17.149999999999999</v>
      </c>
      <c r="C46" s="79">
        <v>1</v>
      </c>
    </row>
    <row r="47" spans="1:3" x14ac:dyDescent="0.15">
      <c r="A47" s="77">
        <f>Sheet1!A13</f>
        <v>45</v>
      </c>
      <c r="B47" s="78">
        <f>Sheet1!B13</f>
        <v>17.670000000000002</v>
      </c>
      <c r="C47" s="79">
        <v>1</v>
      </c>
    </row>
    <row r="48" spans="1:3" x14ac:dyDescent="0.15">
      <c r="A48" s="77">
        <f>Sheet1!A14</f>
        <v>50</v>
      </c>
      <c r="B48" s="78">
        <f>Sheet1!B14</f>
        <v>18.13</v>
      </c>
      <c r="C48" s="79">
        <v>1</v>
      </c>
    </row>
    <row r="49" spans="1:3" x14ac:dyDescent="0.15">
      <c r="A49" s="77">
        <f>Sheet1!A15</f>
        <v>55</v>
      </c>
      <c r="B49" s="78">
        <f>Sheet1!B15</f>
        <v>18.55</v>
      </c>
      <c r="C49" s="79">
        <v>1</v>
      </c>
    </row>
    <row r="50" spans="1:3" x14ac:dyDescent="0.15">
      <c r="A50" s="77">
        <f>Sheet1!A16</f>
        <v>60</v>
      </c>
      <c r="B50" s="78">
        <f>Sheet1!B16</f>
        <v>18.93</v>
      </c>
      <c r="C50" s="79">
        <v>1</v>
      </c>
    </row>
    <row r="51" spans="1:3" x14ac:dyDescent="0.15">
      <c r="A51" s="77">
        <f>Sheet1!A17</f>
        <v>75</v>
      </c>
      <c r="B51" s="78">
        <f>Sheet1!B17</f>
        <v>19.91</v>
      </c>
      <c r="C51" s="79">
        <v>1</v>
      </c>
    </row>
    <row r="52" spans="1:3" x14ac:dyDescent="0.15">
      <c r="A52" s="77">
        <f>Sheet1!A18</f>
        <v>90</v>
      </c>
      <c r="B52" s="78">
        <f>Sheet1!B18</f>
        <v>20.71</v>
      </c>
      <c r="C52" s="79">
        <v>1</v>
      </c>
    </row>
    <row r="53" spans="1:3" x14ac:dyDescent="0.15">
      <c r="A53" s="77">
        <f>Sheet1!A19</f>
        <v>105</v>
      </c>
      <c r="B53" s="78">
        <f>Sheet1!B19</f>
        <v>21.38</v>
      </c>
      <c r="C53" s="79">
        <v>1</v>
      </c>
    </row>
    <row r="54" spans="1:3" x14ac:dyDescent="0.15">
      <c r="A54" s="77">
        <f>Sheet1!A20</f>
        <v>120</v>
      </c>
      <c r="B54" s="78">
        <f>Sheet1!B20</f>
        <v>21.97</v>
      </c>
      <c r="C54" s="79">
        <v>1</v>
      </c>
    </row>
    <row r="55" spans="1:3" x14ac:dyDescent="0.15">
      <c r="A55" s="77">
        <f>Sheet1!A21</f>
        <v>121</v>
      </c>
      <c r="B55" s="78">
        <f>Sheet1!B21</f>
        <v>22.13</v>
      </c>
      <c r="C55" s="79">
        <v>1</v>
      </c>
    </row>
    <row r="56" spans="1:3" x14ac:dyDescent="0.15">
      <c r="A56" s="77">
        <f>Sheet1!A22</f>
        <v>122</v>
      </c>
      <c r="B56" s="78">
        <f>Sheet1!B22</f>
        <v>22.279999999999998</v>
      </c>
      <c r="C56" s="79">
        <v>1</v>
      </c>
    </row>
    <row r="57" spans="1:3" x14ac:dyDescent="0.15">
      <c r="A57" s="77">
        <f>Sheet1!A23</f>
        <v>123</v>
      </c>
      <c r="B57" s="78">
        <f>Sheet1!B23</f>
        <v>22.419999999999998</v>
      </c>
      <c r="C57" s="79">
        <v>1</v>
      </c>
    </row>
    <row r="58" spans="1:3" x14ac:dyDescent="0.15">
      <c r="A58" s="77">
        <f>Sheet1!A24</f>
        <v>124</v>
      </c>
      <c r="B58" s="78">
        <f>Sheet1!B24</f>
        <v>22.549999999999997</v>
      </c>
      <c r="C58" s="79">
        <v>1</v>
      </c>
    </row>
    <row r="59" spans="1:3" x14ac:dyDescent="0.15">
      <c r="A59" s="77">
        <f>Sheet1!A25</f>
        <v>125</v>
      </c>
      <c r="B59" s="78">
        <f>Sheet1!B25</f>
        <v>22.679999999999996</v>
      </c>
      <c r="C59" s="79">
        <v>1</v>
      </c>
    </row>
    <row r="60" spans="1:3" x14ac:dyDescent="0.15">
      <c r="A60" s="77">
        <f>Sheet1!A26</f>
        <v>130</v>
      </c>
      <c r="B60" s="78">
        <f>Sheet1!B26</f>
        <v>26.36</v>
      </c>
      <c r="C60" s="79">
        <v>1</v>
      </c>
    </row>
    <row r="61" spans="1:3" x14ac:dyDescent="0.15">
      <c r="A61" s="77">
        <f>Sheet1!A27</f>
        <v>135</v>
      </c>
      <c r="B61" s="78">
        <f>Sheet1!B27</f>
        <v>26.47</v>
      </c>
      <c r="C61" s="79">
        <v>1</v>
      </c>
    </row>
    <row r="62" spans="1:3" x14ac:dyDescent="0.15">
      <c r="A62" s="77">
        <f>Sheet1!A28</f>
        <v>140</v>
      </c>
      <c r="B62" s="78">
        <f>Sheet1!B28</f>
        <v>27.1</v>
      </c>
      <c r="C62" s="79">
        <v>1</v>
      </c>
    </row>
    <row r="63" spans="1:3" x14ac:dyDescent="0.15">
      <c r="A63" s="77">
        <f>Sheet1!A29</f>
        <v>145</v>
      </c>
      <c r="B63" s="78">
        <f>Sheet1!B29</f>
        <v>27.200000000000003</v>
      </c>
      <c r="C63" s="79">
        <v>1</v>
      </c>
    </row>
    <row r="64" spans="1:3" x14ac:dyDescent="0.15">
      <c r="A64" s="77">
        <f>Sheet1!A30</f>
        <v>150</v>
      </c>
      <c r="B64" s="78">
        <f>Sheet1!B30</f>
        <v>27.83</v>
      </c>
      <c r="C64" s="79">
        <v>1</v>
      </c>
    </row>
    <row r="65" spans="1:3" x14ac:dyDescent="0.15">
      <c r="A65" s="77">
        <f>Sheet1!A31</f>
        <v>155</v>
      </c>
      <c r="B65" s="78">
        <f>Sheet1!B31</f>
        <v>27.889999999999997</v>
      </c>
      <c r="C65" s="79">
        <v>1</v>
      </c>
    </row>
    <row r="66" spans="1:3" x14ac:dyDescent="0.15">
      <c r="A66" s="77">
        <f>Sheet1!A32</f>
        <v>160</v>
      </c>
      <c r="B66" s="78">
        <f>Sheet1!B32</f>
        <v>27.939999999999998</v>
      </c>
      <c r="C66" s="79">
        <v>1</v>
      </c>
    </row>
    <row r="67" spans="1:3" x14ac:dyDescent="0.15">
      <c r="A67" s="77">
        <f>Sheet1!A33</f>
        <v>165</v>
      </c>
      <c r="B67" s="78">
        <f>Sheet1!B33</f>
        <v>27.979999999999997</v>
      </c>
      <c r="C67" s="79">
        <v>1</v>
      </c>
    </row>
    <row r="68" spans="1:3" x14ac:dyDescent="0.15">
      <c r="A68" s="77">
        <f>Sheet1!A34</f>
        <v>170</v>
      </c>
      <c r="B68" s="78">
        <f>Sheet1!B34</f>
        <v>28.009999999999998</v>
      </c>
      <c r="C68" s="79">
        <v>1</v>
      </c>
    </row>
    <row r="69" spans="1:3" x14ac:dyDescent="0.15">
      <c r="A69" s="77">
        <f>Sheet1!A35</f>
        <v>175</v>
      </c>
      <c r="B69" s="78">
        <f>Sheet1!B35</f>
        <v>28.029999999999998</v>
      </c>
      <c r="C69" s="79">
        <v>1</v>
      </c>
    </row>
    <row r="70" spans="1:3" x14ac:dyDescent="0.15">
      <c r="A70" s="77">
        <f>Sheet1!A36</f>
        <v>180</v>
      </c>
      <c r="B70" s="78">
        <f>Sheet1!B36</f>
        <v>28.56</v>
      </c>
      <c r="C70" s="79">
        <v>1</v>
      </c>
    </row>
    <row r="71" spans="1:3" x14ac:dyDescent="0.15">
      <c r="A71" s="77">
        <f>Sheet1!A37</f>
        <v>195</v>
      </c>
      <c r="B71" s="78">
        <f>Sheet1!B37</f>
        <v>28.63</v>
      </c>
      <c r="C71" s="79">
        <v>1</v>
      </c>
    </row>
    <row r="72" spans="1:3" x14ac:dyDescent="0.15">
      <c r="A72" s="77">
        <f>Sheet1!A38</f>
        <v>210</v>
      </c>
      <c r="B72" s="78">
        <f>Sheet1!B38</f>
        <v>28.689999999999998</v>
      </c>
      <c r="C72" s="79">
        <v>1</v>
      </c>
    </row>
    <row r="73" spans="1:3" x14ac:dyDescent="0.15">
      <c r="A73" s="77">
        <f>Sheet1!A39</f>
        <v>225</v>
      </c>
      <c r="B73" s="78">
        <f>Sheet1!B39</f>
        <v>28.74</v>
      </c>
      <c r="C73" s="79">
        <v>1</v>
      </c>
    </row>
    <row r="74" spans="1:3" x14ac:dyDescent="0.15">
      <c r="A74" s="77">
        <f>Sheet1!A40</f>
        <v>240</v>
      </c>
      <c r="B74" s="78">
        <f>Sheet1!B40</f>
        <v>29.3</v>
      </c>
      <c r="C74" s="79">
        <v>1</v>
      </c>
    </row>
    <row r="75" spans="1:3" x14ac:dyDescent="0.15">
      <c r="A75" s="77">
        <f>Sheet1!A41</f>
        <v>241</v>
      </c>
      <c r="B75" s="78">
        <f>Sheet1!B41</f>
        <v>29.48</v>
      </c>
      <c r="C75" s="79">
        <v>1</v>
      </c>
    </row>
    <row r="76" spans="1:3" x14ac:dyDescent="0.15">
      <c r="A76" s="77">
        <f>Sheet1!A42</f>
        <v>242</v>
      </c>
      <c r="B76" s="78">
        <f>Sheet1!B42</f>
        <v>29.64</v>
      </c>
      <c r="C76" s="79">
        <v>1</v>
      </c>
    </row>
    <row r="77" spans="1:3" x14ac:dyDescent="0.15">
      <c r="A77" s="77">
        <f>Sheet1!A43</f>
        <v>243</v>
      </c>
      <c r="B77" s="78">
        <f>Sheet1!B43</f>
        <v>29.79</v>
      </c>
      <c r="C77" s="79">
        <v>1</v>
      </c>
    </row>
    <row r="78" spans="1:3" x14ac:dyDescent="0.15">
      <c r="A78" s="77">
        <f>Sheet1!A44</f>
        <v>244</v>
      </c>
      <c r="B78" s="78">
        <f>Sheet1!B44</f>
        <v>29.93</v>
      </c>
      <c r="C78" s="79">
        <v>1</v>
      </c>
    </row>
    <row r="79" spans="1:3" x14ac:dyDescent="0.15">
      <c r="A79" s="77">
        <f>Sheet1!A45</f>
        <v>245</v>
      </c>
      <c r="B79" s="78">
        <f>Sheet1!B45</f>
        <v>30.06</v>
      </c>
      <c r="C79" s="79">
        <v>1</v>
      </c>
    </row>
    <row r="80" spans="1:3" x14ac:dyDescent="0.15">
      <c r="A80" s="77">
        <f>Sheet1!A46</f>
        <v>250</v>
      </c>
      <c r="B80" s="78">
        <f>Sheet1!B46</f>
        <v>34.24</v>
      </c>
      <c r="C80" s="79">
        <v>1</v>
      </c>
    </row>
    <row r="81" spans="1:3" x14ac:dyDescent="0.15">
      <c r="A81" s="77">
        <f>Sheet1!A47</f>
        <v>255</v>
      </c>
      <c r="B81" s="78">
        <f>Sheet1!B47</f>
        <v>34.35</v>
      </c>
      <c r="C81" s="79">
        <v>1</v>
      </c>
    </row>
    <row r="82" spans="1:3" x14ac:dyDescent="0.15">
      <c r="A82" s="77">
        <f>Sheet1!A48</f>
        <v>260</v>
      </c>
      <c r="B82" s="78">
        <f>Sheet1!B48</f>
        <v>35.06</v>
      </c>
      <c r="C82" s="79">
        <v>1</v>
      </c>
    </row>
    <row r="83" spans="1:3" x14ac:dyDescent="0.15">
      <c r="A83" s="77">
        <f>Sheet1!A49</f>
        <v>265</v>
      </c>
      <c r="B83" s="78">
        <f>Sheet1!B49</f>
        <v>35.17</v>
      </c>
      <c r="C83" s="79">
        <v>1</v>
      </c>
    </row>
    <row r="84" spans="1:3" x14ac:dyDescent="0.15">
      <c r="A84" s="77">
        <f>Sheet1!A50</f>
        <v>270</v>
      </c>
      <c r="B84" s="78">
        <f>Sheet1!B50</f>
        <v>35.89</v>
      </c>
      <c r="C84" s="79">
        <v>1</v>
      </c>
    </row>
    <row r="85" spans="1:3" x14ac:dyDescent="0.15">
      <c r="A85" s="77">
        <f>Sheet1!A51</f>
        <v>275</v>
      </c>
      <c r="B85" s="78">
        <f>Sheet1!B51</f>
        <v>35.96</v>
      </c>
      <c r="C85" s="79">
        <v>1</v>
      </c>
    </row>
    <row r="86" spans="1:3" x14ac:dyDescent="0.15">
      <c r="A86" s="77">
        <f>Sheet1!A52</f>
        <v>280</v>
      </c>
      <c r="B86" s="78">
        <f>Sheet1!B52</f>
        <v>36.01</v>
      </c>
      <c r="C86" s="79">
        <v>1</v>
      </c>
    </row>
    <row r="87" spans="1:3" x14ac:dyDescent="0.15">
      <c r="A87" s="77">
        <f>Sheet1!A53</f>
        <v>285</v>
      </c>
      <c r="B87" s="78">
        <f>Sheet1!B53</f>
        <v>36.049999999999997</v>
      </c>
      <c r="C87" s="79">
        <v>1</v>
      </c>
    </row>
    <row r="88" spans="1:3" x14ac:dyDescent="0.15">
      <c r="A88" s="77">
        <f>Sheet1!A54</f>
        <v>290</v>
      </c>
      <c r="B88" s="78">
        <f>Sheet1!B54</f>
        <v>36.08</v>
      </c>
      <c r="C88" s="79">
        <v>1</v>
      </c>
    </row>
    <row r="89" spans="1:3" x14ac:dyDescent="0.15">
      <c r="A89" s="77">
        <f>Sheet1!A55</f>
        <v>295</v>
      </c>
      <c r="B89" s="78">
        <f>Sheet1!B55</f>
        <v>36.1</v>
      </c>
      <c r="C89" s="79">
        <v>1</v>
      </c>
    </row>
    <row r="90" spans="1:3" x14ac:dyDescent="0.15">
      <c r="A90" s="77">
        <f>Sheet1!A56</f>
        <v>300</v>
      </c>
      <c r="B90" s="78">
        <f>Sheet1!B56</f>
        <v>36.71</v>
      </c>
      <c r="C90" s="79">
        <v>1</v>
      </c>
    </row>
    <row r="91" spans="1:3" x14ac:dyDescent="0.15">
      <c r="A91" s="77">
        <f>Sheet1!A57</f>
        <v>315</v>
      </c>
      <c r="B91" s="78">
        <f>Sheet1!B57</f>
        <v>36.79</v>
      </c>
      <c r="C91" s="79">
        <v>1</v>
      </c>
    </row>
    <row r="92" spans="1:3" x14ac:dyDescent="0.15">
      <c r="A92" s="77">
        <f>Sheet1!A58</f>
        <v>330</v>
      </c>
      <c r="B92" s="78">
        <f>Sheet1!B58</f>
        <v>36.85</v>
      </c>
      <c r="C92" s="79">
        <v>1</v>
      </c>
    </row>
    <row r="93" spans="1:3" x14ac:dyDescent="0.15">
      <c r="A93" s="77">
        <f>Sheet1!A59</f>
        <v>345</v>
      </c>
      <c r="B93" s="78">
        <f>Sheet1!B59</f>
        <v>36.9</v>
      </c>
      <c r="C93" s="79">
        <v>1</v>
      </c>
    </row>
    <row r="94" spans="1:3" x14ac:dyDescent="0.15">
      <c r="A94" s="77">
        <f>Sheet1!A60</f>
        <v>360</v>
      </c>
      <c r="B94" s="78">
        <f>Sheet1!B60</f>
        <v>37.54</v>
      </c>
      <c r="C94" s="79">
        <v>1</v>
      </c>
    </row>
    <row r="95" spans="1:3" x14ac:dyDescent="0.15">
      <c r="A95" s="77">
        <f>Sheet1!A61</f>
        <v>361</v>
      </c>
      <c r="B95" s="78">
        <f>Sheet1!B61</f>
        <v>37.729999999999997</v>
      </c>
      <c r="C95" s="79">
        <v>1</v>
      </c>
    </row>
    <row r="96" spans="1:3" x14ac:dyDescent="0.15">
      <c r="A96" s="77">
        <f>Sheet1!A62</f>
        <v>362</v>
      </c>
      <c r="B96" s="78">
        <f>Sheet1!B62</f>
        <v>37.9</v>
      </c>
      <c r="C96" s="79">
        <v>1</v>
      </c>
    </row>
    <row r="97" spans="1:3" x14ac:dyDescent="0.15">
      <c r="A97" s="77">
        <f>Sheet1!A63</f>
        <v>363</v>
      </c>
      <c r="B97" s="78">
        <f>Sheet1!B63</f>
        <v>38.059999999999995</v>
      </c>
      <c r="C97" s="79">
        <v>1</v>
      </c>
    </row>
    <row r="98" spans="1:3" x14ac:dyDescent="0.15">
      <c r="A98" s="77">
        <f>Sheet1!A64</f>
        <v>364</v>
      </c>
      <c r="B98" s="78">
        <f>Sheet1!B64</f>
        <v>38.209999999999994</v>
      </c>
      <c r="C98" s="79">
        <v>1</v>
      </c>
    </row>
    <row r="99" spans="1:3" x14ac:dyDescent="0.15">
      <c r="A99" s="77">
        <f>Sheet1!A65</f>
        <v>365</v>
      </c>
      <c r="B99" s="78">
        <f>Sheet1!B65</f>
        <v>38.349999999999994</v>
      </c>
      <c r="C99" s="79">
        <v>1</v>
      </c>
    </row>
    <row r="100" spans="1:3" x14ac:dyDescent="0.15">
      <c r="A100" s="77">
        <f>Sheet1!A66</f>
        <v>370</v>
      </c>
      <c r="B100" s="78">
        <f>Sheet1!B66</f>
        <v>42.49</v>
      </c>
      <c r="C100" s="79">
        <v>1</v>
      </c>
    </row>
    <row r="101" spans="1:3" x14ac:dyDescent="0.15">
      <c r="A101" s="77">
        <f>Sheet1!A67</f>
        <v>375</v>
      </c>
      <c r="B101" s="78">
        <f>Sheet1!B67</f>
        <v>42.61</v>
      </c>
      <c r="C101" s="79">
        <v>1</v>
      </c>
    </row>
    <row r="102" spans="1:3" x14ac:dyDescent="0.15">
      <c r="A102" s="77">
        <f>Sheet1!A68</f>
        <v>380</v>
      </c>
      <c r="B102" s="78">
        <f>Sheet1!B68</f>
        <v>43.31</v>
      </c>
      <c r="C102" s="79">
        <v>1</v>
      </c>
    </row>
    <row r="103" spans="1:3" x14ac:dyDescent="0.15">
      <c r="A103" s="77">
        <f>Sheet1!A69</f>
        <v>385</v>
      </c>
      <c r="B103" s="78">
        <f>Sheet1!B69</f>
        <v>43.43</v>
      </c>
      <c r="C103" s="79">
        <v>1</v>
      </c>
    </row>
    <row r="104" spans="1:3" x14ac:dyDescent="0.15">
      <c r="A104" s="77">
        <f>Sheet1!A70</f>
        <v>390</v>
      </c>
      <c r="B104" s="78">
        <f>Sheet1!B70</f>
        <v>44.14</v>
      </c>
      <c r="C104" s="79">
        <v>1</v>
      </c>
    </row>
    <row r="105" spans="1:3" x14ac:dyDescent="0.15">
      <c r="A105" s="77">
        <f>Sheet1!A71</f>
        <v>395</v>
      </c>
      <c r="B105" s="78">
        <f>Sheet1!B71</f>
        <v>44.21</v>
      </c>
      <c r="C105" s="79">
        <v>1</v>
      </c>
    </row>
    <row r="106" spans="1:3" x14ac:dyDescent="0.15">
      <c r="A106" s="77">
        <f>Sheet1!A72</f>
        <v>400</v>
      </c>
      <c r="B106" s="78">
        <f>Sheet1!B72</f>
        <v>44.26</v>
      </c>
      <c r="C106" s="79">
        <v>1</v>
      </c>
    </row>
    <row r="107" spans="1:3" x14ac:dyDescent="0.15">
      <c r="A107" s="77">
        <f>Sheet1!A73</f>
        <v>405</v>
      </c>
      <c r="B107" s="78">
        <f>Sheet1!B73</f>
        <v>44.3</v>
      </c>
      <c r="C107" s="79">
        <v>1</v>
      </c>
    </row>
    <row r="108" spans="1:3" x14ac:dyDescent="0.15">
      <c r="A108" s="77">
        <f>Sheet1!A74</f>
        <v>410</v>
      </c>
      <c r="B108" s="78">
        <f>Sheet1!B74</f>
        <v>44.33</v>
      </c>
      <c r="C108" s="79">
        <v>1</v>
      </c>
    </row>
    <row r="109" spans="1:3" x14ac:dyDescent="0.15">
      <c r="A109" s="77">
        <f>Sheet1!A75</f>
        <v>415</v>
      </c>
      <c r="B109" s="78">
        <f>Sheet1!B75</f>
        <v>44.36</v>
      </c>
      <c r="C109" s="79">
        <v>1</v>
      </c>
    </row>
    <row r="110" spans="1:3" x14ac:dyDescent="0.15">
      <c r="A110" s="77">
        <f>Sheet1!A76</f>
        <v>420</v>
      </c>
      <c r="B110" s="78">
        <f>Sheet1!B76</f>
        <v>44.96</v>
      </c>
      <c r="C110" s="79">
        <v>1</v>
      </c>
    </row>
    <row r="111" spans="1:3" x14ac:dyDescent="0.15">
      <c r="A111" s="77">
        <f>Sheet1!A77</f>
        <v>435</v>
      </c>
      <c r="B111" s="78">
        <f>Sheet1!B77</f>
        <v>45.050000000000004</v>
      </c>
      <c r="C111" s="79">
        <v>1</v>
      </c>
    </row>
    <row r="112" spans="1:3" x14ac:dyDescent="0.15">
      <c r="A112" s="77">
        <f>Sheet1!A78</f>
        <v>450</v>
      </c>
      <c r="B112" s="78">
        <f>Sheet1!B78</f>
        <v>45.120000000000005</v>
      </c>
      <c r="C112" s="79">
        <v>1</v>
      </c>
    </row>
    <row r="113" spans="1:3" x14ac:dyDescent="0.15">
      <c r="A113" s="77">
        <f>Sheet1!A79</f>
        <v>465</v>
      </c>
      <c r="B113" s="78">
        <f>Sheet1!B79</f>
        <v>45.17</v>
      </c>
      <c r="C113" s="79">
        <v>1</v>
      </c>
    </row>
    <row r="114" spans="1:3" x14ac:dyDescent="0.15">
      <c r="A114" s="77">
        <f>Sheet1!A80</f>
        <v>480</v>
      </c>
      <c r="B114" s="78">
        <f>Sheet1!B80</f>
        <v>45.79</v>
      </c>
      <c r="C114" s="79">
        <v>1</v>
      </c>
    </row>
    <row r="115" spans="1:3" x14ac:dyDescent="0.15">
      <c r="A115" s="77">
        <f>Sheet1!A81</f>
        <v>481</v>
      </c>
      <c r="B115" s="78">
        <f>Sheet1!B81</f>
        <v>46</v>
      </c>
      <c r="C115" s="79">
        <v>1</v>
      </c>
    </row>
    <row r="116" spans="1:3" x14ac:dyDescent="0.15">
      <c r="A116" s="77">
        <f>Sheet1!A82</f>
        <v>482</v>
      </c>
      <c r="B116" s="78">
        <f>Sheet1!B82</f>
        <v>46.19</v>
      </c>
      <c r="C116" s="79">
        <v>1</v>
      </c>
    </row>
    <row r="117" spans="1:3" x14ac:dyDescent="0.15">
      <c r="A117" s="77">
        <f>Sheet1!A83</f>
        <v>483</v>
      </c>
      <c r="B117" s="78">
        <f>Sheet1!B83</f>
        <v>46.36</v>
      </c>
      <c r="C117" s="79">
        <v>1</v>
      </c>
    </row>
    <row r="118" spans="1:3" x14ac:dyDescent="0.15">
      <c r="A118" s="77">
        <f>Sheet1!A84</f>
        <v>484</v>
      </c>
      <c r="B118" s="78">
        <f>Sheet1!B84</f>
        <v>46.519999999999996</v>
      </c>
      <c r="C118" s="79">
        <v>1</v>
      </c>
    </row>
    <row r="119" spans="1:3" x14ac:dyDescent="0.15">
      <c r="A119" s="77">
        <f>Sheet1!A85</f>
        <v>485</v>
      </c>
      <c r="B119" s="78">
        <f>Sheet1!B85</f>
        <v>46.66</v>
      </c>
      <c r="C119" s="79">
        <v>1</v>
      </c>
    </row>
    <row r="120" spans="1:3" x14ac:dyDescent="0.15">
      <c r="A120" s="77">
        <f>Sheet1!A86</f>
        <v>490</v>
      </c>
      <c r="B120" s="78">
        <f>Sheet1!B86</f>
        <v>51.28</v>
      </c>
      <c r="C120" s="79">
        <v>1</v>
      </c>
    </row>
    <row r="121" spans="1:3" x14ac:dyDescent="0.15">
      <c r="A121" s="77">
        <f>Sheet1!A87</f>
        <v>495</v>
      </c>
      <c r="B121" s="78">
        <f>Sheet1!B87</f>
        <v>51.59</v>
      </c>
      <c r="C121" s="79">
        <v>1</v>
      </c>
    </row>
    <row r="122" spans="1:3" x14ac:dyDescent="0.15">
      <c r="A122" s="77">
        <f>Sheet1!A88</f>
        <v>500</v>
      </c>
      <c r="B122" s="78">
        <f>Sheet1!B88</f>
        <v>53.34</v>
      </c>
      <c r="C122" s="79">
        <v>1</v>
      </c>
    </row>
    <row r="123" spans="1:3" x14ac:dyDescent="0.15">
      <c r="A123" s="77">
        <f>Sheet1!A89</f>
        <v>505</v>
      </c>
      <c r="B123" s="78">
        <f>Sheet1!B89</f>
        <v>53.64</v>
      </c>
      <c r="C123" s="79">
        <v>1</v>
      </c>
    </row>
    <row r="124" spans="1:3" x14ac:dyDescent="0.15">
      <c r="A124" s="77">
        <f>Sheet1!A90</f>
        <v>510</v>
      </c>
      <c r="B124" s="78">
        <f>Sheet1!B90</f>
        <v>55.4</v>
      </c>
      <c r="C124" s="79">
        <v>1</v>
      </c>
    </row>
    <row r="125" spans="1:3" x14ac:dyDescent="0.15">
      <c r="A125" s="77">
        <f>Sheet1!A91</f>
        <v>515</v>
      </c>
      <c r="B125" s="78">
        <f>Sheet1!B91</f>
        <v>55.55</v>
      </c>
      <c r="C125" s="79">
        <v>1</v>
      </c>
    </row>
    <row r="126" spans="1:3" x14ac:dyDescent="0.15">
      <c r="A126" s="77">
        <f>Sheet1!A92</f>
        <v>520</v>
      </c>
      <c r="B126" s="78">
        <f>Sheet1!B92</f>
        <v>55.68</v>
      </c>
      <c r="C126" s="79">
        <v>1</v>
      </c>
    </row>
    <row r="127" spans="1:3" x14ac:dyDescent="0.15">
      <c r="A127" s="77">
        <f>Sheet1!A93</f>
        <v>525</v>
      </c>
      <c r="B127" s="78">
        <f>Sheet1!B93</f>
        <v>55.79</v>
      </c>
      <c r="C127" s="79">
        <v>1</v>
      </c>
    </row>
    <row r="128" spans="1:3" x14ac:dyDescent="0.15">
      <c r="A128" s="77">
        <f>Sheet1!A94</f>
        <v>530</v>
      </c>
      <c r="B128" s="78">
        <f>Sheet1!B94</f>
        <v>55.87</v>
      </c>
      <c r="C128" s="79">
        <v>1</v>
      </c>
    </row>
    <row r="129" spans="1:3" x14ac:dyDescent="0.15">
      <c r="A129" s="77">
        <f>Sheet1!A95</f>
        <v>535</v>
      </c>
      <c r="B129" s="78">
        <f>Sheet1!B95</f>
        <v>55.94</v>
      </c>
      <c r="C129" s="79">
        <v>1</v>
      </c>
    </row>
    <row r="130" spans="1:3" x14ac:dyDescent="0.15">
      <c r="A130" s="77">
        <f>Sheet1!A96</f>
        <v>540</v>
      </c>
      <c r="B130" s="78">
        <f>Sheet1!B96</f>
        <v>57.46</v>
      </c>
      <c r="C130" s="79">
        <v>1</v>
      </c>
    </row>
    <row r="131" spans="1:3" x14ac:dyDescent="0.15">
      <c r="A131" s="77">
        <f>Sheet1!A97</f>
        <v>555</v>
      </c>
      <c r="B131" s="78">
        <f>Sheet1!B97</f>
        <v>57.65</v>
      </c>
      <c r="C131" s="79">
        <v>1</v>
      </c>
    </row>
    <row r="132" spans="1:3" x14ac:dyDescent="0.15">
      <c r="A132" s="77">
        <f>Sheet1!A98</f>
        <v>570</v>
      </c>
      <c r="B132" s="78">
        <f>Sheet1!B98</f>
        <v>57.809999999999995</v>
      </c>
      <c r="C132" s="79">
        <v>1</v>
      </c>
    </row>
    <row r="133" spans="1:3" x14ac:dyDescent="0.15">
      <c r="A133" s="77">
        <f>Sheet1!A99</f>
        <v>585</v>
      </c>
      <c r="B133" s="78">
        <f>Sheet1!B99</f>
        <v>57.949999999999996</v>
      </c>
      <c r="C133" s="79">
        <v>1</v>
      </c>
    </row>
    <row r="134" spans="1:3" x14ac:dyDescent="0.15">
      <c r="A134" s="77">
        <f>Sheet1!A100</f>
        <v>600</v>
      </c>
      <c r="B134" s="78">
        <f>Sheet1!B100</f>
        <v>59.52</v>
      </c>
      <c r="C134" s="79">
        <v>1</v>
      </c>
    </row>
    <row r="135" spans="1:3" x14ac:dyDescent="0.15">
      <c r="A135" s="77" t="s">
        <v>105</v>
      </c>
    </row>
  </sheetData>
  <phoneticPr fontId="2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19458" r:id="rId4" name="CommandButton2">
          <controlPr defaultSize="0" autoLine="0" r:id="rId5">
            <anchor moveWithCells="1">
              <from>
                <xdr:col>8</xdr:col>
                <xdr:colOff>19050</xdr:colOff>
                <xdr:row>14</xdr:row>
                <xdr:rowOff>133350</xdr:rowOff>
              </from>
              <to>
                <xdr:col>10</xdr:col>
                <xdr:colOff>333375</xdr:colOff>
                <xdr:row>17</xdr:row>
                <xdr:rowOff>0</xdr:rowOff>
              </to>
            </anchor>
          </controlPr>
        </control>
      </mc:Choice>
      <mc:Fallback>
        <control shapeId="19458" r:id="rId4" name="CommandButton2"/>
      </mc:Fallback>
    </mc:AlternateContent>
    <mc:AlternateContent xmlns:mc="http://schemas.openxmlformats.org/markup-compatibility/2006">
      <mc:Choice Requires="x14">
        <control shapeId="19457" r:id="rId6" name="CommandButton1">
          <controlPr defaultSize="0" autoLine="0" r:id="rId7">
            <anchor moveWithCells="1">
              <from>
                <xdr:col>8</xdr:col>
                <xdr:colOff>19050</xdr:colOff>
                <xdr:row>12</xdr:row>
                <xdr:rowOff>19050</xdr:rowOff>
              </from>
              <to>
                <xdr:col>10</xdr:col>
                <xdr:colOff>333375</xdr:colOff>
                <xdr:row>14</xdr:row>
                <xdr:rowOff>57150</xdr:rowOff>
              </to>
            </anchor>
          </controlPr>
        </control>
      </mc:Choice>
      <mc:Fallback>
        <control shapeId="19457" r:id="rId6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/>
  <dimension ref="A1:C99"/>
  <sheetViews>
    <sheetView workbookViewId="0"/>
  </sheetViews>
  <sheetFormatPr defaultRowHeight="13.5" x14ac:dyDescent="0.15"/>
  <cols>
    <col min="1" max="1" width="8.88671875" style="77"/>
    <col min="2" max="3" width="8.88671875" style="78"/>
    <col min="4" max="16384" width="8.88671875" style="77"/>
  </cols>
  <sheetData>
    <row r="1" spans="1:2" x14ac:dyDescent="0.15">
      <c r="B1" s="77"/>
    </row>
    <row r="2" spans="1:2" x14ac:dyDescent="0.15">
      <c r="A2" s="77" t="s">
        <v>98</v>
      </c>
      <c r="B2" s="77"/>
    </row>
    <row r="3" spans="1:2" x14ac:dyDescent="0.15">
      <c r="A3" s="77">
        <v>2</v>
      </c>
      <c r="B3" s="77"/>
    </row>
    <row r="4" spans="1:2" x14ac:dyDescent="0.15">
      <c r="A4" s="77">
        <v>1</v>
      </c>
      <c r="B4" s="77"/>
    </row>
    <row r="5" spans="1:2" x14ac:dyDescent="0.15">
      <c r="A5" s="77">
        <v>6</v>
      </c>
      <c r="B5" s="77"/>
    </row>
    <row r="6" spans="1:2" x14ac:dyDescent="0.15">
      <c r="A6" s="77" t="s">
        <v>99</v>
      </c>
      <c r="B6" s="77"/>
    </row>
    <row r="7" spans="1:2" x14ac:dyDescent="0.15">
      <c r="A7" s="77">
        <f>Step.Select!A7</f>
        <v>80</v>
      </c>
      <c r="B7" s="77"/>
    </row>
    <row r="8" spans="1:2" x14ac:dyDescent="0.15">
      <c r="A8" s="77" t="s">
        <v>100</v>
      </c>
      <c r="B8" s="77"/>
    </row>
    <row r="9" spans="1:2" x14ac:dyDescent="0.15">
      <c r="A9" s="77">
        <v>1</v>
      </c>
      <c r="B9" s="77"/>
    </row>
    <row r="10" spans="1:2" x14ac:dyDescent="0.15">
      <c r="A10" s="77" t="s">
        <v>101</v>
      </c>
      <c r="B10" s="77"/>
    </row>
    <row r="11" spans="1:2" x14ac:dyDescent="0.15">
      <c r="A11" s="77">
        <v>1</v>
      </c>
      <c r="B11" s="77"/>
    </row>
    <row r="12" spans="1:2" x14ac:dyDescent="0.15">
      <c r="A12" s="77" t="s">
        <v>102</v>
      </c>
      <c r="B12" s="77"/>
    </row>
    <row r="13" spans="1:2" x14ac:dyDescent="0.15">
      <c r="A13" s="77">
        <v>1</v>
      </c>
      <c r="B13" s="77"/>
    </row>
    <row r="14" spans="1:2" x14ac:dyDescent="0.15">
      <c r="A14" s="77" t="s">
        <v>103</v>
      </c>
      <c r="B14" s="77"/>
    </row>
    <row r="15" spans="1:2" x14ac:dyDescent="0.15">
      <c r="A15" s="77" t="str">
        <f>입력표!I54</f>
        <v>W-1</v>
      </c>
      <c r="B15" s="77"/>
    </row>
    <row r="16" spans="1:2" x14ac:dyDescent="0.15">
      <c r="A16" s="77">
        <v>0</v>
      </c>
      <c r="B16" s="77"/>
    </row>
    <row r="17" spans="1:3" x14ac:dyDescent="0.15">
      <c r="A17" s="77">
        <v>0</v>
      </c>
      <c r="B17" s="77"/>
    </row>
    <row r="18" spans="1:3" x14ac:dyDescent="0.15">
      <c r="A18" s="77">
        <f>Step.Select!A18</f>
        <v>0.125</v>
      </c>
      <c r="B18" s="77"/>
    </row>
    <row r="19" spans="1:3" x14ac:dyDescent="0.15">
      <c r="A19" s="77">
        <f>Step.Select!A19</f>
        <v>0.125</v>
      </c>
      <c r="B19" s="77"/>
    </row>
    <row r="20" spans="1:3" x14ac:dyDescent="0.15">
      <c r="A20" s="77">
        <v>0</v>
      </c>
      <c r="B20" s="77"/>
    </row>
    <row r="21" spans="1:3" x14ac:dyDescent="0.15">
      <c r="A21" s="77">
        <v>0</v>
      </c>
      <c r="B21" s="77"/>
    </row>
    <row r="22" spans="1:3" x14ac:dyDescent="0.15">
      <c r="A22" s="77">
        <v>1</v>
      </c>
      <c r="B22" s="77"/>
    </row>
    <row r="23" spans="1:3" x14ac:dyDescent="0.15">
      <c r="A23" s="77">
        <v>1</v>
      </c>
      <c r="B23" s="77"/>
    </row>
    <row r="24" spans="1:3" x14ac:dyDescent="0.15">
      <c r="A24" s="79">
        <v>0</v>
      </c>
      <c r="B24" s="79">
        <f>입력표!M51</f>
        <v>520</v>
      </c>
    </row>
    <row r="25" spans="1:3" x14ac:dyDescent="0.15">
      <c r="A25" s="77" t="s">
        <v>104</v>
      </c>
      <c r="B25" s="77"/>
    </row>
    <row r="26" spans="1:3" x14ac:dyDescent="0.15">
      <c r="A26" s="77" t="str">
        <f>A15</f>
        <v>W-1</v>
      </c>
      <c r="B26" s="77"/>
    </row>
    <row r="27" spans="1:3" x14ac:dyDescent="0.15">
      <c r="A27" s="81">
        <f>스킨팩터!C9</f>
        <v>2.5137638134386768</v>
      </c>
      <c r="B27" s="77"/>
    </row>
    <row r="28" spans="1:3" x14ac:dyDescent="0.15">
      <c r="A28" s="77">
        <v>0</v>
      </c>
      <c r="B28" s="77"/>
    </row>
    <row r="29" spans="1:3" x14ac:dyDescent="0.15">
      <c r="A29" s="77">
        <v>0</v>
      </c>
      <c r="B29" s="77"/>
    </row>
    <row r="30" spans="1:3" x14ac:dyDescent="0.15">
      <c r="A30" s="79">
        <f>SUM(C31:C98)</f>
        <v>68</v>
      </c>
      <c r="B30" s="77"/>
    </row>
    <row r="31" spans="1:3" x14ac:dyDescent="0.15">
      <c r="A31" s="77">
        <f>장기양수시험!D10</f>
        <v>1</v>
      </c>
      <c r="B31" s="248">
        <f>장기양수시험!G10</f>
        <v>7.3536772940069994</v>
      </c>
      <c r="C31" s="79">
        <v>1</v>
      </c>
    </row>
    <row r="32" spans="1:3" x14ac:dyDescent="0.15">
      <c r="A32" s="77">
        <f>장기양수시험!D11</f>
        <v>2</v>
      </c>
      <c r="B32" s="248">
        <f>장기양수시험!G11</f>
        <v>11.607483204592533</v>
      </c>
      <c r="C32" s="79">
        <v>1</v>
      </c>
    </row>
    <row r="33" spans="1:3" x14ac:dyDescent="0.15">
      <c r="A33" s="77">
        <f>장기양수시험!D12</f>
        <v>3</v>
      </c>
      <c r="B33" s="248">
        <f>장기양수시험!G12</f>
        <v>14.095800147631088</v>
      </c>
      <c r="C33" s="79">
        <v>1</v>
      </c>
    </row>
    <row r="34" spans="1:3" x14ac:dyDescent="0.15">
      <c r="A34" s="77">
        <f>장기양수시험!D13</f>
        <v>4</v>
      </c>
      <c r="B34" s="248">
        <f>장기양수시험!G13</f>
        <v>15.861289115178074</v>
      </c>
      <c r="C34" s="79">
        <v>1</v>
      </c>
    </row>
    <row r="35" spans="1:3" x14ac:dyDescent="0.15">
      <c r="A35" s="77">
        <f>장기양수시험!D14</f>
        <v>5</v>
      </c>
      <c r="B35" s="248">
        <f>장기양수시험!G14</f>
        <v>17.230708747993482</v>
      </c>
      <c r="C35" s="79">
        <v>1</v>
      </c>
    </row>
    <row r="36" spans="1:3" x14ac:dyDescent="0.15">
      <c r="A36" s="77">
        <f>장기양수시험!D15</f>
        <v>10</v>
      </c>
      <c r="B36" s="248">
        <f>장기양수시험!G15</f>
        <v>21.484514658579009</v>
      </c>
      <c r="C36" s="79">
        <v>1</v>
      </c>
    </row>
    <row r="37" spans="1:3" x14ac:dyDescent="0.15">
      <c r="A37" s="77">
        <f>장기양수시험!D16</f>
        <v>15</v>
      </c>
      <c r="B37" s="248">
        <f>장기양수시험!G16</f>
        <v>23.972831601617564</v>
      </c>
      <c r="C37" s="79">
        <v>1</v>
      </c>
    </row>
    <row r="38" spans="1:3" x14ac:dyDescent="0.15">
      <c r="A38" s="77">
        <f>장기양수시험!D17</f>
        <v>20</v>
      </c>
      <c r="B38" s="248">
        <f>장기양수시험!G17</f>
        <v>25.73832056916455</v>
      </c>
      <c r="C38" s="79">
        <v>1</v>
      </c>
    </row>
    <row r="39" spans="1:3" x14ac:dyDescent="0.15">
      <c r="A39" s="77">
        <f>장기양수시험!D18</f>
        <v>25</v>
      </c>
      <c r="B39" s="248">
        <f>장기양수시험!G18</f>
        <v>27.107740201979951</v>
      </c>
      <c r="C39" s="79">
        <v>1</v>
      </c>
    </row>
    <row r="40" spans="1:3" x14ac:dyDescent="0.15">
      <c r="A40" s="77">
        <f>장기양수시험!D19</f>
        <v>30</v>
      </c>
      <c r="B40" s="248">
        <f>장기양수시험!G19</f>
        <v>28.226637512203105</v>
      </c>
      <c r="C40" s="79">
        <v>1</v>
      </c>
    </row>
    <row r="41" spans="1:3" x14ac:dyDescent="0.15">
      <c r="A41" s="77">
        <f>장기양수시험!D20</f>
        <v>35</v>
      </c>
      <c r="B41" s="248">
        <f>장기양수시험!G20</f>
        <v>29.172651708553509</v>
      </c>
      <c r="C41" s="79">
        <v>1</v>
      </c>
    </row>
    <row r="42" spans="1:3" x14ac:dyDescent="0.15">
      <c r="A42" s="77">
        <f>장기양수시험!D21</f>
        <v>40</v>
      </c>
      <c r="B42" s="248">
        <f>장기양수시험!G21</f>
        <v>29.992126479750084</v>
      </c>
      <c r="C42" s="79">
        <v>1</v>
      </c>
    </row>
    <row r="43" spans="1:3" x14ac:dyDescent="0.15">
      <c r="A43" s="77">
        <f>장기양수시험!D22</f>
        <v>45</v>
      </c>
      <c r="B43" s="248">
        <f>장기양수시험!G22</f>
        <v>30.714954455241653</v>
      </c>
      <c r="C43" s="79">
        <v>1</v>
      </c>
    </row>
    <row r="44" spans="1:3" x14ac:dyDescent="0.15">
      <c r="A44" s="77">
        <f>장기양수시험!D23</f>
        <v>50</v>
      </c>
      <c r="B44" s="248">
        <f>장기양수시험!G23</f>
        <v>31.361546112565492</v>
      </c>
      <c r="C44" s="79">
        <v>1</v>
      </c>
    </row>
    <row r="45" spans="1:3" x14ac:dyDescent="0.15">
      <c r="A45" s="77">
        <f>장기양수시험!D24</f>
        <v>55</v>
      </c>
      <c r="B45" s="248">
        <f>장기양수시험!G24</f>
        <v>31.897379414619298</v>
      </c>
      <c r="C45" s="79">
        <v>1</v>
      </c>
    </row>
    <row r="46" spans="1:3" x14ac:dyDescent="0.15">
      <c r="A46" s="77">
        <f>장기양수시험!D25</f>
        <v>60</v>
      </c>
      <c r="B46" s="248">
        <f>장기양수시험!G25</f>
        <v>32.480443422788639</v>
      </c>
      <c r="C46" s="79">
        <v>1</v>
      </c>
    </row>
    <row r="47" spans="1:3" x14ac:dyDescent="0.15">
      <c r="A47" s="77">
        <f>장기양수시험!D26</f>
        <v>75</v>
      </c>
      <c r="B47" s="248">
        <f>장기양수시험!G26</f>
        <v>33.849863055604047</v>
      </c>
      <c r="C47" s="79">
        <v>1</v>
      </c>
    </row>
    <row r="48" spans="1:3" x14ac:dyDescent="0.15">
      <c r="A48" s="77">
        <f>장기양수시험!D27</f>
        <v>90</v>
      </c>
      <c r="B48" s="248">
        <f>장기양수시험!G27</f>
        <v>34.968760365827194</v>
      </c>
      <c r="C48" s="79">
        <v>1</v>
      </c>
    </row>
    <row r="49" spans="1:3" x14ac:dyDescent="0.15">
      <c r="A49" s="77">
        <f>장기양수시험!D28</f>
        <v>105</v>
      </c>
      <c r="B49" s="248">
        <f>장기양수시험!G28</f>
        <v>35.914774562177598</v>
      </c>
      <c r="C49" s="79">
        <v>1</v>
      </c>
    </row>
    <row r="50" spans="1:3" x14ac:dyDescent="0.15">
      <c r="A50" s="77">
        <f>장기양수시험!D29</f>
        <v>120</v>
      </c>
      <c r="B50" s="248">
        <f>장기양수시험!G29</f>
        <v>36.73424933337418</v>
      </c>
      <c r="C50" s="79">
        <v>1</v>
      </c>
    </row>
    <row r="51" spans="1:3" x14ac:dyDescent="0.15">
      <c r="A51" s="77">
        <f>장기양수시험!D30</f>
        <v>140</v>
      </c>
      <c r="B51" s="248">
        <f>장기양수시험!G30</f>
        <v>37.680263529724584</v>
      </c>
      <c r="C51" s="79">
        <v>1</v>
      </c>
    </row>
    <row r="52" spans="1:3" x14ac:dyDescent="0.15">
      <c r="A52" s="77">
        <f>장기양수시험!D31</f>
        <v>160</v>
      </c>
      <c r="B52" s="248">
        <f>장기양수시험!G31</f>
        <v>38.499738300921166</v>
      </c>
      <c r="C52" s="79">
        <v>1</v>
      </c>
    </row>
    <row r="53" spans="1:3" x14ac:dyDescent="0.15">
      <c r="A53" s="77">
        <f>장기양수시험!D32</f>
        <v>180</v>
      </c>
      <c r="B53" s="248">
        <f>장기양수시험!G32</f>
        <v>39.222566276412735</v>
      </c>
      <c r="C53" s="79">
        <v>1</v>
      </c>
    </row>
    <row r="54" spans="1:3" x14ac:dyDescent="0.15">
      <c r="A54" s="77">
        <f>장기양수시험!D33</f>
        <v>240</v>
      </c>
      <c r="B54" s="248">
        <f>장기양수시험!G33</f>
        <v>40.988055243959707</v>
      </c>
      <c r="C54" s="79">
        <v>1</v>
      </c>
    </row>
    <row r="55" spans="1:3" x14ac:dyDescent="0.15">
      <c r="A55" s="77">
        <f>장기양수시험!D34</f>
        <v>300</v>
      </c>
      <c r="B55" s="248">
        <f>장기양수시험!G34</f>
        <v>42.357474876775115</v>
      </c>
      <c r="C55" s="79">
        <v>1</v>
      </c>
    </row>
    <row r="56" spans="1:3" x14ac:dyDescent="0.15">
      <c r="A56" s="77">
        <f>장기양수시험!D35</f>
        <v>360</v>
      </c>
      <c r="B56" s="248">
        <f>장기양수시험!G35</f>
        <v>43.476372186998262</v>
      </c>
      <c r="C56" s="79">
        <v>1</v>
      </c>
    </row>
    <row r="57" spans="1:3" x14ac:dyDescent="0.15">
      <c r="A57" s="77">
        <f>장기양수시험!D36</f>
        <v>420</v>
      </c>
      <c r="B57" s="248">
        <f>장기양수시험!G36</f>
        <v>44.42238638334868</v>
      </c>
      <c r="C57" s="79">
        <v>1</v>
      </c>
    </row>
    <row r="58" spans="1:3" x14ac:dyDescent="0.15">
      <c r="A58" s="77">
        <f>장기양수시험!D37</f>
        <v>480</v>
      </c>
      <c r="B58" s="248">
        <f>장기양수시험!G37</f>
        <v>45.241861154545248</v>
      </c>
      <c r="C58" s="79">
        <v>1</v>
      </c>
    </row>
    <row r="59" spans="1:3" x14ac:dyDescent="0.15">
      <c r="A59" s="77">
        <f>장기양수시험!D38</f>
        <v>540</v>
      </c>
      <c r="B59" s="248">
        <f>장기양수시험!G38</f>
        <v>45.964689130036817</v>
      </c>
      <c r="C59" s="79">
        <v>1</v>
      </c>
    </row>
    <row r="60" spans="1:3" x14ac:dyDescent="0.15">
      <c r="A60" s="77">
        <f>장기양수시험!D39</f>
        <v>600</v>
      </c>
      <c r="B60" s="248">
        <f>장기양수시험!G39</f>
        <v>46.611280787360656</v>
      </c>
      <c r="C60" s="79">
        <v>1</v>
      </c>
    </row>
    <row r="61" spans="1:3" x14ac:dyDescent="0.15">
      <c r="A61" s="77">
        <f>장기양수시험!D40</f>
        <v>660</v>
      </c>
      <c r="B61" s="248">
        <f>장기양수시험!G40</f>
        <v>47.196194089414462</v>
      </c>
      <c r="C61" s="79">
        <v>1</v>
      </c>
    </row>
    <row r="62" spans="1:3" x14ac:dyDescent="0.15">
      <c r="A62" s="77">
        <f>장기양수시험!D41</f>
        <v>720</v>
      </c>
      <c r="B62" s="248">
        <f>장기양수시험!G41</f>
        <v>47.730178097583803</v>
      </c>
      <c r="C62" s="79">
        <v>1</v>
      </c>
    </row>
    <row r="63" spans="1:3" x14ac:dyDescent="0.15">
      <c r="A63" s="77">
        <f>장기양수시험!D42</f>
        <v>780</v>
      </c>
      <c r="B63" s="248">
        <f>장기양수시험!G42</f>
        <v>48.221395767582692</v>
      </c>
      <c r="C63" s="79">
        <v>1</v>
      </c>
    </row>
    <row r="64" spans="1:3" x14ac:dyDescent="0.15">
      <c r="A64" s="77">
        <f>장기양수시험!D43</f>
        <v>840</v>
      </c>
      <c r="B64" s="248">
        <f>장기양수시험!G43</f>
        <v>48.676192293934207</v>
      </c>
      <c r="C64" s="79">
        <v>1</v>
      </c>
    </row>
    <row r="65" spans="1:3" x14ac:dyDescent="0.15">
      <c r="A65" s="77">
        <f>장기양수시험!D44</f>
        <v>900</v>
      </c>
      <c r="B65" s="248">
        <f>장기양수시험!G44</f>
        <v>49.099597730399211</v>
      </c>
      <c r="C65" s="79">
        <v>1</v>
      </c>
    </row>
    <row r="66" spans="1:3" x14ac:dyDescent="0.15">
      <c r="A66" s="77">
        <f>장기양수시험!D45</f>
        <v>960</v>
      </c>
      <c r="B66" s="248">
        <f>장기양수시험!G45</f>
        <v>49.495667065130789</v>
      </c>
      <c r="C66" s="79">
        <v>1</v>
      </c>
    </row>
    <row r="67" spans="1:3" x14ac:dyDescent="0.15">
      <c r="A67" s="77">
        <f>장기양수시험!D46</f>
        <v>1020</v>
      </c>
      <c r="B67" s="248">
        <f>장기양수시험!G46</f>
        <v>49.867717016198085</v>
      </c>
      <c r="C67" s="79">
        <v>1</v>
      </c>
    </row>
    <row r="68" spans="1:3" x14ac:dyDescent="0.15">
      <c r="A68" s="77">
        <f>장기양수시험!D47</f>
        <v>1080</v>
      </c>
      <c r="B68" s="248">
        <f>장기양수시험!G47</f>
        <v>50.218495040622358</v>
      </c>
      <c r="C68" s="79">
        <v>1</v>
      </c>
    </row>
    <row r="69" spans="1:3" x14ac:dyDescent="0.15">
      <c r="A69" s="77">
        <f>장기양수시험!D48</f>
        <v>1140</v>
      </c>
      <c r="B69" s="248">
        <f>장기양수시험!G48</f>
        <v>50.550302587213878</v>
      </c>
      <c r="C69" s="79">
        <v>1</v>
      </c>
    </row>
    <row r="70" spans="1:3" x14ac:dyDescent="0.15">
      <c r="A70" s="77">
        <f>장기양수시험!D49</f>
        <v>1200</v>
      </c>
      <c r="B70" s="248">
        <f>장기양수시험!G49</f>
        <v>50.865086697946182</v>
      </c>
      <c r="C70" s="79">
        <v>1</v>
      </c>
    </row>
    <row r="71" spans="1:3" x14ac:dyDescent="0.15">
      <c r="A71" s="77">
        <f>장기양수시험!D50</f>
        <v>1260</v>
      </c>
      <c r="B71" s="248">
        <f>장기양수시험!G50</f>
        <v>51.164509236972762</v>
      </c>
      <c r="C71" s="79">
        <v>1</v>
      </c>
    </row>
    <row r="72" spans="1:3" x14ac:dyDescent="0.15">
      <c r="A72" s="77">
        <f>장기양수시험!D51</f>
        <v>1320</v>
      </c>
      <c r="B72" s="248">
        <f>장기양수시험!G51</f>
        <v>51.45</v>
      </c>
      <c r="C72" s="79">
        <v>1</v>
      </c>
    </row>
    <row r="73" spans="1:3" x14ac:dyDescent="0.15">
      <c r="A73" s="77">
        <f>장기양수시험!D52</f>
        <v>1380</v>
      </c>
      <c r="B73" s="248">
        <f>장기양수시험!G52</f>
        <v>51.45</v>
      </c>
      <c r="C73" s="79">
        <v>1</v>
      </c>
    </row>
    <row r="74" spans="1:3" x14ac:dyDescent="0.15">
      <c r="A74" s="77">
        <f>장기양수시험!D53</f>
        <v>1440</v>
      </c>
      <c r="B74" s="248">
        <f>장기양수시험!G53</f>
        <v>51.45</v>
      </c>
      <c r="C74" s="79">
        <v>1</v>
      </c>
    </row>
    <row r="75" spans="1:3" x14ac:dyDescent="0.15">
      <c r="A75" s="77">
        <f>장기양수시험!D54</f>
        <v>1500</v>
      </c>
      <c r="B75" s="248">
        <f>장기양수시험!G54</f>
        <v>51.45</v>
      </c>
      <c r="C75" s="79">
        <v>1</v>
      </c>
    </row>
    <row r="76" spans="1:3" x14ac:dyDescent="0.15">
      <c r="A76" s="77">
        <f>장기양수시험!D55</f>
        <v>1560</v>
      </c>
      <c r="B76" s="248">
        <f>장기양수시험!G55</f>
        <v>51.45</v>
      </c>
      <c r="C76" s="79">
        <v>1</v>
      </c>
    </row>
    <row r="77" spans="1:3" x14ac:dyDescent="0.15">
      <c r="A77" s="77">
        <f>장기양수시험!D56</f>
        <v>1620</v>
      </c>
      <c r="B77" s="248">
        <f>장기양수시험!G56</f>
        <v>51.45</v>
      </c>
      <c r="C77" s="79">
        <v>1</v>
      </c>
    </row>
    <row r="78" spans="1:3" x14ac:dyDescent="0.15">
      <c r="A78" s="77">
        <f>장기양수시험!D57</f>
        <v>1680</v>
      </c>
      <c r="B78" s="248">
        <f>장기양수시험!G57</f>
        <v>51.45</v>
      </c>
      <c r="C78" s="79">
        <v>1</v>
      </c>
    </row>
    <row r="79" spans="1:3" x14ac:dyDescent="0.15">
      <c r="A79" s="77">
        <f>장기양수시험!D58</f>
        <v>1740</v>
      </c>
      <c r="B79" s="248">
        <f>장기양수시험!G58</f>
        <v>51.45</v>
      </c>
      <c r="C79" s="79">
        <v>1</v>
      </c>
    </row>
    <row r="80" spans="1:3" x14ac:dyDescent="0.15">
      <c r="A80" s="77">
        <f>장기양수시험!D59</f>
        <v>1800</v>
      </c>
      <c r="B80" s="248">
        <f>장기양수시험!G59</f>
        <v>51.45</v>
      </c>
      <c r="C80" s="79">
        <v>1</v>
      </c>
    </row>
    <row r="81" spans="1:3" x14ac:dyDescent="0.15">
      <c r="A81" s="77">
        <f>장기양수시험!D60</f>
        <v>1860</v>
      </c>
      <c r="B81" s="248">
        <f>장기양수시험!G60</f>
        <v>51.45</v>
      </c>
      <c r="C81" s="79">
        <v>1</v>
      </c>
    </row>
    <row r="82" spans="1:3" x14ac:dyDescent="0.15">
      <c r="A82" s="77">
        <f>장기양수시험!D61</f>
        <v>1920</v>
      </c>
      <c r="B82" s="248">
        <f>장기양수시험!G61</f>
        <v>51.45</v>
      </c>
      <c r="C82" s="79">
        <v>1</v>
      </c>
    </row>
    <row r="83" spans="1:3" x14ac:dyDescent="0.15">
      <c r="A83" s="77">
        <f>장기양수시험!D62</f>
        <v>1980</v>
      </c>
      <c r="B83" s="248">
        <f>장기양수시험!G62</f>
        <v>51.45</v>
      </c>
      <c r="C83" s="79">
        <v>1</v>
      </c>
    </row>
    <row r="84" spans="1:3" x14ac:dyDescent="0.15">
      <c r="A84" s="77">
        <f>장기양수시험!D63</f>
        <v>2040</v>
      </c>
      <c r="B84" s="248">
        <f>장기양수시험!G63</f>
        <v>51.45</v>
      </c>
      <c r="C84" s="79">
        <v>1</v>
      </c>
    </row>
    <row r="85" spans="1:3" x14ac:dyDescent="0.15">
      <c r="A85" s="77">
        <f>장기양수시험!D64</f>
        <v>2100</v>
      </c>
      <c r="B85" s="248">
        <f>장기양수시험!G64</f>
        <v>51.45</v>
      </c>
      <c r="C85" s="79">
        <v>1</v>
      </c>
    </row>
    <row r="86" spans="1:3" x14ac:dyDescent="0.15">
      <c r="A86" s="77">
        <f>장기양수시험!D65</f>
        <v>2160</v>
      </c>
      <c r="B86" s="248">
        <f>장기양수시험!G65</f>
        <v>51.45</v>
      </c>
      <c r="C86" s="79">
        <v>1</v>
      </c>
    </row>
    <row r="87" spans="1:3" x14ac:dyDescent="0.15">
      <c r="A87" s="77">
        <f>장기양수시험!D66</f>
        <v>2220</v>
      </c>
      <c r="B87" s="248">
        <f>장기양수시험!G66</f>
        <v>51.45</v>
      </c>
      <c r="C87" s="79">
        <v>1</v>
      </c>
    </row>
    <row r="88" spans="1:3" x14ac:dyDescent="0.15">
      <c r="A88" s="77">
        <f>장기양수시험!D67</f>
        <v>2280</v>
      </c>
      <c r="B88" s="248">
        <f>장기양수시험!G67</f>
        <v>51.45</v>
      </c>
      <c r="C88" s="79">
        <v>1</v>
      </c>
    </row>
    <row r="89" spans="1:3" x14ac:dyDescent="0.15">
      <c r="A89" s="77">
        <f>장기양수시험!D68</f>
        <v>2340</v>
      </c>
      <c r="B89" s="248">
        <f>장기양수시험!G68</f>
        <v>51.45</v>
      </c>
      <c r="C89" s="79">
        <v>1</v>
      </c>
    </row>
    <row r="90" spans="1:3" x14ac:dyDescent="0.15">
      <c r="A90" s="77">
        <f>장기양수시험!D69</f>
        <v>2400</v>
      </c>
      <c r="B90" s="248">
        <f>장기양수시험!G69</f>
        <v>51.45</v>
      </c>
      <c r="C90" s="79">
        <v>1</v>
      </c>
    </row>
    <row r="91" spans="1:3" x14ac:dyDescent="0.15">
      <c r="A91" s="77">
        <f>장기양수시험!D70</f>
        <v>2460</v>
      </c>
      <c r="B91" s="248">
        <f>장기양수시험!G70</f>
        <v>51.45</v>
      </c>
      <c r="C91" s="79">
        <v>1</v>
      </c>
    </row>
    <row r="92" spans="1:3" x14ac:dyDescent="0.15">
      <c r="A92" s="77">
        <f>장기양수시험!D71</f>
        <v>2520</v>
      </c>
      <c r="B92" s="248">
        <f>장기양수시험!G71</f>
        <v>51.45</v>
      </c>
      <c r="C92" s="79">
        <v>1</v>
      </c>
    </row>
    <row r="93" spans="1:3" x14ac:dyDescent="0.15">
      <c r="A93" s="77">
        <f>장기양수시험!D72</f>
        <v>2580</v>
      </c>
      <c r="B93" s="248">
        <f>장기양수시험!G72</f>
        <v>51.45</v>
      </c>
      <c r="C93" s="79">
        <v>1</v>
      </c>
    </row>
    <row r="94" spans="1:3" x14ac:dyDescent="0.15">
      <c r="A94" s="77">
        <f>장기양수시험!D73</f>
        <v>2640</v>
      </c>
      <c r="B94" s="248">
        <f>장기양수시험!G73</f>
        <v>51.45</v>
      </c>
      <c r="C94" s="79">
        <v>1</v>
      </c>
    </row>
    <row r="95" spans="1:3" x14ac:dyDescent="0.15">
      <c r="A95" s="77">
        <f>장기양수시험!D74</f>
        <v>2700</v>
      </c>
      <c r="B95" s="248">
        <f>장기양수시험!G74</f>
        <v>51.45</v>
      </c>
      <c r="C95" s="79">
        <v>1</v>
      </c>
    </row>
    <row r="96" spans="1:3" x14ac:dyDescent="0.15">
      <c r="A96" s="77">
        <f>장기양수시험!D75</f>
        <v>2760</v>
      </c>
      <c r="B96" s="248">
        <f>장기양수시험!G75</f>
        <v>51.45</v>
      </c>
      <c r="C96" s="79">
        <v>1</v>
      </c>
    </row>
    <row r="97" spans="1:3" x14ac:dyDescent="0.15">
      <c r="A97" s="77">
        <f>장기양수시험!D76</f>
        <v>2820</v>
      </c>
      <c r="B97" s="248">
        <f>장기양수시험!G76</f>
        <v>51.45</v>
      </c>
      <c r="C97" s="79">
        <v>1</v>
      </c>
    </row>
    <row r="98" spans="1:3" x14ac:dyDescent="0.15">
      <c r="A98" s="77">
        <f>장기양수시험!D77</f>
        <v>2880</v>
      </c>
      <c r="B98" s="248">
        <f>장기양수시험!G77</f>
        <v>51.45</v>
      </c>
      <c r="C98" s="79">
        <v>1</v>
      </c>
    </row>
    <row r="99" spans="1:3" x14ac:dyDescent="0.15">
      <c r="A99" s="77" t="s">
        <v>105</v>
      </c>
    </row>
  </sheetData>
  <phoneticPr fontId="2" type="noConversion"/>
  <pageMargins left="0.75" right="0.75" top="1" bottom="1" header="0.5" footer="0.5"/>
  <pageSetup paperSize="9" orientation="portrait" verticalDpi="0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20484" r:id="rId4" name="CommandButton3">
          <controlPr defaultSize="0" autoLine="0" r:id="rId5">
            <anchor moveWithCells="1">
              <from>
                <xdr:col>7</xdr:col>
                <xdr:colOff>752475</xdr:colOff>
                <xdr:row>16</xdr:row>
                <xdr:rowOff>47625</xdr:rowOff>
              </from>
              <to>
                <xdr:col>10</xdr:col>
                <xdr:colOff>304800</xdr:colOff>
                <xdr:row>18</xdr:row>
                <xdr:rowOff>85725</xdr:rowOff>
              </to>
            </anchor>
          </controlPr>
        </control>
      </mc:Choice>
      <mc:Fallback>
        <control shapeId="20484" r:id="rId4" name="CommandButton3"/>
      </mc:Fallback>
    </mc:AlternateContent>
    <mc:AlternateContent xmlns:mc="http://schemas.openxmlformats.org/markup-compatibility/2006">
      <mc:Choice Requires="x14">
        <control shapeId="20482" r:id="rId6" name="CommandButton2">
          <controlPr defaultSize="0" autoLine="0" r:id="rId7">
            <anchor moveWithCells="1">
              <from>
                <xdr:col>7</xdr:col>
                <xdr:colOff>752475</xdr:colOff>
                <xdr:row>13</xdr:row>
                <xdr:rowOff>9525</xdr:rowOff>
              </from>
              <to>
                <xdr:col>10</xdr:col>
                <xdr:colOff>304800</xdr:colOff>
                <xdr:row>15</xdr:row>
                <xdr:rowOff>47625</xdr:rowOff>
              </to>
            </anchor>
          </controlPr>
        </control>
      </mc:Choice>
      <mc:Fallback>
        <control shapeId="20482" r:id="rId6" name="CommandButton2"/>
      </mc:Fallback>
    </mc:AlternateContent>
    <mc:AlternateContent xmlns:mc="http://schemas.openxmlformats.org/markup-compatibility/2006">
      <mc:Choice Requires="x14">
        <control shapeId="20481" r:id="rId8" name="CommandButton1">
          <controlPr defaultSize="0" autoLine="0" r:id="rId9">
            <anchor moveWithCells="1">
              <from>
                <xdr:col>8</xdr:col>
                <xdr:colOff>9525</xdr:colOff>
                <xdr:row>9</xdr:row>
                <xdr:rowOff>142875</xdr:rowOff>
              </from>
              <to>
                <xdr:col>10</xdr:col>
                <xdr:colOff>323850</xdr:colOff>
                <xdr:row>12</xdr:row>
                <xdr:rowOff>9525</xdr:rowOff>
              </to>
            </anchor>
          </controlPr>
        </control>
      </mc:Choice>
      <mc:Fallback>
        <control shapeId="20481" r:id="rId8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1"/>
  <dimension ref="A1:C57"/>
  <sheetViews>
    <sheetView workbookViewId="0"/>
  </sheetViews>
  <sheetFormatPr defaultRowHeight="13.5" x14ac:dyDescent="0.15"/>
  <cols>
    <col min="1" max="1" width="8.88671875" style="77"/>
    <col min="2" max="3" width="8.88671875" style="78"/>
    <col min="4" max="16384" width="8.88671875" style="77"/>
  </cols>
  <sheetData>
    <row r="1" spans="1:2" x14ac:dyDescent="0.15">
      <c r="B1" s="77"/>
    </row>
    <row r="2" spans="1:2" x14ac:dyDescent="0.15">
      <c r="A2" s="77" t="s">
        <v>98</v>
      </c>
      <c r="B2" s="77"/>
    </row>
    <row r="3" spans="1:2" x14ac:dyDescent="0.15">
      <c r="A3" s="77">
        <v>2</v>
      </c>
      <c r="B3" s="77"/>
    </row>
    <row r="4" spans="1:2" x14ac:dyDescent="0.15">
      <c r="A4" s="77">
        <v>1</v>
      </c>
      <c r="B4" s="77"/>
    </row>
    <row r="5" spans="1:2" x14ac:dyDescent="0.15">
      <c r="A5" s="77">
        <v>6</v>
      </c>
      <c r="B5" s="77"/>
    </row>
    <row r="6" spans="1:2" x14ac:dyDescent="0.15">
      <c r="A6" s="77" t="s">
        <v>99</v>
      </c>
      <c r="B6" s="77"/>
    </row>
    <row r="7" spans="1:2" x14ac:dyDescent="0.15">
      <c r="A7" s="77">
        <f>Step.Select!A7</f>
        <v>80</v>
      </c>
      <c r="B7" s="77"/>
    </row>
    <row r="8" spans="1:2" x14ac:dyDescent="0.15">
      <c r="A8" s="77" t="s">
        <v>100</v>
      </c>
      <c r="B8" s="77"/>
    </row>
    <row r="9" spans="1:2" x14ac:dyDescent="0.15">
      <c r="A9" s="77">
        <v>1</v>
      </c>
      <c r="B9" s="77"/>
    </row>
    <row r="10" spans="1:2" x14ac:dyDescent="0.15">
      <c r="A10" s="77" t="s">
        <v>101</v>
      </c>
      <c r="B10" s="77"/>
    </row>
    <row r="11" spans="1:2" x14ac:dyDescent="0.15">
      <c r="A11" s="77">
        <v>1</v>
      </c>
      <c r="B11" s="77"/>
    </row>
    <row r="12" spans="1:2" x14ac:dyDescent="0.15">
      <c r="A12" s="77" t="s">
        <v>102</v>
      </c>
      <c r="B12" s="77"/>
    </row>
    <row r="13" spans="1:2" x14ac:dyDescent="0.15">
      <c r="A13" s="77">
        <v>1</v>
      </c>
      <c r="B13" s="77"/>
    </row>
    <row r="14" spans="1:2" x14ac:dyDescent="0.15">
      <c r="A14" s="77" t="s">
        <v>103</v>
      </c>
      <c r="B14" s="77"/>
    </row>
    <row r="15" spans="1:2" x14ac:dyDescent="0.15">
      <c r="A15" s="77" t="str">
        <f>입력표!I54</f>
        <v>W-1</v>
      </c>
      <c r="B15" s="77"/>
    </row>
    <row r="16" spans="1:2" x14ac:dyDescent="0.15">
      <c r="A16" s="77">
        <v>0</v>
      </c>
      <c r="B16" s="77"/>
    </row>
    <row r="17" spans="1:3" x14ac:dyDescent="0.15">
      <c r="A17" s="77">
        <v>0</v>
      </c>
      <c r="B17" s="77"/>
    </row>
    <row r="18" spans="1:3" x14ac:dyDescent="0.15">
      <c r="A18" s="77">
        <f>Step.Select!A18</f>
        <v>0.125</v>
      </c>
      <c r="B18" s="77"/>
    </row>
    <row r="19" spans="1:3" x14ac:dyDescent="0.15">
      <c r="A19" s="77">
        <f>Step.Select!A19</f>
        <v>0.125</v>
      </c>
      <c r="B19" s="77"/>
    </row>
    <row r="20" spans="1:3" x14ac:dyDescent="0.15">
      <c r="A20" s="77">
        <v>0</v>
      </c>
      <c r="B20" s="77"/>
    </row>
    <row r="21" spans="1:3" x14ac:dyDescent="0.15">
      <c r="A21" s="77">
        <v>0</v>
      </c>
      <c r="B21" s="77"/>
    </row>
    <row r="22" spans="1:3" x14ac:dyDescent="0.15">
      <c r="A22" s="77">
        <v>1</v>
      </c>
      <c r="B22" s="77"/>
    </row>
    <row r="23" spans="1:3" x14ac:dyDescent="0.15">
      <c r="A23" s="77">
        <v>2</v>
      </c>
      <c r="B23" s="77"/>
    </row>
    <row r="24" spans="1:3" x14ac:dyDescent="0.15">
      <c r="A24" s="79">
        <v>0</v>
      </c>
      <c r="B24" s="79">
        <f>입력표!M51</f>
        <v>520</v>
      </c>
    </row>
    <row r="25" spans="1:3" x14ac:dyDescent="0.15">
      <c r="A25" s="79">
        <v>2880</v>
      </c>
      <c r="B25" s="79">
        <v>0</v>
      </c>
    </row>
    <row r="26" spans="1:3" x14ac:dyDescent="0.15">
      <c r="A26" s="77" t="s">
        <v>104</v>
      </c>
      <c r="B26" s="77"/>
    </row>
    <row r="27" spans="1:3" x14ac:dyDescent="0.15">
      <c r="A27" s="77" t="str">
        <f>A15</f>
        <v>W-1</v>
      </c>
      <c r="B27" s="77"/>
    </row>
    <row r="28" spans="1:3" x14ac:dyDescent="0.15">
      <c r="A28" s="81">
        <f>스킨팩터!C9</f>
        <v>2.5137638134386768</v>
      </c>
      <c r="B28" s="77"/>
    </row>
    <row r="29" spans="1:3" x14ac:dyDescent="0.15">
      <c r="A29" s="77">
        <v>0</v>
      </c>
      <c r="B29" s="77"/>
    </row>
    <row r="30" spans="1:3" x14ac:dyDescent="0.15">
      <c r="A30" s="77">
        <v>0</v>
      </c>
      <c r="B30" s="77"/>
    </row>
    <row r="31" spans="1:3" x14ac:dyDescent="0.15">
      <c r="A31" s="79">
        <f>SUM(C32:C56)</f>
        <v>25</v>
      </c>
      <c r="B31" s="77"/>
    </row>
    <row r="32" spans="1:3" x14ac:dyDescent="0.15">
      <c r="A32" s="77">
        <f>장기양수시험!D77</f>
        <v>2880</v>
      </c>
      <c r="B32" s="78">
        <f>장기양수시험!G77</f>
        <v>51.45</v>
      </c>
      <c r="C32" s="79">
        <v>1</v>
      </c>
    </row>
    <row r="33" spans="1:3" x14ac:dyDescent="0.15">
      <c r="A33" s="77">
        <f>$A$32+장기양수시험!D78</f>
        <v>2881</v>
      </c>
      <c r="B33" s="78">
        <f>장기양수시험!G78</f>
        <v>29.634078434613624</v>
      </c>
      <c r="C33" s="79">
        <v>1</v>
      </c>
    </row>
    <row r="34" spans="1:3" x14ac:dyDescent="0.15">
      <c r="A34" s="77">
        <f>$A$32+장기양수시험!D79</f>
        <v>2882</v>
      </c>
      <c r="B34" s="78">
        <f>장기양수시험!G79</f>
        <v>26.329939709219818</v>
      </c>
      <c r="C34" s="79">
        <v>1</v>
      </c>
    </row>
    <row r="35" spans="1:3" x14ac:dyDescent="0.15">
      <c r="A35" s="77">
        <f>$A$32+장기양수시험!D80</f>
        <v>2883</v>
      </c>
      <c r="B35" s="78">
        <f>장기양수시험!G80</f>
        <v>23.394205648095749</v>
      </c>
      <c r="C35" s="79">
        <v>1</v>
      </c>
    </row>
    <row r="36" spans="1:3" x14ac:dyDescent="0.15">
      <c r="A36" s="77">
        <f>$A$32+장기양수시험!D81</f>
        <v>2884</v>
      </c>
      <c r="B36" s="78">
        <f>장기양수시험!G81</f>
        <v>20.785799889764039</v>
      </c>
      <c r="C36" s="79">
        <v>1</v>
      </c>
    </row>
    <row r="37" spans="1:3" x14ac:dyDescent="0.15">
      <c r="A37" s="77">
        <f>$A$32+장기양수시험!D82</f>
        <v>2885</v>
      </c>
      <c r="B37" s="78">
        <f>장기양수시험!G82</f>
        <v>18.468226002470946</v>
      </c>
      <c r="C37" s="79">
        <v>1</v>
      </c>
    </row>
    <row r="38" spans="1:3" x14ac:dyDescent="0.15">
      <c r="A38" s="77">
        <f>$A$32+장기양수시험!D83</f>
        <v>2890</v>
      </c>
      <c r="B38" s="78">
        <f>장기양수시험!G83</f>
        <v>12.953898696505998</v>
      </c>
      <c r="C38" s="79">
        <v>1</v>
      </c>
    </row>
    <row r="39" spans="1:3" x14ac:dyDescent="0.15">
      <c r="A39" s="77">
        <f>$A$32+장기양수시험!D84</f>
        <v>2895</v>
      </c>
      <c r="B39" s="78">
        <f>장기양수시험!G84</f>
        <v>11.972167624090394</v>
      </c>
      <c r="C39" s="79">
        <v>1</v>
      </c>
    </row>
    <row r="40" spans="1:3" x14ac:dyDescent="0.15">
      <c r="A40" s="77">
        <f>$A$32+장기양수시험!D85</f>
        <v>2900</v>
      </c>
      <c r="B40" s="78">
        <f>장기양수시험!G85</f>
        <v>9.4512590317066216</v>
      </c>
      <c r="C40" s="79">
        <v>1</v>
      </c>
    </row>
    <row r="41" spans="1:3" x14ac:dyDescent="0.15">
      <c r="A41" s="77">
        <f>$A$32+장기양수시험!D86</f>
        <v>2905</v>
      </c>
      <c r="B41" s="78">
        <f>장기양수시험!G86</f>
        <v>8.3974631109293441</v>
      </c>
      <c r="C41" s="79">
        <v>1</v>
      </c>
    </row>
    <row r="42" spans="1:3" x14ac:dyDescent="0.15">
      <c r="A42" s="77">
        <f>$A$32+장기양수시험!D87</f>
        <v>2910</v>
      </c>
      <c r="B42" s="78">
        <f>장기양수시험!G87</f>
        <v>7.4611632654285316</v>
      </c>
      <c r="C42" s="79">
        <v>1</v>
      </c>
    </row>
    <row r="43" spans="1:3" x14ac:dyDescent="0.15">
      <c r="A43" s="77">
        <f>$A$32+장기양수시험!D88</f>
        <v>2915</v>
      </c>
      <c r="B43" s="78">
        <f>장기양수시험!G88</f>
        <v>7.1728655361717193</v>
      </c>
      <c r="C43" s="79">
        <v>1</v>
      </c>
    </row>
    <row r="44" spans="1:3" x14ac:dyDescent="0.15">
      <c r="A44" s="77">
        <f>$A$32+장기양수시험!D89</f>
        <v>2920</v>
      </c>
      <c r="B44" s="78">
        <f>장기양수시험!G89</f>
        <v>6.8957075686032399</v>
      </c>
      <c r="C44" s="79">
        <v>1</v>
      </c>
    </row>
    <row r="45" spans="1:3" x14ac:dyDescent="0.15">
      <c r="A45" s="77">
        <f>$A$32+장기양수시험!D90</f>
        <v>2925</v>
      </c>
      <c r="B45" s="78">
        <f>장기양수시험!G90</f>
        <v>6.6292589247491565</v>
      </c>
      <c r="C45" s="79">
        <v>1</v>
      </c>
    </row>
    <row r="46" spans="1:3" x14ac:dyDescent="0.15">
      <c r="A46" s="77">
        <f>$A$32+장기양수시험!D91</f>
        <v>2930</v>
      </c>
      <c r="B46" s="78">
        <f>장기양수시험!G91</f>
        <v>6.3731057986654207</v>
      </c>
      <c r="C46" s="79">
        <v>1</v>
      </c>
    </row>
    <row r="47" spans="1:3" x14ac:dyDescent="0.15">
      <c r="A47" s="77">
        <f>$A$32+장기양수시험!D92</f>
        <v>2935</v>
      </c>
      <c r="B47" s="78">
        <f>장기양수시험!G92</f>
        <v>6.1268503737798561</v>
      </c>
      <c r="C47" s="79">
        <v>1</v>
      </c>
    </row>
    <row r="48" spans="1:3" x14ac:dyDescent="0.15">
      <c r="A48" s="77">
        <f>$A$32+장기양수시험!D93</f>
        <v>2940</v>
      </c>
      <c r="B48" s="78">
        <f>장기양수시험!G93</f>
        <v>5.8901102050662937</v>
      </c>
      <c r="C48" s="79">
        <v>1</v>
      </c>
    </row>
    <row r="49" spans="1:3" x14ac:dyDescent="0.15">
      <c r="A49" s="77">
        <f>$A$32+장기양수시험!D94</f>
        <v>2955</v>
      </c>
      <c r="B49" s="78">
        <f>장기양수시험!G94</f>
        <v>5.66251762509137</v>
      </c>
      <c r="C49" s="79">
        <v>1</v>
      </c>
    </row>
    <row r="50" spans="1:3" x14ac:dyDescent="0.15">
      <c r="A50" s="77">
        <f>$A$32+장기양수시험!D95</f>
        <v>2970</v>
      </c>
      <c r="B50" s="78">
        <f>장기양수시험!G95</f>
        <v>5.4437191730115568</v>
      </c>
      <c r="C50" s="79">
        <v>1</v>
      </c>
    </row>
    <row r="51" spans="1:3" x14ac:dyDescent="0.15">
      <c r="A51" s="77">
        <f>$A$32+장기양수시험!D96</f>
        <v>2985</v>
      </c>
      <c r="B51" s="78">
        <f>장기양수시험!G96</f>
        <v>5.2333750456336032</v>
      </c>
      <c r="C51" s="79">
        <v>1</v>
      </c>
    </row>
    <row r="52" spans="1:3" x14ac:dyDescent="0.15">
      <c r="A52" s="77">
        <f>$A$32+장기양수시험!D97</f>
        <v>3000</v>
      </c>
      <c r="B52" s="78">
        <f>장기양수시험!G97</f>
        <v>4.6498645041824416</v>
      </c>
      <c r="C52" s="79">
        <v>1</v>
      </c>
    </row>
    <row r="53" spans="1:3" x14ac:dyDescent="0.15">
      <c r="A53" s="77">
        <f>$A$32+장기양수시험!D98</f>
        <v>3060</v>
      </c>
      <c r="B53" s="78">
        <f>장기양수시험!G98</f>
        <v>4.4701947489153095</v>
      </c>
      <c r="C53" s="79">
        <v>1</v>
      </c>
    </row>
    <row r="54" spans="1:3" x14ac:dyDescent="0.15">
      <c r="A54" s="77">
        <f>$A$32+장기양수시험!D99</f>
        <v>3120</v>
      </c>
      <c r="B54" s="78">
        <f>장기양수시험!G99</f>
        <v>3.5289322552717999</v>
      </c>
      <c r="C54" s="79">
        <v>1</v>
      </c>
    </row>
    <row r="55" spans="1:3" x14ac:dyDescent="0.15">
      <c r="A55" s="77">
        <f>$A$32+장기양수시험!D100</f>
        <v>3180</v>
      </c>
      <c r="B55" s="78">
        <f>장기양수시험!G100</f>
        <v>2.7858658429410745</v>
      </c>
      <c r="C55" s="79">
        <v>1</v>
      </c>
    </row>
    <row r="56" spans="1:3" x14ac:dyDescent="0.15">
      <c r="A56" s="77">
        <f>$A$32+장기양수시험!D101</f>
        <v>3240</v>
      </c>
      <c r="B56" s="78">
        <f>장기양수시험!G101</f>
        <v>2.1992625342330419</v>
      </c>
      <c r="C56" s="79">
        <v>1</v>
      </c>
    </row>
    <row r="57" spans="1:3" x14ac:dyDescent="0.15">
      <c r="A57" s="77" t="s">
        <v>179</v>
      </c>
    </row>
  </sheetData>
  <phoneticPr fontId="2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21506" r:id="rId4" name="CommandButton2">
          <controlPr defaultSize="0" autoLine="0" r:id="rId5">
            <anchor moveWithCells="1">
              <from>
                <xdr:col>7</xdr:col>
                <xdr:colOff>657225</xdr:colOff>
                <xdr:row>17</xdr:row>
                <xdr:rowOff>19050</xdr:rowOff>
              </from>
              <to>
                <xdr:col>10</xdr:col>
                <xdr:colOff>209550</xdr:colOff>
                <xdr:row>19</xdr:row>
                <xdr:rowOff>57150</xdr:rowOff>
              </to>
            </anchor>
          </controlPr>
        </control>
      </mc:Choice>
      <mc:Fallback>
        <control shapeId="21506" r:id="rId4" name="CommandButton2"/>
      </mc:Fallback>
    </mc:AlternateContent>
    <mc:AlternateContent xmlns:mc="http://schemas.openxmlformats.org/markup-compatibility/2006">
      <mc:Choice Requires="x14">
        <control shapeId="21505" r:id="rId6" name="CommandButton1">
          <controlPr defaultSize="0" autoLine="0" r:id="rId7">
            <anchor moveWithCells="1">
              <from>
                <xdr:col>7</xdr:col>
                <xdr:colOff>647700</xdr:colOff>
                <xdr:row>14</xdr:row>
                <xdr:rowOff>28575</xdr:rowOff>
              </from>
              <to>
                <xdr:col>10</xdr:col>
                <xdr:colOff>200025</xdr:colOff>
                <xdr:row>16</xdr:row>
                <xdr:rowOff>66675</xdr:rowOff>
              </to>
            </anchor>
          </controlPr>
        </control>
      </mc:Choice>
      <mc:Fallback>
        <control shapeId="21505" r:id="rId6" name="CommandButton1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K14"/>
  <sheetViews>
    <sheetView zoomScale="70" workbookViewId="0">
      <selection sqref="A1:K1"/>
    </sheetView>
  </sheetViews>
  <sheetFormatPr defaultColWidth="8" defaultRowHeight="14.25" x14ac:dyDescent="0.15"/>
  <cols>
    <col min="1" max="1" width="8.109375" style="183" customWidth="1"/>
    <col min="2" max="3" width="8" style="183" customWidth="1"/>
    <col min="4" max="4" width="8.5546875" style="183" customWidth="1"/>
    <col min="5" max="5" width="7.6640625" style="183" customWidth="1"/>
    <col min="6" max="6" width="2.33203125" style="183" customWidth="1"/>
    <col min="7" max="7" width="9.44140625" style="183" customWidth="1"/>
    <col min="8" max="8" width="2.33203125" style="183" customWidth="1"/>
    <col min="9" max="9" width="7.6640625" style="183" customWidth="1"/>
    <col min="10" max="10" width="7.5546875" style="183" customWidth="1"/>
    <col min="11" max="11" width="9.44140625" style="183" customWidth="1"/>
    <col min="12" max="16384" width="8" style="183"/>
  </cols>
  <sheetData>
    <row r="1" spans="1:11" s="116" customFormat="1" ht="50.1" customHeight="1" x14ac:dyDescent="0.15">
      <c r="A1" s="464" t="s">
        <v>152</v>
      </c>
      <c r="B1" s="464"/>
      <c r="C1" s="464"/>
      <c r="D1" s="464"/>
      <c r="E1" s="464"/>
      <c r="F1" s="464"/>
      <c r="G1" s="464"/>
      <c r="H1" s="464"/>
      <c r="I1" s="464"/>
      <c r="J1" s="464"/>
      <c r="K1" s="464"/>
    </row>
    <row r="2" spans="1:11" s="116" customFormat="1" ht="20.100000000000001" customHeight="1" thickBot="1" x14ac:dyDescent="0.2">
      <c r="A2" s="117"/>
      <c r="B2" s="117"/>
      <c r="C2" s="117"/>
      <c r="D2" s="118"/>
      <c r="E2" s="117"/>
      <c r="F2" s="119"/>
      <c r="G2" s="119"/>
      <c r="H2" s="119"/>
      <c r="I2" s="119"/>
      <c r="J2" s="120"/>
      <c r="K2" s="120"/>
    </row>
    <row r="3" spans="1:11" s="116" customFormat="1" ht="30" customHeight="1" x14ac:dyDescent="0.15">
      <c r="A3" s="121" t="s">
        <v>138</v>
      </c>
      <c r="B3" s="122" t="s">
        <v>166</v>
      </c>
      <c r="C3" s="122"/>
      <c r="D3" s="122"/>
      <c r="E3" s="122"/>
      <c r="F3" s="122"/>
      <c r="G3" s="122"/>
      <c r="H3" s="123" t="s">
        <v>139</v>
      </c>
      <c r="I3" s="124"/>
      <c r="J3" s="122" t="s">
        <v>153</v>
      </c>
      <c r="K3" s="125"/>
    </row>
    <row r="4" spans="1:11" s="116" customFormat="1" ht="30" customHeight="1" x14ac:dyDescent="0.15">
      <c r="A4" s="126" t="s">
        <v>140</v>
      </c>
      <c r="B4" s="127" t="s">
        <v>141</v>
      </c>
      <c r="C4" s="127" t="s">
        <v>154</v>
      </c>
      <c r="D4" s="127" t="s">
        <v>155</v>
      </c>
      <c r="E4" s="128" t="s">
        <v>156</v>
      </c>
      <c r="F4" s="129"/>
      <c r="G4" s="129"/>
      <c r="H4" s="129"/>
      <c r="I4" s="129"/>
      <c r="J4" s="130" t="s">
        <v>142</v>
      </c>
      <c r="K4" s="131"/>
    </row>
    <row r="5" spans="1:11" s="116" customFormat="1" ht="6.95" customHeight="1" x14ac:dyDescent="0.15">
      <c r="A5" s="132"/>
      <c r="B5" s="133"/>
      <c r="C5" s="133"/>
      <c r="D5" s="133"/>
      <c r="E5" s="134"/>
      <c r="F5" s="134"/>
      <c r="G5" s="134"/>
      <c r="H5" s="134"/>
      <c r="I5" s="134"/>
      <c r="J5" s="135"/>
      <c r="K5" s="136"/>
    </row>
    <row r="6" spans="1:11" s="116" customFormat="1" ht="24.95" customHeight="1" x14ac:dyDescent="0.15">
      <c r="A6" s="137"/>
      <c r="B6" s="138"/>
      <c r="C6" s="138"/>
      <c r="D6" s="138"/>
      <c r="E6" s="139"/>
      <c r="F6" s="139"/>
      <c r="G6" s="140" t="s">
        <v>143</v>
      </c>
      <c r="H6" s="139"/>
      <c r="I6" s="139"/>
      <c r="J6" s="141"/>
      <c r="K6" s="142"/>
    </row>
    <row r="7" spans="1:11" s="116" customFormat="1" ht="24.95" customHeight="1" x14ac:dyDescent="0.15">
      <c r="A7" s="137"/>
      <c r="B7" s="138"/>
      <c r="C7" s="143"/>
      <c r="D7" s="138"/>
      <c r="E7" s="139"/>
      <c r="F7" s="139"/>
      <c r="G7" s="144" t="s">
        <v>144</v>
      </c>
      <c r="H7" s="139"/>
      <c r="I7" s="139"/>
      <c r="J7" s="145"/>
      <c r="K7" s="146"/>
    </row>
    <row r="8" spans="1:11" s="116" customFormat="1" ht="15" customHeight="1" x14ac:dyDescent="0.15">
      <c r="A8" s="147">
        <v>0</v>
      </c>
      <c r="B8" s="148"/>
      <c r="C8" s="148" t="s">
        <v>0</v>
      </c>
      <c r="D8" s="149" t="s">
        <v>145</v>
      </c>
      <c r="E8" s="139"/>
      <c r="F8" s="150"/>
      <c r="G8" s="151"/>
      <c r="H8" s="150"/>
      <c r="I8" s="139" t="s">
        <v>0</v>
      </c>
      <c r="J8" s="152" t="s">
        <v>0</v>
      </c>
      <c r="K8" s="146" t="s">
        <v>0</v>
      </c>
    </row>
    <row r="9" spans="1:11" s="116" customFormat="1" ht="27.95" customHeight="1" x14ac:dyDescent="0.15">
      <c r="A9" s="147">
        <v>2</v>
      </c>
      <c r="B9" s="153">
        <v>2</v>
      </c>
      <c r="C9" s="154"/>
      <c r="D9" s="155" t="s">
        <v>157</v>
      </c>
      <c r="E9" s="156"/>
      <c r="F9" s="157"/>
      <c r="G9" s="139"/>
      <c r="H9" s="157"/>
      <c r="I9" s="156"/>
      <c r="J9" s="158" t="s">
        <v>158</v>
      </c>
      <c r="K9" s="142"/>
    </row>
    <row r="10" spans="1:11" s="116" customFormat="1" ht="24.95" customHeight="1" x14ac:dyDescent="0.15">
      <c r="A10" s="147"/>
      <c r="B10" s="159"/>
      <c r="C10" s="160"/>
      <c r="D10" s="161"/>
      <c r="E10" s="162"/>
      <c r="F10" s="157"/>
      <c r="G10" s="157"/>
      <c r="H10" s="157"/>
      <c r="I10" s="162"/>
      <c r="J10" s="163" t="s">
        <v>146</v>
      </c>
      <c r="K10" s="142" t="s">
        <v>159</v>
      </c>
    </row>
    <row r="11" spans="1:11" s="116" customFormat="1" ht="27.95" customHeight="1" x14ac:dyDescent="0.15">
      <c r="A11" s="147">
        <v>12</v>
      </c>
      <c r="B11" s="164">
        <v>10</v>
      </c>
      <c r="C11" s="165"/>
      <c r="D11" s="166" t="s">
        <v>147</v>
      </c>
      <c r="E11" s="148"/>
      <c r="F11" s="167"/>
      <c r="G11" s="157"/>
      <c r="H11" s="167"/>
      <c r="I11" s="148"/>
      <c r="J11" s="163"/>
      <c r="K11" s="142" t="s">
        <v>167</v>
      </c>
    </row>
    <row r="12" spans="1:11" s="116" customFormat="1" ht="243.75" customHeight="1" x14ac:dyDescent="0.15">
      <c r="A12" s="168">
        <f>A11+B12</f>
        <v>100</v>
      </c>
      <c r="B12" s="169">
        <v>88</v>
      </c>
      <c r="C12" s="170"/>
      <c r="D12" s="171" t="s">
        <v>148</v>
      </c>
      <c r="E12" s="150"/>
      <c r="F12" s="150"/>
      <c r="G12" s="139"/>
      <c r="H12" s="150"/>
      <c r="I12" s="172"/>
      <c r="J12" s="173" t="s">
        <v>0</v>
      </c>
      <c r="K12" s="142"/>
    </row>
    <row r="13" spans="1:11" s="116" customFormat="1" ht="153" customHeight="1" x14ac:dyDescent="0.15">
      <c r="A13" s="174">
        <f>A12+B13</f>
        <v>150</v>
      </c>
      <c r="B13" s="153">
        <v>50</v>
      </c>
      <c r="C13" s="175"/>
      <c r="D13" s="155" t="s">
        <v>149</v>
      </c>
      <c r="E13" s="176"/>
      <c r="F13" s="150"/>
      <c r="G13" s="150"/>
      <c r="H13" s="150"/>
      <c r="I13" s="177" t="s">
        <v>150</v>
      </c>
      <c r="J13" s="163" t="s">
        <v>151</v>
      </c>
      <c r="K13" s="142"/>
    </row>
    <row r="14" spans="1:11" s="116" customFormat="1" ht="20.100000000000001" customHeight="1" thickBot="1" x14ac:dyDescent="0.2">
      <c r="A14" s="178"/>
      <c r="B14" s="179"/>
      <c r="C14" s="179"/>
      <c r="D14" s="179"/>
      <c r="E14" s="179"/>
      <c r="F14" s="179"/>
      <c r="G14" s="180"/>
      <c r="H14" s="179"/>
      <c r="I14" s="179"/>
      <c r="J14" s="181"/>
      <c r="K14" s="182"/>
    </row>
  </sheetData>
  <mergeCells count="1">
    <mergeCell ref="A1:K1"/>
  </mergeCells>
  <phoneticPr fontId="17" type="noConversion"/>
  <printOptions gridLinesSet="0"/>
  <pageMargins left="0.41" right="0.35" top="1" bottom="0.57999999999999996" header="0.5" footer="0.5"/>
  <pageSetup paperSize="9" orientation="portrait" horizontalDpi="300" verticalDpi="300" r:id="rId1"/>
  <headerFooter alignWithMargins="0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100E3E1-2A49-4750-8C3C-F504DC2843C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12</vt:i4>
      </vt:variant>
    </vt:vector>
  </HeadingPairs>
  <TitlesOfParts>
    <vt:vector size="24" baseType="lpstr">
      <vt:lpstr>Sheet1</vt:lpstr>
      <vt:lpstr>입력표</vt:lpstr>
      <vt:lpstr>REF</vt:lpstr>
      <vt:lpstr>스킨팩터</vt:lpstr>
      <vt:lpstr>가채수량</vt:lpstr>
      <vt:lpstr>단계양수시험</vt:lpstr>
      <vt:lpstr>장기양수시험</vt:lpstr>
      <vt:lpstr>펌프마력</vt:lpstr>
      <vt:lpstr>Step.Select</vt:lpstr>
      <vt:lpstr>Janggi.Select</vt:lpstr>
      <vt:lpstr>Recover.Select</vt:lpstr>
      <vt:lpstr>시추주상</vt:lpstr>
      <vt:lpstr>gongbun</vt:lpstr>
      <vt:lpstr>gongbun2</vt:lpstr>
      <vt:lpstr>단계양수시험!Print_Area</vt:lpstr>
      <vt:lpstr>입력표!Print_Area</vt:lpstr>
      <vt:lpstr>장기양수시험!Print_Area</vt:lpstr>
      <vt:lpstr>단계양수시험!Print_Titles</vt:lpstr>
      <vt:lpstr>장기양수시험!Print_Titles</vt:lpstr>
      <vt:lpstr>pump_hp</vt:lpstr>
      <vt:lpstr>well_radius</vt:lpstr>
      <vt:lpstr>단계양수</vt:lpstr>
      <vt:lpstr>장기양수</vt:lpstr>
      <vt:lpstr>적정채수량산정</vt:lpstr>
    </vt:vector>
  </TitlesOfParts>
  <Company>농어촌진흥공사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오한윤</dc:creator>
  <cp:lastModifiedBy>minhwasoo</cp:lastModifiedBy>
  <cp:lastPrinted>2019-11-04T08:43:57Z</cp:lastPrinted>
  <dcterms:created xsi:type="dcterms:W3CDTF">1998-04-14T02:17:03Z</dcterms:created>
  <dcterms:modified xsi:type="dcterms:W3CDTF">2020-01-28T04:59:20Z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VID2F1E1603">
    <vt:lpwstr/>
  </property>
  <property fmtid="{D5CDD505-2E9C-101B-9397-08002B2CF9AE}" pid="3" name="IVIDC">
    <vt:lpwstr/>
  </property>
  <property fmtid="{D5CDD505-2E9C-101B-9397-08002B2CF9AE}" pid="4" name="IVID362F13E8">
    <vt:lpwstr/>
  </property>
  <property fmtid="{D5CDD505-2E9C-101B-9397-08002B2CF9AE}" pid="5" name="IVID3A3618F1">
    <vt:lpwstr/>
  </property>
  <property fmtid="{D5CDD505-2E9C-101B-9397-08002B2CF9AE}" pid="6" name="IVID15E41318">
    <vt:lpwstr/>
  </property>
  <property fmtid="{D5CDD505-2E9C-101B-9397-08002B2CF9AE}" pid="7" name="IVID181914D9">
    <vt:lpwstr/>
  </property>
  <property fmtid="{D5CDD505-2E9C-101B-9397-08002B2CF9AE}" pid="8" name="IVID155815FB">
    <vt:lpwstr/>
  </property>
  <property fmtid="{D5CDD505-2E9C-101B-9397-08002B2CF9AE}" pid="9" name="IVIDD091BF0">
    <vt:lpwstr/>
  </property>
  <property fmtid="{D5CDD505-2E9C-101B-9397-08002B2CF9AE}" pid="10" name="IVID344CCFFC">
    <vt:lpwstr/>
  </property>
  <property fmtid="{D5CDD505-2E9C-101B-9397-08002B2CF9AE}" pid="11" name="IVID1A7D12ED">
    <vt:lpwstr/>
  </property>
  <property fmtid="{D5CDD505-2E9C-101B-9397-08002B2CF9AE}" pid="12" name="IVID1B2115FE">
    <vt:lpwstr/>
  </property>
  <property fmtid="{D5CDD505-2E9C-101B-9397-08002B2CF9AE}" pid="13" name="IVID35431BD0">
    <vt:lpwstr/>
  </property>
  <property fmtid="{D5CDD505-2E9C-101B-9397-08002B2CF9AE}" pid="14" name="IVID4637A884">
    <vt:lpwstr/>
  </property>
  <property fmtid="{D5CDD505-2E9C-101B-9397-08002B2CF9AE}" pid="15" name="IVID127C14F5">
    <vt:lpwstr/>
  </property>
  <property fmtid="{D5CDD505-2E9C-101B-9397-08002B2CF9AE}" pid="16" name="IVID1834F0DD">
    <vt:lpwstr/>
  </property>
  <property fmtid="{D5CDD505-2E9C-101B-9397-08002B2CF9AE}" pid="17" name="IVID312119E0">
    <vt:lpwstr/>
  </property>
  <property fmtid="{D5CDD505-2E9C-101B-9397-08002B2CF9AE}" pid="18" name="IVID1C5812DA">
    <vt:lpwstr/>
  </property>
  <property fmtid="{D5CDD505-2E9C-101B-9397-08002B2CF9AE}" pid="19" name="IVID173907ED">
    <vt:lpwstr/>
  </property>
  <property fmtid="{D5CDD505-2E9C-101B-9397-08002B2CF9AE}" pid="20" name="IVID274B1CF5">
    <vt:lpwstr/>
  </property>
  <property fmtid="{D5CDD505-2E9C-101B-9397-08002B2CF9AE}" pid="21" name="IVID2B4E17FA">
    <vt:lpwstr/>
  </property>
  <property fmtid="{D5CDD505-2E9C-101B-9397-08002B2CF9AE}" pid="22" name="IVID253D11EF">
    <vt:lpwstr/>
  </property>
  <property fmtid="{D5CDD505-2E9C-101B-9397-08002B2CF9AE}" pid="23" name="IVID1A3517F4">
    <vt:lpwstr/>
  </property>
  <property fmtid="{D5CDD505-2E9C-101B-9397-08002B2CF9AE}" pid="24" name="IVID2B0E1302">
    <vt:lpwstr/>
  </property>
  <property fmtid="{D5CDD505-2E9C-101B-9397-08002B2CF9AE}" pid="25" name="IVID332E19D7">
    <vt:lpwstr/>
  </property>
  <property fmtid="{D5CDD505-2E9C-101B-9397-08002B2CF9AE}" pid="26" name="IVID22261800">
    <vt:lpwstr/>
  </property>
  <property fmtid="{D5CDD505-2E9C-101B-9397-08002B2CF9AE}" pid="27" name="IVID325116DE">
    <vt:lpwstr/>
  </property>
  <property fmtid="{D5CDD505-2E9C-101B-9397-08002B2CF9AE}" pid="28" name="IVID272C0FEF">
    <vt:lpwstr/>
  </property>
  <property fmtid="{D5CDD505-2E9C-101B-9397-08002B2CF9AE}" pid="29" name="IVID2E171ED1">
    <vt:lpwstr/>
  </property>
  <property fmtid="{D5CDD505-2E9C-101B-9397-08002B2CF9AE}" pid="30" name="IVID24580FE0">
    <vt:lpwstr/>
  </property>
  <property fmtid="{D5CDD505-2E9C-101B-9397-08002B2CF9AE}" pid="31" name="IVID203F19D0">
    <vt:lpwstr/>
  </property>
  <property fmtid="{D5CDD505-2E9C-101B-9397-08002B2CF9AE}" pid="32" name="IVID1E2416DF">
    <vt:lpwstr/>
  </property>
  <property fmtid="{D5CDD505-2E9C-101B-9397-08002B2CF9AE}" pid="33" name="IVID2A1E10F8">
    <vt:lpwstr/>
  </property>
  <property fmtid="{D5CDD505-2E9C-101B-9397-08002B2CF9AE}" pid="34" name="IVID2D4C14FB">
    <vt:lpwstr/>
  </property>
  <property fmtid="{D5CDD505-2E9C-101B-9397-08002B2CF9AE}" pid="35" name="IVID2C1E12D1">
    <vt:lpwstr/>
  </property>
  <property fmtid="{D5CDD505-2E9C-101B-9397-08002B2CF9AE}" pid="36" name="IVID127414F6">
    <vt:lpwstr/>
  </property>
  <property fmtid="{D5CDD505-2E9C-101B-9397-08002B2CF9AE}" pid="37" name="IVID1C6310DA">
    <vt:lpwstr/>
  </property>
  <property fmtid="{D5CDD505-2E9C-101B-9397-08002B2CF9AE}" pid="38" name="IVID262214D4">
    <vt:lpwstr/>
  </property>
  <property fmtid="{D5CDD505-2E9C-101B-9397-08002B2CF9AE}" pid="39" name="IVID144507DA">
    <vt:lpwstr/>
  </property>
  <property fmtid="{D5CDD505-2E9C-101B-9397-08002B2CF9AE}" pid="40" name="IVID3B5014F8">
    <vt:lpwstr/>
  </property>
  <property fmtid="{D5CDD505-2E9C-101B-9397-08002B2CF9AE}" pid="41" name="IVID3B3714D9">
    <vt:lpwstr/>
  </property>
  <property fmtid="{D5CDD505-2E9C-101B-9397-08002B2CF9AE}" pid="42" name="IVID377217F4">
    <vt:lpwstr/>
  </property>
  <property fmtid="{D5CDD505-2E9C-101B-9397-08002B2CF9AE}" pid="43" name="IVID2D691AE3">
    <vt:lpwstr/>
  </property>
  <property fmtid="{D5CDD505-2E9C-101B-9397-08002B2CF9AE}" pid="44" name="IVID10E07D9">
    <vt:lpwstr/>
  </property>
</Properties>
</file>