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5_ihanseol - 2020\00_data\a1_excel reference\"/>
    </mc:Choice>
  </mc:AlternateContent>
  <xr:revisionPtr revIDLastSave="0" documentId="13_ncr:1_{A9014989-82A3-47D4-B42E-56136C31C2AC}" xr6:coauthVersionLast="45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m4.오산리 142" sheetId="13" r:id="rId1"/>
    <sheet name="ss" sheetId="8" r:id="rId2"/>
    <sheet name="aa" sheetId="10" r:id="rId3"/>
    <sheet name="ii" sheetId="11" r:id="rId4"/>
  </sheets>
  <functionGroups builtInGroupCount="19"/>
  <definedNames>
    <definedName name="_xlnm._FilterDatabase" localSheetId="0" hidden="1">'m4.오산리 142'!$A$1:$O$1</definedName>
    <definedName name="AA_INSIDE_AREA">OFFSET(aa!$R$2,0,0,COUNTA(aa!$R:$R),1)</definedName>
    <definedName name="II_INSIDE_AREA">OFFSET(ii!$R$2,0,0,COUNTA(ii!$R:$R),1)</definedName>
    <definedName name="SS_INSIDE_AREA">OFFSET(ss!$R$2,0,0,COUNTA(ss!$R:$R),1)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11" l="1"/>
  <c r="L3" i="11"/>
  <c r="K37" i="8"/>
  <c r="K36" i="8"/>
  <c r="L42" i="10" l="1"/>
  <c r="L38" i="8" l="1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3" i="10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K7" i="10"/>
  <c r="K34" i="10"/>
  <c r="K20" i="10"/>
  <c r="K31" i="10"/>
  <c r="K17" i="10"/>
  <c r="K36" i="10"/>
  <c r="K13" i="10"/>
  <c r="K21" i="10"/>
  <c r="K15" i="10"/>
  <c r="K12" i="10"/>
  <c r="K35" i="10"/>
  <c r="K11" i="10"/>
  <c r="K3" i="10"/>
  <c r="K39" i="10"/>
  <c r="K32" i="10"/>
  <c r="K18" i="10"/>
  <c r="K27" i="10"/>
  <c r="K6" i="10"/>
  <c r="K30" i="10"/>
  <c r="K14" i="10"/>
  <c r="K2" i="10"/>
  <c r="K41" i="10"/>
  <c r="K5" i="10"/>
  <c r="K42" i="10"/>
  <c r="K43" i="10"/>
  <c r="K29" i="10"/>
  <c r="K40" i="10"/>
  <c r="K4" i="10"/>
  <c r="K24" i="10"/>
  <c r="K22" i="10"/>
  <c r="K16" i="10"/>
  <c r="K9" i="10"/>
  <c r="K10" i="10"/>
  <c r="K37" i="10"/>
  <c r="K19" i="10"/>
  <c r="K28" i="10"/>
  <c r="K33" i="10"/>
  <c r="K8" i="10"/>
  <c r="K38" i="10"/>
  <c r="K25" i="10"/>
  <c r="K26" i="10"/>
  <c r="K23" i="10"/>
  <c r="K13" i="8"/>
  <c r="K4" i="8"/>
  <c r="K19" i="8"/>
  <c r="K3" i="8"/>
  <c r="K32" i="8"/>
  <c r="K20" i="8"/>
  <c r="K9" i="8"/>
  <c r="K11" i="8"/>
  <c r="K15" i="8"/>
  <c r="K6" i="8"/>
  <c r="K29" i="8"/>
  <c r="K23" i="8"/>
  <c r="K12" i="8"/>
  <c r="K21" i="8"/>
  <c r="K31" i="8"/>
  <c r="K26" i="8"/>
  <c r="K24" i="8"/>
  <c r="K7" i="8"/>
  <c r="K33" i="8"/>
  <c r="K16" i="8"/>
  <c r="K34" i="8"/>
  <c r="K35" i="8"/>
  <c r="K28" i="8"/>
  <c r="K14" i="8"/>
  <c r="K38" i="8"/>
  <c r="K10" i="8"/>
  <c r="K30" i="8"/>
  <c r="K27" i="8"/>
  <c r="K17" i="8"/>
  <c r="K8" i="8"/>
  <c r="K5" i="8"/>
  <c r="K25" i="8"/>
  <c r="K18" i="8"/>
  <c r="K22" i="8"/>
  <c r="K2" i="8"/>
  <c r="L18" i="8" l="1"/>
  <c r="K5" i="11"/>
  <c r="H48" i="8" s="1"/>
  <c r="G48" i="8" s="1"/>
  <c r="L14" i="10"/>
  <c r="L22" i="10"/>
  <c r="L23" i="10"/>
  <c r="L24" i="10"/>
  <c r="C49" i="8" l="1"/>
  <c r="C48" i="8"/>
  <c r="C43" i="8"/>
  <c r="C44" i="8"/>
  <c r="C47" i="10"/>
  <c r="C46" i="10"/>
  <c r="D46" i="10" l="1"/>
  <c r="C53" i="8"/>
  <c r="C54" i="8"/>
  <c r="D43" i="8"/>
  <c r="D44" i="8"/>
  <c r="D45" i="8" l="1"/>
  <c r="D47" i="10"/>
  <c r="D49" i="8" s="1"/>
  <c r="D54" i="8" s="1"/>
  <c r="D48" i="8"/>
  <c r="D53" i="8" s="1"/>
  <c r="K40" i="8"/>
  <c r="L16" i="8"/>
  <c r="L11" i="8"/>
  <c r="L12" i="8"/>
  <c r="L13" i="8"/>
  <c r="L14" i="8"/>
  <c r="L15" i="8"/>
  <c r="L17" i="8"/>
  <c r="D48" i="10" l="1"/>
  <c r="D50" i="8"/>
  <c r="L21" i="10"/>
  <c r="L19" i="10"/>
  <c r="L20" i="10"/>
  <c r="L18" i="10"/>
  <c r="L17" i="10"/>
  <c r="L16" i="10"/>
  <c r="L15" i="10"/>
  <c r="L13" i="10"/>
  <c r="L12" i="10"/>
  <c r="L11" i="10"/>
  <c r="L10" i="10"/>
  <c r="L9" i="10"/>
  <c r="L8" i="10"/>
  <c r="L7" i="10"/>
  <c r="L6" i="8" l="1"/>
  <c r="L7" i="8"/>
  <c r="L8" i="8"/>
  <c r="L9" i="8"/>
  <c r="L10" i="8"/>
  <c r="L4" i="8" l="1"/>
  <c r="L5" i="8"/>
  <c r="L5" i="10" l="1"/>
  <c r="L6" i="10"/>
  <c r="K45" i="10" l="1"/>
  <c r="K42" i="8" s="1"/>
  <c r="L4" i="10" l="1"/>
  <c r="L3" i="10"/>
  <c r="L2" i="10"/>
  <c r="L2" i="8" l="1"/>
  <c r="L3" i="8"/>
</calcChain>
</file>

<file path=xl/sharedStrings.xml><?xml version="1.0" encoding="utf-8"?>
<sst xmlns="http://schemas.openxmlformats.org/spreadsheetml/2006/main" count="1412" uniqueCount="327">
  <si>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</si>
  <si>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</si>
  <si>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</si>
  <si>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</si>
  <si>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</si>
  <si>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</si>
  <si>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</si>
  <si>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</si>
  <si>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</si>
  <si>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</si>
  <si>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a2</t>
  </si>
  <si>
    <t>a3</t>
  </si>
  <si>
    <t>물량</t>
    <phoneticPr fontId="19" type="noConversion"/>
  </si>
  <si>
    <t>s1</t>
    <phoneticPr fontId="19" type="noConversion"/>
  </si>
  <si>
    <t>주소</t>
    <phoneticPr fontId="19" type="noConversion"/>
  </si>
  <si>
    <t>주소</t>
    <phoneticPr fontId="19" type="noConversion"/>
  </si>
  <si>
    <t>s5</t>
  </si>
  <si>
    <t>s6</t>
  </si>
  <si>
    <t>s7</t>
  </si>
  <si>
    <t>s8</t>
  </si>
  <si>
    <t>s9</t>
  </si>
  <si>
    <t>양수능력</t>
    <phoneticPr fontId="19" type="noConversion"/>
  </si>
  <si>
    <t>a4</t>
  </si>
  <si>
    <t>a5</t>
  </si>
  <si>
    <t>i1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</si>
  <si>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</si>
  <si>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</si>
  <si>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</si>
  <si>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</si>
  <si>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</si>
  <si>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</si>
  <si>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</si>
  <si>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</si>
  <si>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</si>
  <si>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</si>
  <si>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</si>
  <si>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</si>
  <si>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</si>
  <si>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</si>
  <si>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</si>
  <si>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s10</t>
  </si>
  <si>
    <t>s11</t>
  </si>
  <si>
    <t>s12</t>
  </si>
  <si>
    <t>s13</t>
  </si>
  <si>
    <t>s14</t>
  </si>
  <si>
    <t>s15</t>
  </si>
  <si>
    <t>s16</t>
  </si>
  <si>
    <t>s17</t>
  </si>
  <si>
    <t>허가공</t>
    <phoneticPr fontId="19" type="noConversion"/>
  </si>
  <si>
    <t>유역내외</t>
    <phoneticPr fontId="19" type="noConversion"/>
  </si>
  <si>
    <t>-</t>
  </si>
  <si>
    <t>답작용</t>
  </si>
  <si>
    <t>O</t>
    <phoneticPr fontId="19" type="noConversion"/>
  </si>
  <si>
    <t>전작용</t>
  </si>
  <si>
    <t>원예용</t>
  </si>
  <si>
    <t>가정용</t>
  </si>
  <si>
    <t>일반용</t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</si>
  <si>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</si>
  <si>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</si>
  <si>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</si>
  <si>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</si>
  <si>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</si>
  <si>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</si>
  <si>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</si>
  <si>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</si>
  <si>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</si>
  <si>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</si>
  <si>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</si>
  <si>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</si>
  <si>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자유입지업체</t>
  </si>
  <si>
    <t>공업용</t>
    <phoneticPr fontId="19" type="noConversion"/>
  </si>
  <si>
    <t>읍면동</t>
  </si>
  <si>
    <t>리</t>
  </si>
  <si>
    <t>산</t>
  </si>
  <si>
    <t>번지</t>
  </si>
  <si>
    <t>호</t>
  </si>
  <si>
    <t>JIBUN</t>
    <phoneticPr fontId="19" type="noConversion"/>
  </si>
  <si>
    <t>용도</t>
  </si>
  <si>
    <t>세부용도</t>
  </si>
  <si>
    <t>굴착깊이</t>
  </si>
  <si>
    <t>굴착지름</t>
  </si>
  <si>
    <t>동력장치마력</t>
  </si>
  <si>
    <t>양수능력</t>
  </si>
  <si>
    <t>a01</t>
    <phoneticPr fontId="19" type="noConversion"/>
  </si>
  <si>
    <t>연무읍</t>
  </si>
  <si>
    <t>안심리</t>
  </si>
  <si>
    <t>농·어업용</t>
  </si>
  <si>
    <t>a02</t>
    <phoneticPr fontId="19" type="noConversion"/>
  </si>
  <si>
    <t>생활용</t>
  </si>
  <si>
    <t>a04</t>
    <phoneticPr fontId="19" type="noConversion"/>
  </si>
  <si>
    <t>a05</t>
    <phoneticPr fontId="19" type="noConversion"/>
  </si>
  <si>
    <t>a06</t>
    <phoneticPr fontId="19" type="noConversion"/>
  </si>
  <si>
    <t>a07</t>
    <phoneticPr fontId="19" type="noConversion"/>
  </si>
  <si>
    <t>a08</t>
    <phoneticPr fontId="19" type="noConversion"/>
  </si>
  <si>
    <t>'136</t>
  </si>
  <si>
    <t>a09</t>
    <phoneticPr fontId="19" type="noConversion"/>
  </si>
  <si>
    <t>'155</t>
  </si>
  <si>
    <t>a10</t>
    <phoneticPr fontId="19" type="noConversion"/>
  </si>
  <si>
    <t>a11</t>
    <phoneticPr fontId="19" type="noConversion"/>
  </si>
  <si>
    <t>a12</t>
    <phoneticPr fontId="19" type="noConversion"/>
  </si>
  <si>
    <t>'111</t>
  </si>
  <si>
    <t>a13</t>
    <phoneticPr fontId="19" type="noConversion"/>
  </si>
  <si>
    <t>a14</t>
    <phoneticPr fontId="19" type="noConversion"/>
  </si>
  <si>
    <t>a15</t>
    <phoneticPr fontId="19" type="noConversion"/>
  </si>
  <si>
    <t>a16</t>
    <phoneticPr fontId="19" type="noConversion"/>
  </si>
  <si>
    <t>a17</t>
    <phoneticPr fontId="19" type="noConversion"/>
  </si>
  <si>
    <t>a18</t>
    <phoneticPr fontId="19" type="noConversion"/>
  </si>
  <si>
    <t>a19</t>
    <phoneticPr fontId="19" type="noConversion"/>
  </si>
  <si>
    <t>'415</t>
  </si>
  <si>
    <t>a20</t>
    <phoneticPr fontId="19" type="noConversion"/>
  </si>
  <si>
    <t>a21</t>
    <phoneticPr fontId="19" type="noConversion"/>
  </si>
  <si>
    <t>a22</t>
    <phoneticPr fontId="19" type="noConversion"/>
  </si>
  <si>
    <t>a23</t>
    <phoneticPr fontId="19" type="noConversion"/>
  </si>
  <si>
    <t>'533-10</t>
  </si>
  <si>
    <t>'540-6</t>
  </si>
  <si>
    <t>기타</t>
  </si>
  <si>
    <t>s01</t>
    <phoneticPr fontId="19" type="noConversion"/>
  </si>
  <si>
    <t>s02</t>
    <phoneticPr fontId="19" type="noConversion"/>
  </si>
  <si>
    <t>s03</t>
    <phoneticPr fontId="19" type="noConversion"/>
  </si>
  <si>
    <t>s04</t>
    <phoneticPr fontId="19" type="noConversion"/>
  </si>
  <si>
    <t>s05</t>
    <phoneticPr fontId="19" type="noConversion"/>
  </si>
  <si>
    <t>s06</t>
    <phoneticPr fontId="19" type="noConversion"/>
  </si>
  <si>
    <t>s07</t>
    <phoneticPr fontId="19" type="noConversion"/>
  </si>
  <si>
    <t>s08</t>
    <phoneticPr fontId="19" type="noConversion"/>
  </si>
  <si>
    <t>s09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</si>
  <si>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</si>
  <si>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</si>
  <si>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</si>
  <si>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</si>
  <si>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</si>
  <si>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간이상수도</t>
  </si>
  <si>
    <t>s15</t>
    <phoneticPr fontId="19" type="noConversion"/>
  </si>
  <si>
    <t>s16</t>
    <phoneticPr fontId="19" type="noConversion"/>
  </si>
  <si>
    <t>'111-1</t>
  </si>
  <si>
    <t>a21</t>
  </si>
  <si>
    <t>a22</t>
  </si>
  <si>
    <t>a23</t>
  </si>
  <si>
    <t>i2</t>
  </si>
  <si>
    <t>II</t>
    <phoneticPr fontId="19" type="noConversion"/>
  </si>
  <si>
    <t>s17</t>
    <phoneticPr fontId="19" type="noConversion"/>
  </si>
  <si>
    <t>a03</t>
    <phoneticPr fontId="19" type="noConversion"/>
  </si>
  <si>
    <t>양촌면</t>
  </si>
  <si>
    <t>오산리</t>
  </si>
  <si>
    <t>'523</t>
  </si>
  <si>
    <t>X</t>
    <phoneticPr fontId="19" type="noConversion"/>
  </si>
  <si>
    <t>'450</t>
  </si>
  <si>
    <t>'450-6</t>
  </si>
  <si>
    <t>'133</t>
  </si>
  <si>
    <t>'133-20</t>
  </si>
  <si>
    <t>'129</t>
  </si>
  <si>
    <t>'129-4</t>
  </si>
  <si>
    <t>'417</t>
  </si>
  <si>
    <t>'424</t>
  </si>
  <si>
    <t>'424-4</t>
  </si>
  <si>
    <t>'424-3</t>
  </si>
  <si>
    <t>'424-1</t>
  </si>
  <si>
    <t>'449</t>
  </si>
  <si>
    <t>'448</t>
  </si>
  <si>
    <t>'448-4</t>
  </si>
  <si>
    <t>'441</t>
  </si>
  <si>
    <t>'441-4</t>
  </si>
  <si>
    <t>'441-3</t>
  </si>
  <si>
    <t>'441-1</t>
  </si>
  <si>
    <t>'443</t>
  </si>
  <si>
    <t>'443-1</t>
  </si>
  <si>
    <t>'132</t>
  </si>
  <si>
    <t>'132-1</t>
  </si>
  <si>
    <t>'133-12</t>
  </si>
  <si>
    <t>'133-1</t>
  </si>
  <si>
    <t>'426</t>
  </si>
  <si>
    <t>'314</t>
  </si>
  <si>
    <t>'314-3</t>
  </si>
  <si>
    <t>'314-4</t>
  </si>
  <si>
    <t>'344</t>
  </si>
  <si>
    <t>'311</t>
  </si>
  <si>
    <t>a24</t>
    <phoneticPr fontId="19" type="noConversion"/>
  </si>
  <si>
    <t>'137</t>
  </si>
  <si>
    <t>'137-1</t>
  </si>
  <si>
    <t>a25</t>
    <phoneticPr fontId="19" type="noConversion"/>
  </si>
  <si>
    <t>'138</t>
  </si>
  <si>
    <t>a26</t>
    <phoneticPr fontId="19" type="noConversion"/>
  </si>
  <si>
    <t>'522</t>
  </si>
  <si>
    <t>a27</t>
    <phoneticPr fontId="19" type="noConversion"/>
  </si>
  <si>
    <t>a28</t>
    <phoneticPr fontId="19" type="noConversion"/>
  </si>
  <si>
    <t>'141</t>
  </si>
  <si>
    <t>a29</t>
    <phoneticPr fontId="19" type="noConversion"/>
  </si>
  <si>
    <t>'146</t>
  </si>
  <si>
    <t>a30</t>
    <phoneticPr fontId="19" type="noConversion"/>
  </si>
  <si>
    <t>'162</t>
  </si>
  <si>
    <t>'162-1</t>
  </si>
  <si>
    <t>a31</t>
    <phoneticPr fontId="19" type="noConversion"/>
  </si>
  <si>
    <t>'163</t>
  </si>
  <si>
    <t>a32</t>
    <phoneticPr fontId="19" type="noConversion"/>
  </si>
  <si>
    <t>'155-3</t>
  </si>
  <si>
    <t>a33</t>
    <phoneticPr fontId="19" type="noConversion"/>
  </si>
  <si>
    <t>'197</t>
  </si>
  <si>
    <t>'197-1</t>
  </si>
  <si>
    <t>a34</t>
    <phoneticPr fontId="19" type="noConversion"/>
  </si>
  <si>
    <t>'179</t>
  </si>
  <si>
    <t>a35</t>
    <phoneticPr fontId="19" type="noConversion"/>
  </si>
  <si>
    <t>'177</t>
  </si>
  <si>
    <t>'177-2</t>
  </si>
  <si>
    <t>a36</t>
    <phoneticPr fontId="19" type="noConversion"/>
  </si>
  <si>
    <t>'219</t>
  </si>
  <si>
    <t>'219-1</t>
  </si>
  <si>
    <t>a37</t>
    <phoneticPr fontId="19" type="noConversion"/>
  </si>
  <si>
    <t>'189</t>
  </si>
  <si>
    <t>'189-8</t>
  </si>
  <si>
    <t>a38</t>
    <phoneticPr fontId="19" type="noConversion"/>
  </si>
  <si>
    <t>'34</t>
  </si>
  <si>
    <t>'34-3</t>
  </si>
  <si>
    <t>a39</t>
    <phoneticPr fontId="19" type="noConversion"/>
  </si>
  <si>
    <t>'55</t>
  </si>
  <si>
    <t>'55-1</t>
  </si>
  <si>
    <t>a40</t>
    <phoneticPr fontId="19" type="noConversion"/>
  </si>
  <si>
    <t>'55-10</t>
  </si>
  <si>
    <t>a41</t>
    <phoneticPr fontId="19" type="noConversion"/>
  </si>
  <si>
    <t>'62</t>
  </si>
  <si>
    <t>'62-1</t>
  </si>
  <si>
    <t>a42</t>
    <phoneticPr fontId="19" type="noConversion"/>
  </si>
  <si>
    <t>'67</t>
  </si>
  <si>
    <t>'452</t>
  </si>
  <si>
    <t>'451</t>
  </si>
  <si>
    <t>'133-2</t>
  </si>
  <si>
    <t>'439</t>
  </si>
  <si>
    <t>'430</t>
  </si>
  <si>
    <t>'427</t>
  </si>
  <si>
    <t>'416</t>
  </si>
  <si>
    <t>'409</t>
  </si>
  <si>
    <t>'396</t>
  </si>
  <si>
    <t>'407</t>
  </si>
  <si>
    <t>'315</t>
  </si>
  <si>
    <t>'312</t>
  </si>
  <si>
    <t>'312-3</t>
  </si>
  <si>
    <t>'343</t>
  </si>
  <si>
    <t>'300</t>
  </si>
  <si>
    <t>'283</t>
  </si>
  <si>
    <t>'283-1</t>
  </si>
  <si>
    <t>'297</t>
  </si>
  <si>
    <t>'297-5</t>
  </si>
  <si>
    <t>s18</t>
    <phoneticPr fontId="19" type="noConversion"/>
  </si>
  <si>
    <t>'224</t>
  </si>
  <si>
    <t>s19</t>
    <phoneticPr fontId="19" type="noConversion"/>
  </si>
  <si>
    <t>'162-2</t>
  </si>
  <si>
    <t>s20</t>
    <phoneticPr fontId="19" type="noConversion"/>
  </si>
  <si>
    <t>'150</t>
  </si>
  <si>
    <t>s21</t>
    <phoneticPr fontId="19" type="noConversion"/>
  </si>
  <si>
    <t>'151</t>
  </si>
  <si>
    <t>'151-2</t>
  </si>
  <si>
    <t>s22</t>
    <phoneticPr fontId="19" type="noConversion"/>
  </si>
  <si>
    <t>'151-1</t>
  </si>
  <si>
    <t>s23</t>
    <phoneticPr fontId="19" type="noConversion"/>
  </si>
  <si>
    <t>'176</t>
  </si>
  <si>
    <t>'176-1</t>
  </si>
  <si>
    <t>s24</t>
    <phoneticPr fontId="19" type="noConversion"/>
  </si>
  <si>
    <t>'173</t>
  </si>
  <si>
    <t>'173-3</t>
  </si>
  <si>
    <t>s25</t>
    <phoneticPr fontId="19" type="noConversion"/>
  </si>
  <si>
    <t>'174</t>
  </si>
  <si>
    <t>s26</t>
    <phoneticPr fontId="19" type="noConversion"/>
  </si>
  <si>
    <t>'184</t>
  </si>
  <si>
    <t>s27</t>
    <phoneticPr fontId="19" type="noConversion"/>
  </si>
  <si>
    <t>'188</t>
  </si>
  <si>
    <t>s28</t>
    <phoneticPr fontId="19" type="noConversion"/>
  </si>
  <si>
    <t>'212</t>
  </si>
  <si>
    <t>'212-1</t>
  </si>
  <si>
    <t>s29</t>
    <phoneticPr fontId="19" type="noConversion"/>
  </si>
  <si>
    <t>'210</t>
  </si>
  <si>
    <t>s30</t>
    <phoneticPr fontId="19" type="noConversion"/>
  </si>
  <si>
    <t>'213</t>
  </si>
  <si>
    <t>s31</t>
    <phoneticPr fontId="19" type="noConversion"/>
  </si>
  <si>
    <t>'44</t>
  </si>
  <si>
    <t>'44-1</t>
  </si>
  <si>
    <t>s32</t>
    <phoneticPr fontId="19" type="noConversion"/>
  </si>
  <si>
    <t>'55-3</t>
  </si>
  <si>
    <t>청소용</t>
  </si>
  <si>
    <t>s33</t>
    <phoneticPr fontId="19" type="noConversion"/>
  </si>
  <si>
    <t>'123</t>
  </si>
  <si>
    <t>'123-2</t>
  </si>
  <si>
    <t>s34</t>
    <phoneticPr fontId="19" type="noConversion"/>
  </si>
  <si>
    <t>'123-3</t>
  </si>
  <si>
    <t>s35</t>
    <phoneticPr fontId="19" type="noConversion"/>
  </si>
  <si>
    <t>'70</t>
  </si>
  <si>
    <t>s36</t>
    <phoneticPr fontId="19" type="noConversion"/>
  </si>
  <si>
    <t xml:space="preserve">산 </t>
  </si>
  <si>
    <t>'51</t>
  </si>
  <si>
    <t>'123-1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</si>
  <si>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</si>
  <si>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</si>
  <si>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</si>
  <si>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</si>
  <si>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</si>
  <si>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</si>
  <si>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</si>
  <si>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</si>
  <si>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</si>
  <si>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</si>
  <si>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</si>
  <si>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</si>
  <si>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</si>
  <si>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</si>
  <si>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</si>
  <si>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</si>
  <si>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</si>
  <si>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</si>
  <si>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</si>
  <si>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</si>
  <si>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</si>
  <si>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</si>
  <si>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</si>
  <si>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</si>
  <si>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</si>
  <si>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</si>
  <si>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</si>
  <si>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</si>
  <si>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</si>
  <si>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</si>
  <si>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</si>
  <si>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</si>
  <si>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</si>
  <si>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</si>
  <si>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</si>
  <si>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</si>
  <si>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</si>
  <si>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</si>
  <si>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</si>
  <si>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s37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</si>
</sst>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i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  <xf numFmtId="0" fontId="25" fillId="0" borderId="14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</xdr:colOff>
      <xdr:row>45</xdr:row>
      <xdr:rowOff>171450</xdr:rowOff>
    </xdr:from>
    <xdr:to>
      <xdr:col>17</xdr:col>
      <xdr:colOff>313406</xdr:colOff>
      <xdr:row>64</xdr:row>
      <xdr:rowOff>218413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9BD1F9-A3DE-47EE-B6B0-A6F54BE2C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1725" y="12925425"/>
          <a:ext cx="7352381" cy="52952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F2F4-90EC-41B6-ABF7-F0AAED6161C1}">
  <sheetPr codeName="Sheet6">
    <tabColor rgb="FF00B0F0"/>
  </sheetPr>
  <dimension ref="A1:O81"/>
  <sheetViews>
    <sheetView topLeftCell="A22" zoomScale="90" zoomScaleNormal="90" workbookViewId="0">
      <selection activeCell="N2" sqref="N2:N43"/>
    </sheetView>
  </sheetViews>
  <sheetFormatPr defaultRowHeight="21.95" customHeight="1" x14ac:dyDescent="0.3"/>
  <cols>
    <col min="1" max="3" width="9" style="2"/>
    <col min="4" max="4" width="4.125" style="2" customWidth="1"/>
    <col min="5" max="5" width="6.375" style="2" hidden="1" customWidth="1"/>
    <col min="6" max="6" width="4.125" style="2" hidden="1" customWidth="1"/>
    <col min="7" max="7" width="11.875" style="2" customWidth="1"/>
    <col min="8" max="16384" width="9" style="2"/>
  </cols>
  <sheetData>
    <row r="1" spans="1:15" s="23" customFormat="1" ht="21.95" customHeight="1" x14ac:dyDescent="0.3">
      <c r="A1" s="23" t="s">
        <v>5</v>
      </c>
      <c r="B1" s="23" t="s">
        <v>71</v>
      </c>
      <c r="C1" s="23" t="s">
        <v>72</v>
      </c>
      <c r="D1" s="23" t="s">
        <v>73</v>
      </c>
      <c r="E1" s="23" t="s">
        <v>74</v>
      </c>
      <c r="F1" s="23" t="s">
        <v>75</v>
      </c>
      <c r="G1" s="23" t="s">
        <v>76</v>
      </c>
      <c r="H1" s="23" t="s">
        <v>77</v>
      </c>
      <c r="I1" s="23" t="s">
        <v>78</v>
      </c>
      <c r="J1" s="23" t="s">
        <v>79</v>
      </c>
      <c r="K1" s="23" t="s">
        <v>80</v>
      </c>
      <c r="L1" s="23" t="s">
        <v>81</v>
      </c>
      <c r="M1" s="23" t="s">
        <v>82</v>
      </c>
      <c r="N1" s="23" t="s">
        <v>49</v>
      </c>
      <c r="O1" s="23" t="s">
        <v>48</v>
      </c>
    </row>
    <row r="2" spans="1:15" ht="21.95" customHeight="1" x14ac:dyDescent="0.3">
      <c r="A2" s="2" t="s">
        <v>83</v>
      </c>
      <c r="B2" s="2" t="s">
        <v>141</v>
      </c>
      <c r="C2" s="2" t="s">
        <v>142</v>
      </c>
      <c r="D2" s="2" t="s">
        <v>50</v>
      </c>
      <c r="E2" s="2" t="s">
        <v>143</v>
      </c>
      <c r="F2" s="2" t="s">
        <v>50</v>
      </c>
      <c r="G2" s="2" t="s">
        <v>143</v>
      </c>
      <c r="H2" s="2" t="s">
        <v>86</v>
      </c>
      <c r="I2" s="2" t="s">
        <v>53</v>
      </c>
      <c r="J2" s="2">
        <v>115</v>
      </c>
      <c r="K2" s="2">
        <v>250</v>
      </c>
      <c r="L2" s="2">
        <v>5</v>
      </c>
      <c r="M2" s="2">
        <v>280</v>
      </c>
      <c r="N2" s="2" t="s">
        <v>144</v>
      </c>
      <c r="O2" s="2" t="s">
        <v>52</v>
      </c>
    </row>
    <row r="3" spans="1:15" ht="21.95" customHeight="1" x14ac:dyDescent="0.3">
      <c r="A3" s="2" t="s">
        <v>87</v>
      </c>
      <c r="B3" s="2" t="s">
        <v>141</v>
      </c>
      <c r="C3" s="2" t="s">
        <v>142</v>
      </c>
      <c r="D3" s="2" t="s">
        <v>50</v>
      </c>
      <c r="E3" s="2" t="s">
        <v>145</v>
      </c>
      <c r="F3" s="2">
        <v>6</v>
      </c>
      <c r="G3" s="2" t="s">
        <v>146</v>
      </c>
      <c r="H3" s="2" t="s">
        <v>86</v>
      </c>
      <c r="I3" s="2" t="s">
        <v>53</v>
      </c>
      <c r="J3" s="2">
        <v>100</v>
      </c>
      <c r="K3" s="2">
        <v>250</v>
      </c>
      <c r="L3" s="2">
        <v>7.5</v>
      </c>
      <c r="M3" s="2">
        <v>380</v>
      </c>
      <c r="N3" s="2" t="s">
        <v>144</v>
      </c>
      <c r="O3" s="2" t="s">
        <v>52</v>
      </c>
    </row>
    <row r="4" spans="1:15" ht="21.95" customHeight="1" x14ac:dyDescent="0.3">
      <c r="A4" s="2" t="s">
        <v>140</v>
      </c>
      <c r="B4" s="2" t="s">
        <v>141</v>
      </c>
      <c r="C4" s="2" t="s">
        <v>142</v>
      </c>
      <c r="D4" s="2" t="s">
        <v>50</v>
      </c>
      <c r="E4" s="2" t="s">
        <v>100</v>
      </c>
      <c r="F4" s="2">
        <v>1</v>
      </c>
      <c r="G4" s="2" t="s">
        <v>133</v>
      </c>
      <c r="H4" s="2" t="s">
        <v>86</v>
      </c>
      <c r="I4" s="2" t="s">
        <v>51</v>
      </c>
      <c r="J4" s="2">
        <v>126</v>
      </c>
      <c r="K4" s="2">
        <v>250</v>
      </c>
      <c r="L4" s="2">
        <v>5</v>
      </c>
      <c r="M4" s="2">
        <v>200</v>
      </c>
      <c r="N4" s="2" t="s">
        <v>144</v>
      </c>
      <c r="O4" s="2" t="s">
        <v>52</v>
      </c>
    </row>
    <row r="5" spans="1:15" ht="21.95" customHeight="1" x14ac:dyDescent="0.3">
      <c r="A5" s="2" t="s">
        <v>89</v>
      </c>
      <c r="B5" s="2" t="s">
        <v>141</v>
      </c>
      <c r="C5" s="2" t="s">
        <v>142</v>
      </c>
      <c r="D5" s="2" t="s">
        <v>50</v>
      </c>
      <c r="E5" s="2" t="s">
        <v>147</v>
      </c>
      <c r="F5" s="2">
        <v>20</v>
      </c>
      <c r="G5" s="2" t="s">
        <v>148</v>
      </c>
      <c r="H5" s="2" t="s">
        <v>86</v>
      </c>
      <c r="I5" s="2" t="s">
        <v>51</v>
      </c>
      <c r="J5" s="2">
        <v>152</v>
      </c>
      <c r="K5" s="2">
        <v>250</v>
      </c>
      <c r="L5" s="2">
        <v>5</v>
      </c>
      <c r="M5" s="2">
        <v>200</v>
      </c>
      <c r="N5" s="2" t="s">
        <v>144</v>
      </c>
      <c r="O5" s="2" t="s">
        <v>52</v>
      </c>
    </row>
    <row r="6" spans="1:15" ht="21.95" customHeight="1" x14ac:dyDescent="0.3">
      <c r="A6" s="2" t="s">
        <v>90</v>
      </c>
      <c r="B6" s="2" t="s">
        <v>141</v>
      </c>
      <c r="C6" s="2" t="s">
        <v>142</v>
      </c>
      <c r="D6" s="2" t="s">
        <v>50</v>
      </c>
      <c r="E6" s="2" t="s">
        <v>149</v>
      </c>
      <c r="F6" s="2">
        <v>4</v>
      </c>
      <c r="G6" s="2" t="s">
        <v>150</v>
      </c>
      <c r="H6" s="2" t="s">
        <v>86</v>
      </c>
      <c r="I6" s="2" t="s">
        <v>53</v>
      </c>
      <c r="J6" s="2">
        <v>134</v>
      </c>
      <c r="K6" s="2">
        <v>250</v>
      </c>
      <c r="L6" s="2">
        <v>5</v>
      </c>
      <c r="M6" s="2">
        <v>253</v>
      </c>
      <c r="N6" s="2" t="s">
        <v>52</v>
      </c>
      <c r="O6" s="2" t="s">
        <v>52</v>
      </c>
    </row>
    <row r="7" spans="1:15" ht="21.95" customHeight="1" x14ac:dyDescent="0.3">
      <c r="A7" s="2" t="s">
        <v>91</v>
      </c>
      <c r="B7" s="2" t="s">
        <v>141</v>
      </c>
      <c r="C7" s="2" t="s">
        <v>142</v>
      </c>
      <c r="D7" s="2" t="s">
        <v>50</v>
      </c>
      <c r="E7" s="2" t="s">
        <v>151</v>
      </c>
      <c r="F7" s="2" t="s">
        <v>50</v>
      </c>
      <c r="G7" s="2" t="s">
        <v>151</v>
      </c>
      <c r="H7" s="2" t="s">
        <v>86</v>
      </c>
      <c r="I7" s="2" t="s">
        <v>53</v>
      </c>
      <c r="J7" s="2">
        <v>18</v>
      </c>
      <c r="K7" s="2">
        <v>50</v>
      </c>
      <c r="L7" s="2">
        <v>0.3</v>
      </c>
      <c r="M7" s="2">
        <v>20</v>
      </c>
      <c r="N7" s="2" t="s">
        <v>144</v>
      </c>
    </row>
    <row r="8" spans="1:15" ht="21.95" customHeight="1" x14ac:dyDescent="0.3">
      <c r="A8" s="2" t="s">
        <v>92</v>
      </c>
      <c r="B8" s="2" t="s">
        <v>141</v>
      </c>
      <c r="C8" s="2" t="s">
        <v>142</v>
      </c>
      <c r="D8" s="2" t="s">
        <v>50</v>
      </c>
      <c r="E8" s="2" t="s">
        <v>152</v>
      </c>
      <c r="F8" s="2">
        <v>4</v>
      </c>
      <c r="G8" s="2" t="s">
        <v>153</v>
      </c>
      <c r="H8" s="2" t="s">
        <v>86</v>
      </c>
      <c r="I8" s="2" t="s">
        <v>51</v>
      </c>
      <c r="J8" s="2">
        <v>30</v>
      </c>
      <c r="K8" s="2">
        <v>40</v>
      </c>
      <c r="L8" s="2">
        <v>0.5</v>
      </c>
      <c r="M8" s="2">
        <v>25</v>
      </c>
      <c r="N8" s="2" t="s">
        <v>144</v>
      </c>
    </row>
    <row r="9" spans="1:15" ht="21.95" customHeight="1" x14ac:dyDescent="0.3">
      <c r="A9" s="2" t="s">
        <v>93</v>
      </c>
      <c r="B9" s="2" t="s">
        <v>141</v>
      </c>
      <c r="C9" s="2" t="s">
        <v>142</v>
      </c>
      <c r="D9" s="2" t="s">
        <v>50</v>
      </c>
      <c r="E9" s="2" t="s">
        <v>152</v>
      </c>
      <c r="F9" s="2">
        <v>3</v>
      </c>
      <c r="G9" s="2" t="s">
        <v>154</v>
      </c>
      <c r="H9" s="2" t="s">
        <v>86</v>
      </c>
      <c r="I9" s="2" t="s">
        <v>51</v>
      </c>
      <c r="J9" s="2">
        <v>25</v>
      </c>
      <c r="K9" s="2">
        <v>50</v>
      </c>
      <c r="L9" s="2">
        <v>1</v>
      </c>
      <c r="M9" s="2">
        <v>25</v>
      </c>
      <c r="N9" s="2" t="s">
        <v>144</v>
      </c>
    </row>
    <row r="10" spans="1:15" ht="21.95" customHeight="1" x14ac:dyDescent="0.3">
      <c r="A10" s="2" t="s">
        <v>95</v>
      </c>
      <c r="B10" s="2" t="s">
        <v>141</v>
      </c>
      <c r="C10" s="2" t="s">
        <v>142</v>
      </c>
      <c r="D10" s="2" t="s">
        <v>50</v>
      </c>
      <c r="E10" s="2" t="s">
        <v>152</v>
      </c>
      <c r="F10" s="2">
        <v>1</v>
      </c>
      <c r="G10" s="2" t="s">
        <v>155</v>
      </c>
      <c r="H10" s="2" t="s">
        <v>86</v>
      </c>
      <c r="I10" s="2" t="s">
        <v>51</v>
      </c>
      <c r="J10" s="2">
        <v>20</v>
      </c>
      <c r="K10" s="2">
        <v>50</v>
      </c>
      <c r="L10" s="2">
        <v>0.5</v>
      </c>
      <c r="M10" s="2">
        <v>30</v>
      </c>
      <c r="N10" s="2" t="s">
        <v>144</v>
      </c>
    </row>
    <row r="11" spans="1:15" ht="21.95" customHeight="1" x14ac:dyDescent="0.3">
      <c r="A11" s="2" t="s">
        <v>97</v>
      </c>
      <c r="B11" s="2" t="s">
        <v>141</v>
      </c>
      <c r="C11" s="2" t="s">
        <v>142</v>
      </c>
      <c r="D11" s="2" t="s">
        <v>50</v>
      </c>
      <c r="E11" s="2" t="s">
        <v>156</v>
      </c>
      <c r="F11" s="2" t="s">
        <v>50</v>
      </c>
      <c r="G11" s="2" t="s">
        <v>156</v>
      </c>
      <c r="H11" s="2" t="s">
        <v>86</v>
      </c>
      <c r="I11" s="2" t="s">
        <v>51</v>
      </c>
      <c r="J11" s="2">
        <v>18</v>
      </c>
      <c r="K11" s="2">
        <v>50</v>
      </c>
      <c r="L11" s="2">
        <v>0.3</v>
      </c>
      <c r="M11" s="2">
        <v>30</v>
      </c>
      <c r="N11" s="2" t="s">
        <v>144</v>
      </c>
    </row>
    <row r="12" spans="1:15" ht="21.95" customHeight="1" x14ac:dyDescent="0.3">
      <c r="A12" s="2" t="s">
        <v>98</v>
      </c>
      <c r="B12" s="2" t="s">
        <v>141</v>
      </c>
      <c r="C12" s="2" t="s">
        <v>142</v>
      </c>
      <c r="D12" s="2" t="s">
        <v>50</v>
      </c>
      <c r="E12" s="2" t="s">
        <v>157</v>
      </c>
      <c r="F12" s="2">
        <v>4</v>
      </c>
      <c r="G12" s="2" t="s">
        <v>158</v>
      </c>
      <c r="H12" s="2" t="s">
        <v>86</v>
      </c>
      <c r="I12" s="2" t="s">
        <v>51</v>
      </c>
      <c r="J12" s="2">
        <v>24</v>
      </c>
      <c r="K12" s="2">
        <v>50</v>
      </c>
      <c r="L12" s="2">
        <v>0.5</v>
      </c>
      <c r="M12" s="2">
        <v>40</v>
      </c>
      <c r="N12" s="2" t="s">
        <v>144</v>
      </c>
    </row>
    <row r="13" spans="1:15" ht="21.95" customHeight="1" x14ac:dyDescent="0.3">
      <c r="A13" s="2" t="s">
        <v>99</v>
      </c>
      <c r="B13" s="2" t="s">
        <v>141</v>
      </c>
      <c r="C13" s="2" t="s">
        <v>142</v>
      </c>
      <c r="D13" s="2" t="s">
        <v>50</v>
      </c>
      <c r="E13" s="2" t="s">
        <v>159</v>
      </c>
      <c r="F13" s="2">
        <v>4</v>
      </c>
      <c r="G13" s="2" t="s">
        <v>160</v>
      </c>
      <c r="H13" s="2" t="s">
        <v>86</v>
      </c>
      <c r="I13" s="2" t="s">
        <v>54</v>
      </c>
      <c r="J13" s="2">
        <v>20</v>
      </c>
      <c r="K13" s="2">
        <v>50</v>
      </c>
      <c r="L13" s="2">
        <v>1</v>
      </c>
      <c r="M13" s="2">
        <v>40</v>
      </c>
      <c r="N13" s="2" t="s">
        <v>144</v>
      </c>
    </row>
    <row r="14" spans="1:15" ht="21.95" customHeight="1" x14ac:dyDescent="0.3">
      <c r="A14" s="2" t="s">
        <v>101</v>
      </c>
      <c r="B14" s="2" t="s">
        <v>141</v>
      </c>
      <c r="C14" s="2" t="s">
        <v>142</v>
      </c>
      <c r="D14" s="2" t="s">
        <v>50</v>
      </c>
      <c r="E14" s="2" t="s">
        <v>159</v>
      </c>
      <c r="F14" s="2">
        <v>3</v>
      </c>
      <c r="G14" s="2" t="s">
        <v>161</v>
      </c>
      <c r="H14" s="2" t="s">
        <v>86</v>
      </c>
      <c r="I14" s="2" t="s">
        <v>51</v>
      </c>
      <c r="J14" s="2">
        <v>30</v>
      </c>
      <c r="K14" s="2">
        <v>50</v>
      </c>
      <c r="L14" s="2">
        <v>1</v>
      </c>
      <c r="M14" s="2">
        <v>0</v>
      </c>
      <c r="N14" s="2" t="s">
        <v>144</v>
      </c>
    </row>
    <row r="15" spans="1:15" ht="21.95" customHeight="1" x14ac:dyDescent="0.3">
      <c r="A15" s="2" t="s">
        <v>102</v>
      </c>
      <c r="B15" s="2" t="s">
        <v>141</v>
      </c>
      <c r="C15" s="2" t="s">
        <v>142</v>
      </c>
      <c r="D15" s="2" t="s">
        <v>50</v>
      </c>
      <c r="E15" s="2" t="s">
        <v>159</v>
      </c>
      <c r="F15" s="2">
        <v>1</v>
      </c>
      <c r="G15" s="2" t="s">
        <v>162</v>
      </c>
      <c r="H15" s="2" t="s">
        <v>86</v>
      </c>
      <c r="I15" s="2" t="s">
        <v>53</v>
      </c>
      <c r="J15" s="2">
        <v>20</v>
      </c>
      <c r="K15" s="2">
        <v>50</v>
      </c>
      <c r="L15" s="2">
        <v>0.5</v>
      </c>
      <c r="M15" s="2">
        <v>40</v>
      </c>
      <c r="N15" s="2" t="s">
        <v>144</v>
      </c>
    </row>
    <row r="16" spans="1:15" ht="21.95" customHeight="1" x14ac:dyDescent="0.3">
      <c r="A16" s="2" t="s">
        <v>103</v>
      </c>
      <c r="B16" s="2" t="s">
        <v>141</v>
      </c>
      <c r="C16" s="2" t="s">
        <v>142</v>
      </c>
      <c r="D16" s="2" t="s">
        <v>50</v>
      </c>
      <c r="E16" s="2" t="s">
        <v>163</v>
      </c>
      <c r="F16" s="2">
        <v>1</v>
      </c>
      <c r="G16" s="2" t="s">
        <v>164</v>
      </c>
      <c r="H16" s="2" t="s">
        <v>86</v>
      </c>
      <c r="I16" s="2" t="s">
        <v>54</v>
      </c>
      <c r="J16" s="2">
        <v>18</v>
      </c>
      <c r="K16" s="2">
        <v>20</v>
      </c>
      <c r="L16" s="2">
        <v>0.5</v>
      </c>
      <c r="M16" s="2">
        <v>30</v>
      </c>
      <c r="N16" s="2" t="s">
        <v>144</v>
      </c>
    </row>
    <row r="17" spans="1:14" ht="21.95" customHeight="1" x14ac:dyDescent="0.3">
      <c r="A17" s="2" t="s">
        <v>104</v>
      </c>
      <c r="B17" s="2" t="s">
        <v>141</v>
      </c>
      <c r="C17" s="2" t="s">
        <v>142</v>
      </c>
      <c r="D17" s="2" t="s">
        <v>50</v>
      </c>
      <c r="E17" s="2" t="s">
        <v>165</v>
      </c>
      <c r="F17" s="2">
        <v>1</v>
      </c>
      <c r="G17" s="2" t="s">
        <v>166</v>
      </c>
      <c r="H17" s="2" t="s">
        <v>86</v>
      </c>
      <c r="I17" s="2" t="s">
        <v>51</v>
      </c>
      <c r="J17" s="2">
        <v>30</v>
      </c>
      <c r="K17" s="2">
        <v>25</v>
      </c>
      <c r="L17" s="2">
        <v>1</v>
      </c>
      <c r="M17" s="2">
        <v>0</v>
      </c>
      <c r="N17" s="2" t="s">
        <v>144</v>
      </c>
    </row>
    <row r="18" spans="1:14" ht="21.95" customHeight="1" x14ac:dyDescent="0.3">
      <c r="A18" s="2" t="s">
        <v>105</v>
      </c>
      <c r="B18" s="2" t="s">
        <v>141</v>
      </c>
      <c r="C18" s="2" t="s">
        <v>142</v>
      </c>
      <c r="D18" s="2" t="s">
        <v>50</v>
      </c>
      <c r="E18" s="2" t="s">
        <v>147</v>
      </c>
      <c r="F18" s="2">
        <v>12</v>
      </c>
      <c r="G18" s="2" t="s">
        <v>167</v>
      </c>
      <c r="H18" s="2" t="s">
        <v>86</v>
      </c>
      <c r="I18" s="2" t="s">
        <v>53</v>
      </c>
      <c r="J18" s="2">
        <v>3.8</v>
      </c>
      <c r="K18" s="2">
        <v>1000</v>
      </c>
      <c r="L18" s="2">
        <v>1</v>
      </c>
      <c r="M18" s="2">
        <v>40</v>
      </c>
      <c r="N18" s="2" t="s">
        <v>144</v>
      </c>
    </row>
    <row r="19" spans="1:14" ht="21.95" customHeight="1" x14ac:dyDescent="0.3">
      <c r="A19" s="2" t="s">
        <v>106</v>
      </c>
      <c r="B19" s="2" t="s">
        <v>141</v>
      </c>
      <c r="C19" s="2" t="s">
        <v>142</v>
      </c>
      <c r="D19" s="2" t="s">
        <v>50</v>
      </c>
      <c r="E19" s="2" t="s">
        <v>147</v>
      </c>
      <c r="F19" s="2">
        <v>1</v>
      </c>
      <c r="G19" s="2" t="s">
        <v>168</v>
      </c>
      <c r="H19" s="2" t="s">
        <v>86</v>
      </c>
      <c r="I19" s="2" t="s">
        <v>51</v>
      </c>
      <c r="J19" s="2">
        <v>30</v>
      </c>
      <c r="K19" s="2">
        <v>50</v>
      </c>
      <c r="L19" s="2">
        <v>1</v>
      </c>
      <c r="M19" s="2">
        <v>0</v>
      </c>
      <c r="N19" s="2" t="s">
        <v>144</v>
      </c>
    </row>
    <row r="20" spans="1:14" ht="21.95" customHeight="1" x14ac:dyDescent="0.3">
      <c r="A20" s="2" t="s">
        <v>107</v>
      </c>
      <c r="B20" s="2" t="s">
        <v>141</v>
      </c>
      <c r="C20" s="2" t="s">
        <v>142</v>
      </c>
      <c r="D20" s="2" t="s">
        <v>50</v>
      </c>
      <c r="E20" s="2" t="s">
        <v>169</v>
      </c>
      <c r="F20" s="2" t="s">
        <v>50</v>
      </c>
      <c r="G20" s="2" t="s">
        <v>169</v>
      </c>
      <c r="H20" s="2" t="s">
        <v>86</v>
      </c>
      <c r="I20" s="2" t="s">
        <v>51</v>
      </c>
      <c r="J20" s="2">
        <v>30</v>
      </c>
      <c r="K20" s="2">
        <v>50</v>
      </c>
      <c r="L20" s="2">
        <v>1</v>
      </c>
      <c r="M20" s="2">
        <v>0</v>
      </c>
      <c r="N20" s="2" t="s">
        <v>144</v>
      </c>
    </row>
    <row r="21" spans="1:14" ht="21.95" customHeight="1" x14ac:dyDescent="0.3">
      <c r="A21" s="2" t="s">
        <v>109</v>
      </c>
      <c r="B21" s="2" t="s">
        <v>141</v>
      </c>
      <c r="C21" s="2" t="s">
        <v>142</v>
      </c>
      <c r="D21" s="2" t="s">
        <v>50</v>
      </c>
      <c r="E21" s="2" t="s">
        <v>170</v>
      </c>
      <c r="F21" s="2">
        <v>3</v>
      </c>
      <c r="G21" s="2" t="s">
        <v>171</v>
      </c>
      <c r="H21" s="2" t="s">
        <v>86</v>
      </c>
      <c r="I21" s="2" t="s">
        <v>54</v>
      </c>
      <c r="J21" s="2">
        <v>60</v>
      </c>
      <c r="K21" s="2">
        <v>150</v>
      </c>
      <c r="L21" s="2">
        <v>1</v>
      </c>
      <c r="M21" s="2">
        <v>40</v>
      </c>
      <c r="N21" s="2" t="s">
        <v>144</v>
      </c>
    </row>
    <row r="22" spans="1:14" ht="21.95" customHeight="1" x14ac:dyDescent="0.3">
      <c r="A22" s="2" t="s">
        <v>110</v>
      </c>
      <c r="B22" s="2" t="s">
        <v>141</v>
      </c>
      <c r="C22" s="2" t="s">
        <v>142</v>
      </c>
      <c r="D22" s="2" t="s">
        <v>50</v>
      </c>
      <c r="E22" s="2" t="s">
        <v>170</v>
      </c>
      <c r="F22" s="2">
        <v>4</v>
      </c>
      <c r="G22" s="2" t="s">
        <v>172</v>
      </c>
      <c r="H22" s="2" t="s">
        <v>86</v>
      </c>
      <c r="I22" s="2" t="s">
        <v>53</v>
      </c>
      <c r="J22" s="2">
        <v>22</v>
      </c>
      <c r="K22" s="2">
        <v>50</v>
      </c>
      <c r="L22" s="2">
        <v>0.5</v>
      </c>
      <c r="M22" s="2">
        <v>32</v>
      </c>
      <c r="N22" s="2" t="s">
        <v>144</v>
      </c>
    </row>
    <row r="23" spans="1:14" ht="21.95" customHeight="1" x14ac:dyDescent="0.3">
      <c r="A23" s="2" t="s">
        <v>111</v>
      </c>
      <c r="B23" s="2" t="s">
        <v>141</v>
      </c>
      <c r="C23" s="2" t="s">
        <v>142</v>
      </c>
      <c r="D23" s="2" t="s">
        <v>50</v>
      </c>
      <c r="E23" s="2" t="s">
        <v>173</v>
      </c>
      <c r="F23" s="2" t="s">
        <v>50</v>
      </c>
      <c r="G23" s="2" t="s">
        <v>173</v>
      </c>
      <c r="H23" s="2" t="s">
        <v>86</v>
      </c>
      <c r="I23" s="2" t="s">
        <v>53</v>
      </c>
      <c r="J23" s="2">
        <v>18</v>
      </c>
      <c r="K23" s="2">
        <v>50</v>
      </c>
      <c r="L23" s="2">
        <v>0.3</v>
      </c>
      <c r="M23" s="2">
        <v>20</v>
      </c>
      <c r="N23" s="2" t="s">
        <v>144</v>
      </c>
    </row>
    <row r="24" spans="1:14" ht="21.95" customHeight="1" x14ac:dyDescent="0.3">
      <c r="A24" s="2" t="s">
        <v>112</v>
      </c>
      <c r="B24" s="2" t="s">
        <v>141</v>
      </c>
      <c r="C24" s="2" t="s">
        <v>142</v>
      </c>
      <c r="D24" s="2" t="s">
        <v>50</v>
      </c>
      <c r="E24" s="2" t="s">
        <v>174</v>
      </c>
      <c r="F24" s="2" t="s">
        <v>50</v>
      </c>
      <c r="G24" s="2" t="s">
        <v>174</v>
      </c>
      <c r="H24" s="2" t="s">
        <v>86</v>
      </c>
      <c r="I24" s="2" t="s">
        <v>54</v>
      </c>
      <c r="J24" s="2">
        <v>60</v>
      </c>
      <c r="K24" s="2">
        <v>150</v>
      </c>
      <c r="L24" s="2">
        <v>2</v>
      </c>
      <c r="M24" s="2">
        <v>80</v>
      </c>
      <c r="N24" s="2" t="s">
        <v>52</v>
      </c>
    </row>
    <row r="25" spans="1:14" ht="21.95" customHeight="1" x14ac:dyDescent="0.3">
      <c r="A25" s="2" t="s">
        <v>175</v>
      </c>
      <c r="B25" s="2" t="s">
        <v>141</v>
      </c>
      <c r="C25" s="2" t="s">
        <v>142</v>
      </c>
      <c r="D25" s="2" t="s">
        <v>50</v>
      </c>
      <c r="E25" s="2" t="s">
        <v>176</v>
      </c>
      <c r="F25" s="2">
        <v>1</v>
      </c>
      <c r="G25" s="2" t="s">
        <v>177</v>
      </c>
      <c r="H25" s="2" t="s">
        <v>86</v>
      </c>
      <c r="I25" s="2" t="s">
        <v>51</v>
      </c>
      <c r="J25" s="2">
        <v>100</v>
      </c>
      <c r="K25" s="2">
        <v>150</v>
      </c>
      <c r="L25" s="2">
        <v>1</v>
      </c>
      <c r="M25" s="2">
        <v>43</v>
      </c>
      <c r="N25" s="2" t="s">
        <v>52</v>
      </c>
    </row>
    <row r="26" spans="1:14" ht="21.95" customHeight="1" x14ac:dyDescent="0.3">
      <c r="A26" s="2" t="s">
        <v>178</v>
      </c>
      <c r="B26" s="2" t="s">
        <v>141</v>
      </c>
      <c r="C26" s="2" t="s">
        <v>142</v>
      </c>
      <c r="D26" s="2" t="s">
        <v>50</v>
      </c>
      <c r="E26" s="2" t="s">
        <v>179</v>
      </c>
      <c r="F26" s="2" t="s">
        <v>50</v>
      </c>
      <c r="G26" s="2" t="s">
        <v>179</v>
      </c>
      <c r="H26" s="2" t="s">
        <v>86</v>
      </c>
      <c r="I26" s="2" t="s">
        <v>51</v>
      </c>
      <c r="J26" s="2">
        <v>25</v>
      </c>
      <c r="K26" s="2">
        <v>50</v>
      </c>
      <c r="L26" s="2">
        <v>1</v>
      </c>
      <c r="M26" s="2">
        <v>15</v>
      </c>
      <c r="N26" s="2" t="s">
        <v>52</v>
      </c>
    </row>
    <row r="27" spans="1:14" ht="21.95" customHeight="1" x14ac:dyDescent="0.3">
      <c r="A27" s="2" t="s">
        <v>180</v>
      </c>
      <c r="B27" s="2" t="s">
        <v>141</v>
      </c>
      <c r="C27" s="2" t="s">
        <v>142</v>
      </c>
      <c r="D27" s="2" t="s">
        <v>50</v>
      </c>
      <c r="E27" s="2" t="s">
        <v>181</v>
      </c>
      <c r="F27" s="2" t="s">
        <v>50</v>
      </c>
      <c r="G27" s="2" t="s">
        <v>181</v>
      </c>
      <c r="H27" s="2" t="s">
        <v>86</v>
      </c>
      <c r="I27" s="2" t="s">
        <v>51</v>
      </c>
      <c r="J27" s="2">
        <v>20</v>
      </c>
      <c r="K27" s="2">
        <v>50</v>
      </c>
      <c r="L27" s="2">
        <v>0.5</v>
      </c>
      <c r="M27" s="2">
        <v>40</v>
      </c>
      <c r="N27" s="2" t="s">
        <v>52</v>
      </c>
    </row>
    <row r="28" spans="1:14" ht="21.95" customHeight="1" x14ac:dyDescent="0.3">
      <c r="A28" s="2" t="s">
        <v>182</v>
      </c>
      <c r="B28" s="2" t="s">
        <v>141</v>
      </c>
      <c r="C28" s="2" t="s">
        <v>142</v>
      </c>
      <c r="D28" s="2" t="s">
        <v>50</v>
      </c>
      <c r="E28" s="2" t="s">
        <v>94</v>
      </c>
      <c r="F28" s="2" t="s">
        <v>50</v>
      </c>
      <c r="G28" s="2" t="s">
        <v>94</v>
      </c>
      <c r="H28" s="2" t="s">
        <v>86</v>
      </c>
      <c r="I28" s="2" t="s">
        <v>54</v>
      </c>
      <c r="J28" s="2">
        <v>20</v>
      </c>
      <c r="K28" s="2">
        <v>50</v>
      </c>
      <c r="L28" s="2">
        <v>0.3</v>
      </c>
      <c r="M28" s="2">
        <v>30</v>
      </c>
      <c r="N28" s="2" t="s">
        <v>52</v>
      </c>
    </row>
    <row r="29" spans="1:14" ht="21.95" customHeight="1" x14ac:dyDescent="0.3">
      <c r="A29" s="2" t="s">
        <v>183</v>
      </c>
      <c r="B29" s="2" t="s">
        <v>141</v>
      </c>
      <c r="C29" s="2" t="s">
        <v>142</v>
      </c>
      <c r="D29" s="2" t="s">
        <v>50</v>
      </c>
      <c r="E29" s="2" t="s">
        <v>184</v>
      </c>
      <c r="F29" s="2" t="s">
        <v>50</v>
      </c>
      <c r="G29" s="2" t="s">
        <v>184</v>
      </c>
      <c r="H29" s="2" t="s">
        <v>86</v>
      </c>
      <c r="I29" s="2" t="s">
        <v>51</v>
      </c>
      <c r="J29" s="2">
        <v>8</v>
      </c>
      <c r="K29" s="2">
        <v>40</v>
      </c>
      <c r="L29" s="2">
        <v>1</v>
      </c>
      <c r="M29" s="2">
        <v>0</v>
      </c>
      <c r="N29" s="2" t="s">
        <v>52</v>
      </c>
    </row>
    <row r="30" spans="1:14" ht="21.95" customHeight="1" x14ac:dyDescent="0.3">
      <c r="A30" s="2" t="s">
        <v>185</v>
      </c>
      <c r="B30" s="2" t="s">
        <v>141</v>
      </c>
      <c r="C30" s="2" t="s">
        <v>142</v>
      </c>
      <c r="D30" s="2" t="s">
        <v>50</v>
      </c>
      <c r="E30" s="2" t="s">
        <v>186</v>
      </c>
      <c r="F30" s="2" t="s">
        <v>50</v>
      </c>
      <c r="G30" s="2" t="s">
        <v>186</v>
      </c>
      <c r="H30" s="2" t="s">
        <v>86</v>
      </c>
      <c r="I30" s="2" t="s">
        <v>51</v>
      </c>
      <c r="J30" s="2">
        <v>25</v>
      </c>
      <c r="K30" s="2">
        <v>50</v>
      </c>
      <c r="L30" s="2">
        <v>1</v>
      </c>
      <c r="M30" s="2">
        <v>25</v>
      </c>
      <c r="N30" s="2" t="s">
        <v>52</v>
      </c>
    </row>
    <row r="31" spans="1:14" ht="21.95" customHeight="1" x14ac:dyDescent="0.3">
      <c r="A31" s="2" t="s">
        <v>187</v>
      </c>
      <c r="B31" s="2" t="s">
        <v>141</v>
      </c>
      <c r="C31" s="2" t="s">
        <v>142</v>
      </c>
      <c r="D31" s="2" t="s">
        <v>50</v>
      </c>
      <c r="E31" s="2" t="s">
        <v>188</v>
      </c>
      <c r="F31" s="2">
        <v>1</v>
      </c>
      <c r="G31" s="2" t="s">
        <v>189</v>
      </c>
      <c r="H31" s="2" t="s">
        <v>86</v>
      </c>
      <c r="I31" s="2" t="s">
        <v>53</v>
      </c>
      <c r="J31" s="2">
        <v>100</v>
      </c>
      <c r="K31" s="2">
        <v>150</v>
      </c>
      <c r="L31" s="2">
        <v>1</v>
      </c>
      <c r="M31" s="2">
        <v>50</v>
      </c>
      <c r="N31" s="2" t="s">
        <v>52</v>
      </c>
    </row>
    <row r="32" spans="1:14" ht="21.95" customHeight="1" x14ac:dyDescent="0.3">
      <c r="A32" s="2" t="s">
        <v>190</v>
      </c>
      <c r="B32" s="2" t="s">
        <v>141</v>
      </c>
      <c r="C32" s="2" t="s">
        <v>142</v>
      </c>
      <c r="D32" s="2" t="s">
        <v>50</v>
      </c>
      <c r="E32" s="2" t="s">
        <v>191</v>
      </c>
      <c r="F32" s="2" t="s">
        <v>50</v>
      </c>
      <c r="G32" s="2" t="s">
        <v>191</v>
      </c>
      <c r="H32" s="2" t="s">
        <v>86</v>
      </c>
      <c r="I32" s="2" t="s">
        <v>53</v>
      </c>
      <c r="J32" s="2">
        <v>100</v>
      </c>
      <c r="K32" s="2">
        <v>150</v>
      </c>
      <c r="L32" s="2">
        <v>1</v>
      </c>
      <c r="M32" s="2">
        <v>80</v>
      </c>
      <c r="N32" s="2" t="s">
        <v>52</v>
      </c>
    </row>
    <row r="33" spans="1:14" ht="21.95" customHeight="1" x14ac:dyDescent="0.3">
      <c r="A33" s="2" t="s">
        <v>192</v>
      </c>
      <c r="B33" s="2" t="s">
        <v>141</v>
      </c>
      <c r="C33" s="2" t="s">
        <v>142</v>
      </c>
      <c r="D33" s="2" t="s">
        <v>50</v>
      </c>
      <c r="E33" s="2" t="s">
        <v>96</v>
      </c>
      <c r="F33" s="2">
        <v>3</v>
      </c>
      <c r="G33" s="2" t="s">
        <v>193</v>
      </c>
      <c r="H33" s="2" t="s">
        <v>86</v>
      </c>
      <c r="I33" s="2" t="s">
        <v>53</v>
      </c>
      <c r="J33" s="2">
        <v>18</v>
      </c>
      <c r="K33" s="2">
        <v>50</v>
      </c>
      <c r="L33" s="2">
        <v>0.3</v>
      </c>
      <c r="M33" s="2">
        <v>20</v>
      </c>
      <c r="N33" s="2" t="s">
        <v>52</v>
      </c>
    </row>
    <row r="34" spans="1:14" ht="21.95" customHeight="1" x14ac:dyDescent="0.3">
      <c r="A34" s="2" t="s">
        <v>194</v>
      </c>
      <c r="B34" s="2" t="s">
        <v>141</v>
      </c>
      <c r="C34" s="2" t="s">
        <v>142</v>
      </c>
      <c r="D34" s="2" t="s">
        <v>50</v>
      </c>
      <c r="E34" s="2" t="s">
        <v>195</v>
      </c>
      <c r="F34" s="2">
        <v>1</v>
      </c>
      <c r="G34" s="2" t="s">
        <v>196</v>
      </c>
      <c r="H34" s="2" t="s">
        <v>86</v>
      </c>
      <c r="I34" s="2" t="s">
        <v>51</v>
      </c>
      <c r="J34" s="2">
        <v>20</v>
      </c>
      <c r="K34" s="2">
        <v>50</v>
      </c>
      <c r="L34" s="2">
        <v>0.5</v>
      </c>
      <c r="M34" s="2">
        <v>40</v>
      </c>
      <c r="N34" s="2" t="s">
        <v>52</v>
      </c>
    </row>
    <row r="35" spans="1:14" ht="21.95" customHeight="1" x14ac:dyDescent="0.3">
      <c r="A35" s="2" t="s">
        <v>197</v>
      </c>
      <c r="B35" s="2" t="s">
        <v>141</v>
      </c>
      <c r="C35" s="2" t="s">
        <v>142</v>
      </c>
      <c r="D35" s="2" t="s">
        <v>50</v>
      </c>
      <c r="E35" s="2" t="s">
        <v>198</v>
      </c>
      <c r="F35" s="2" t="s">
        <v>50</v>
      </c>
      <c r="G35" s="2" t="s">
        <v>198</v>
      </c>
      <c r="H35" s="2" t="s">
        <v>86</v>
      </c>
      <c r="I35" s="2" t="s">
        <v>53</v>
      </c>
      <c r="J35" s="2">
        <v>20</v>
      </c>
      <c r="K35" s="2">
        <v>150</v>
      </c>
      <c r="L35" s="2">
        <v>0.5</v>
      </c>
      <c r="M35" s="2">
        <v>40</v>
      </c>
      <c r="N35" s="2" t="s">
        <v>52</v>
      </c>
    </row>
    <row r="36" spans="1:14" ht="21.95" customHeight="1" x14ac:dyDescent="0.3">
      <c r="A36" s="2" t="s">
        <v>199</v>
      </c>
      <c r="B36" s="2" t="s">
        <v>141</v>
      </c>
      <c r="C36" s="2" t="s">
        <v>142</v>
      </c>
      <c r="D36" s="2" t="s">
        <v>50</v>
      </c>
      <c r="E36" s="2" t="s">
        <v>200</v>
      </c>
      <c r="F36" s="2">
        <v>2</v>
      </c>
      <c r="G36" s="2" t="s">
        <v>201</v>
      </c>
      <c r="H36" s="2" t="s">
        <v>86</v>
      </c>
      <c r="I36" s="2" t="s">
        <v>53</v>
      </c>
      <c r="J36" s="2">
        <v>20</v>
      </c>
      <c r="K36" s="2">
        <v>50</v>
      </c>
      <c r="L36" s="2">
        <v>1</v>
      </c>
      <c r="M36" s="2">
        <v>40</v>
      </c>
      <c r="N36" s="2" t="s">
        <v>52</v>
      </c>
    </row>
    <row r="37" spans="1:14" ht="21.95" customHeight="1" x14ac:dyDescent="0.3">
      <c r="A37" s="2" t="s">
        <v>202</v>
      </c>
      <c r="B37" s="2" t="s">
        <v>141</v>
      </c>
      <c r="C37" s="2" t="s">
        <v>142</v>
      </c>
      <c r="D37" s="2" t="s">
        <v>50</v>
      </c>
      <c r="E37" s="2" t="s">
        <v>203</v>
      </c>
      <c r="F37" s="2">
        <v>1</v>
      </c>
      <c r="G37" s="2" t="s">
        <v>204</v>
      </c>
      <c r="H37" s="2" t="s">
        <v>86</v>
      </c>
      <c r="I37" s="2" t="s">
        <v>51</v>
      </c>
      <c r="J37" s="2">
        <v>100</v>
      </c>
      <c r="K37" s="2">
        <v>150</v>
      </c>
      <c r="L37" s="2">
        <v>1</v>
      </c>
      <c r="M37" s="2">
        <v>90</v>
      </c>
      <c r="N37" s="2" t="s">
        <v>52</v>
      </c>
    </row>
    <row r="38" spans="1:14" ht="21.95" customHeight="1" x14ac:dyDescent="0.3">
      <c r="A38" s="2" t="s">
        <v>205</v>
      </c>
      <c r="B38" s="2" t="s">
        <v>141</v>
      </c>
      <c r="C38" s="2" t="s">
        <v>142</v>
      </c>
      <c r="D38" s="2" t="s">
        <v>50</v>
      </c>
      <c r="E38" s="2" t="s">
        <v>206</v>
      </c>
      <c r="F38" s="2">
        <v>8</v>
      </c>
      <c r="G38" s="2" t="s">
        <v>207</v>
      </c>
      <c r="H38" s="2" t="s">
        <v>86</v>
      </c>
      <c r="I38" s="2" t="s">
        <v>51</v>
      </c>
      <c r="J38" s="2">
        <v>20</v>
      </c>
      <c r="K38" s="2">
        <v>50</v>
      </c>
      <c r="L38" s="2">
        <v>0.5</v>
      </c>
      <c r="M38" s="2">
        <v>40</v>
      </c>
      <c r="N38" s="2" t="s">
        <v>52</v>
      </c>
    </row>
    <row r="39" spans="1:14" ht="21.95" customHeight="1" x14ac:dyDescent="0.3">
      <c r="A39" s="2" t="s">
        <v>208</v>
      </c>
      <c r="B39" s="2" t="s">
        <v>141</v>
      </c>
      <c r="C39" s="2" t="s">
        <v>142</v>
      </c>
      <c r="D39" s="2" t="s">
        <v>50</v>
      </c>
      <c r="E39" s="2" t="s">
        <v>209</v>
      </c>
      <c r="F39" s="2">
        <v>3</v>
      </c>
      <c r="G39" s="2" t="s">
        <v>210</v>
      </c>
      <c r="H39" s="2" t="s">
        <v>86</v>
      </c>
      <c r="I39" s="2" t="s">
        <v>51</v>
      </c>
      <c r="J39" s="2">
        <v>100</v>
      </c>
      <c r="K39" s="2">
        <v>50</v>
      </c>
      <c r="L39" s="2">
        <v>3</v>
      </c>
      <c r="M39" s="2">
        <v>20</v>
      </c>
      <c r="N39" s="2" t="s">
        <v>52</v>
      </c>
    </row>
    <row r="40" spans="1:14" ht="21.95" customHeight="1" x14ac:dyDescent="0.3">
      <c r="A40" s="2" t="s">
        <v>211</v>
      </c>
      <c r="B40" s="2" t="s">
        <v>141</v>
      </c>
      <c r="C40" s="2" t="s">
        <v>142</v>
      </c>
      <c r="D40" s="2" t="s">
        <v>50</v>
      </c>
      <c r="E40" s="2" t="s">
        <v>212</v>
      </c>
      <c r="F40" s="2">
        <v>1</v>
      </c>
      <c r="G40" s="2" t="s">
        <v>213</v>
      </c>
      <c r="H40" s="2" t="s">
        <v>86</v>
      </c>
      <c r="I40" s="2" t="s">
        <v>53</v>
      </c>
      <c r="J40" s="2">
        <v>100</v>
      </c>
      <c r="K40" s="2">
        <v>150</v>
      </c>
      <c r="L40" s="2">
        <v>1</v>
      </c>
      <c r="M40" s="2">
        <v>29</v>
      </c>
      <c r="N40" s="2" t="s">
        <v>52</v>
      </c>
    </row>
    <row r="41" spans="1:14" ht="21.95" customHeight="1" x14ac:dyDescent="0.3">
      <c r="A41" s="2" t="s">
        <v>214</v>
      </c>
      <c r="B41" s="2" t="s">
        <v>141</v>
      </c>
      <c r="C41" s="2" t="s">
        <v>142</v>
      </c>
      <c r="D41" s="2" t="s">
        <v>50</v>
      </c>
      <c r="E41" s="2" t="s">
        <v>212</v>
      </c>
      <c r="F41" s="2">
        <v>10</v>
      </c>
      <c r="G41" s="2" t="s">
        <v>215</v>
      </c>
      <c r="H41" s="2" t="s">
        <v>86</v>
      </c>
      <c r="I41" s="2" t="s">
        <v>53</v>
      </c>
      <c r="J41" s="2">
        <v>100</v>
      </c>
      <c r="K41" s="2">
        <v>150</v>
      </c>
      <c r="L41" s="2">
        <v>1</v>
      </c>
      <c r="M41" s="2">
        <v>29</v>
      </c>
      <c r="N41" s="2" t="s">
        <v>52</v>
      </c>
    </row>
    <row r="42" spans="1:14" ht="21.95" customHeight="1" x14ac:dyDescent="0.3">
      <c r="A42" s="2" t="s">
        <v>216</v>
      </c>
      <c r="B42" s="2" t="s">
        <v>141</v>
      </c>
      <c r="C42" s="2" t="s">
        <v>142</v>
      </c>
      <c r="D42" s="2" t="s">
        <v>50</v>
      </c>
      <c r="E42" s="2" t="s">
        <v>277</v>
      </c>
      <c r="F42" s="2">
        <v>1</v>
      </c>
      <c r="G42" s="2" t="s">
        <v>286</v>
      </c>
      <c r="H42" s="2" t="s">
        <v>86</v>
      </c>
      <c r="I42" s="2" t="s">
        <v>51</v>
      </c>
      <c r="J42" s="2">
        <v>100</v>
      </c>
      <c r="K42" s="2">
        <v>150</v>
      </c>
      <c r="L42" s="2">
        <v>1</v>
      </c>
      <c r="M42" s="2">
        <v>50</v>
      </c>
      <c r="N42" s="2" t="s">
        <v>52</v>
      </c>
    </row>
    <row r="43" spans="1:14" ht="21.95" customHeight="1" x14ac:dyDescent="0.3">
      <c r="A43" s="2" t="s">
        <v>219</v>
      </c>
      <c r="B43" s="2" t="s">
        <v>141</v>
      </c>
      <c r="C43" s="2" t="s">
        <v>142</v>
      </c>
      <c r="D43" s="2" t="s">
        <v>50</v>
      </c>
      <c r="E43" s="2" t="s">
        <v>220</v>
      </c>
      <c r="F43" s="2" t="s">
        <v>50</v>
      </c>
      <c r="G43" s="2" t="s">
        <v>220</v>
      </c>
      <c r="H43" s="2" t="s">
        <v>86</v>
      </c>
      <c r="I43" s="2" t="s">
        <v>53</v>
      </c>
      <c r="J43" s="2">
        <v>100</v>
      </c>
      <c r="K43" s="2">
        <v>150</v>
      </c>
      <c r="L43" s="2">
        <v>1</v>
      </c>
      <c r="M43" s="2">
        <v>40</v>
      </c>
      <c r="N43" s="2" t="s">
        <v>52</v>
      </c>
    </row>
    <row r="45" spans="1:14" ht="21.95" customHeight="1" x14ac:dyDescent="0.3">
      <c r="A45" s="2" t="s">
        <v>116</v>
      </c>
      <c r="B45" s="2" t="s">
        <v>141</v>
      </c>
      <c r="C45" s="2" t="s">
        <v>142</v>
      </c>
      <c r="D45" s="2" t="s">
        <v>50</v>
      </c>
      <c r="E45" s="2" t="s">
        <v>221</v>
      </c>
      <c r="F45" s="2" t="s">
        <v>50</v>
      </c>
      <c r="G45" s="2" t="s">
        <v>221</v>
      </c>
      <c r="H45" s="2" t="s">
        <v>88</v>
      </c>
      <c r="I45" s="2" t="s">
        <v>55</v>
      </c>
      <c r="J45" s="2">
        <v>21</v>
      </c>
      <c r="K45" s="2">
        <v>25</v>
      </c>
      <c r="L45" s="2">
        <v>1</v>
      </c>
      <c r="M45" s="2">
        <v>0</v>
      </c>
      <c r="N45" s="2" t="s">
        <v>144</v>
      </c>
    </row>
    <row r="46" spans="1:14" ht="21.95" customHeight="1" x14ac:dyDescent="0.3">
      <c r="A46" s="2" t="s">
        <v>117</v>
      </c>
      <c r="B46" s="2" t="s">
        <v>141</v>
      </c>
      <c r="C46" s="2" t="s">
        <v>142</v>
      </c>
      <c r="D46" s="2" t="s">
        <v>50</v>
      </c>
      <c r="E46" s="2" t="s">
        <v>222</v>
      </c>
      <c r="F46" s="2" t="s">
        <v>50</v>
      </c>
      <c r="G46" s="2" t="s">
        <v>222</v>
      </c>
      <c r="H46" s="2" t="s">
        <v>88</v>
      </c>
      <c r="I46" s="2" t="s">
        <v>55</v>
      </c>
      <c r="J46" s="2">
        <v>18</v>
      </c>
      <c r="K46" s="2">
        <v>50</v>
      </c>
      <c r="L46" s="2">
        <v>0.3</v>
      </c>
      <c r="M46" s="2">
        <v>20</v>
      </c>
      <c r="N46" s="2" t="s">
        <v>144</v>
      </c>
    </row>
    <row r="47" spans="1:14" ht="21.95" customHeight="1" x14ac:dyDescent="0.3">
      <c r="A47" s="2" t="s">
        <v>118</v>
      </c>
      <c r="B47" s="2" t="s">
        <v>141</v>
      </c>
      <c r="C47" s="2" t="s">
        <v>142</v>
      </c>
      <c r="D47" s="2" t="s">
        <v>50</v>
      </c>
      <c r="E47" s="2" t="s">
        <v>147</v>
      </c>
      <c r="F47" s="2">
        <v>2</v>
      </c>
      <c r="G47" s="2" t="s">
        <v>223</v>
      </c>
      <c r="H47" s="2" t="s">
        <v>88</v>
      </c>
      <c r="I47" s="2" t="s">
        <v>55</v>
      </c>
      <c r="J47" s="2">
        <v>25</v>
      </c>
      <c r="K47" s="2">
        <v>50</v>
      </c>
      <c r="L47" s="2">
        <v>0.5</v>
      </c>
      <c r="M47" s="2">
        <v>20</v>
      </c>
      <c r="N47" s="2" t="s">
        <v>144</v>
      </c>
    </row>
    <row r="48" spans="1:14" ht="21.95" customHeight="1" x14ac:dyDescent="0.3">
      <c r="A48" s="2" t="s">
        <v>119</v>
      </c>
      <c r="B48" s="2" t="s">
        <v>141</v>
      </c>
      <c r="C48" s="2" t="s">
        <v>142</v>
      </c>
      <c r="D48" s="2" t="s">
        <v>50</v>
      </c>
      <c r="E48" s="2" t="s">
        <v>224</v>
      </c>
      <c r="F48" s="2" t="s">
        <v>50</v>
      </c>
      <c r="G48" s="2" t="s">
        <v>224</v>
      </c>
      <c r="H48" s="2" t="s">
        <v>88</v>
      </c>
      <c r="I48" s="2" t="s">
        <v>55</v>
      </c>
      <c r="J48" s="2">
        <v>8</v>
      </c>
      <c r="K48" s="2">
        <v>25</v>
      </c>
      <c r="L48" s="2">
        <v>0.5</v>
      </c>
      <c r="M48" s="2">
        <v>20</v>
      </c>
      <c r="N48" s="2" t="s">
        <v>144</v>
      </c>
    </row>
    <row r="49" spans="1:14" ht="21.95" customHeight="1" x14ac:dyDescent="0.3">
      <c r="A49" s="2" t="s">
        <v>120</v>
      </c>
      <c r="B49" s="2" t="s">
        <v>141</v>
      </c>
      <c r="C49" s="2" t="s">
        <v>142</v>
      </c>
      <c r="D49" s="2" t="s">
        <v>50</v>
      </c>
      <c r="E49" s="2" t="s">
        <v>225</v>
      </c>
      <c r="F49" s="2" t="s">
        <v>50</v>
      </c>
      <c r="G49" s="2" t="s">
        <v>225</v>
      </c>
      <c r="H49" s="2" t="s">
        <v>88</v>
      </c>
      <c r="I49" s="2" t="s">
        <v>56</v>
      </c>
      <c r="J49" s="2">
        <v>20</v>
      </c>
      <c r="K49" s="2">
        <v>50</v>
      </c>
      <c r="L49" s="2">
        <v>0.3</v>
      </c>
      <c r="M49" s="2">
        <v>20</v>
      </c>
      <c r="N49" s="2" t="s">
        <v>144</v>
      </c>
    </row>
    <row r="50" spans="1:14" ht="21.95" customHeight="1" x14ac:dyDescent="0.3">
      <c r="A50" s="2" t="s">
        <v>121</v>
      </c>
      <c r="B50" s="2" t="s">
        <v>141</v>
      </c>
      <c r="C50" s="2" t="s">
        <v>142</v>
      </c>
      <c r="D50" s="2" t="s">
        <v>50</v>
      </c>
      <c r="E50" s="2" t="s">
        <v>226</v>
      </c>
      <c r="F50" s="2" t="s">
        <v>50</v>
      </c>
      <c r="G50" s="2" t="s">
        <v>226</v>
      </c>
      <c r="H50" s="2" t="s">
        <v>88</v>
      </c>
      <c r="I50" s="2" t="s">
        <v>55</v>
      </c>
      <c r="J50" s="2">
        <v>20</v>
      </c>
      <c r="K50" s="2">
        <v>50</v>
      </c>
      <c r="L50" s="2">
        <v>0.3</v>
      </c>
      <c r="M50" s="2">
        <v>20</v>
      </c>
      <c r="N50" s="2" t="s">
        <v>144</v>
      </c>
    </row>
    <row r="51" spans="1:14" ht="21.95" customHeight="1" x14ac:dyDescent="0.3">
      <c r="A51" s="2" t="s">
        <v>122</v>
      </c>
      <c r="B51" s="2" t="s">
        <v>141</v>
      </c>
      <c r="C51" s="2" t="s">
        <v>142</v>
      </c>
      <c r="D51" s="2" t="s">
        <v>50</v>
      </c>
      <c r="E51" s="2" t="s">
        <v>227</v>
      </c>
      <c r="F51" s="2" t="s">
        <v>50</v>
      </c>
      <c r="G51" s="2" t="s">
        <v>227</v>
      </c>
      <c r="H51" s="2" t="s">
        <v>88</v>
      </c>
      <c r="I51" s="2" t="s">
        <v>55</v>
      </c>
      <c r="J51" s="2">
        <v>18</v>
      </c>
      <c r="K51" s="2">
        <v>25</v>
      </c>
      <c r="L51" s="2">
        <v>0.5</v>
      </c>
      <c r="M51" s="2">
        <v>0</v>
      </c>
      <c r="N51" s="2" t="s">
        <v>144</v>
      </c>
    </row>
    <row r="52" spans="1:14" ht="21.95" customHeight="1" x14ac:dyDescent="0.3">
      <c r="A52" s="2" t="s">
        <v>123</v>
      </c>
      <c r="B52" s="2" t="s">
        <v>141</v>
      </c>
      <c r="C52" s="2" t="s">
        <v>142</v>
      </c>
      <c r="D52" s="2" t="s">
        <v>50</v>
      </c>
      <c r="E52" s="2" t="s">
        <v>108</v>
      </c>
      <c r="F52" s="2" t="s">
        <v>50</v>
      </c>
      <c r="G52" s="2" t="s">
        <v>108</v>
      </c>
      <c r="H52" s="2" t="s">
        <v>88</v>
      </c>
      <c r="I52" s="2" t="s">
        <v>55</v>
      </c>
      <c r="J52" s="2">
        <v>20</v>
      </c>
      <c r="K52" s="2">
        <v>50</v>
      </c>
      <c r="L52" s="2">
        <v>0.5</v>
      </c>
      <c r="M52" s="2">
        <v>20</v>
      </c>
      <c r="N52" s="2" t="s">
        <v>144</v>
      </c>
    </row>
    <row r="53" spans="1:14" ht="21.95" customHeight="1" x14ac:dyDescent="0.3">
      <c r="A53" s="2" t="s">
        <v>124</v>
      </c>
      <c r="B53" s="2" t="s">
        <v>141</v>
      </c>
      <c r="C53" s="2" t="s">
        <v>142</v>
      </c>
      <c r="D53" s="2" t="s">
        <v>50</v>
      </c>
      <c r="E53" s="2" t="s">
        <v>228</v>
      </c>
      <c r="F53" s="2" t="s">
        <v>50</v>
      </c>
      <c r="G53" s="2" t="s">
        <v>228</v>
      </c>
      <c r="H53" s="2" t="s">
        <v>88</v>
      </c>
      <c r="I53" s="2" t="s">
        <v>55</v>
      </c>
      <c r="J53" s="2">
        <v>6</v>
      </c>
      <c r="K53" s="2">
        <v>25</v>
      </c>
      <c r="L53" s="2">
        <v>2.5</v>
      </c>
      <c r="M53" s="2">
        <v>20</v>
      </c>
      <c r="N53" s="2" t="s">
        <v>144</v>
      </c>
    </row>
    <row r="54" spans="1:14" ht="21.95" customHeight="1" x14ac:dyDescent="0.3">
      <c r="A54" s="2" t="s">
        <v>125</v>
      </c>
      <c r="B54" s="2" t="s">
        <v>141</v>
      </c>
      <c r="C54" s="2" t="s">
        <v>142</v>
      </c>
      <c r="D54" s="2" t="s">
        <v>50</v>
      </c>
      <c r="E54" s="2" t="s">
        <v>229</v>
      </c>
      <c r="F54" s="2" t="s">
        <v>50</v>
      </c>
      <c r="G54" s="2" t="s">
        <v>229</v>
      </c>
      <c r="H54" s="2" t="s">
        <v>88</v>
      </c>
      <c r="I54" s="2" t="s">
        <v>55</v>
      </c>
      <c r="J54" s="2">
        <v>15</v>
      </c>
      <c r="K54" s="2">
        <v>40</v>
      </c>
      <c r="L54" s="2">
        <v>0.5</v>
      </c>
      <c r="M54" s="2">
        <v>20</v>
      </c>
      <c r="N54" s="2" t="s">
        <v>144</v>
      </c>
    </row>
    <row r="55" spans="1:14" ht="21.95" customHeight="1" x14ac:dyDescent="0.3">
      <c r="A55" s="2" t="s">
        <v>126</v>
      </c>
      <c r="B55" s="2" t="s">
        <v>141</v>
      </c>
      <c r="C55" s="2" t="s">
        <v>142</v>
      </c>
      <c r="D55" s="2" t="s">
        <v>50</v>
      </c>
      <c r="E55" s="2" t="s">
        <v>230</v>
      </c>
      <c r="F55" s="2" t="s">
        <v>50</v>
      </c>
      <c r="G55" s="2" t="s">
        <v>230</v>
      </c>
      <c r="H55" s="2" t="s">
        <v>88</v>
      </c>
      <c r="I55" s="2" t="s">
        <v>55</v>
      </c>
      <c r="J55" s="2">
        <v>18</v>
      </c>
      <c r="K55" s="2">
        <v>50</v>
      </c>
      <c r="L55" s="2">
        <v>0.3</v>
      </c>
      <c r="M55" s="2">
        <v>20</v>
      </c>
      <c r="N55" s="2" t="s">
        <v>144</v>
      </c>
    </row>
    <row r="56" spans="1:14" ht="21.95" customHeight="1" x14ac:dyDescent="0.3">
      <c r="A56" s="2" t="s">
        <v>127</v>
      </c>
      <c r="B56" s="2" t="s">
        <v>141</v>
      </c>
      <c r="C56" s="2" t="s">
        <v>142</v>
      </c>
      <c r="D56" s="2" t="s">
        <v>50</v>
      </c>
      <c r="E56" s="2" t="s">
        <v>231</v>
      </c>
      <c r="F56" s="2" t="s">
        <v>50</v>
      </c>
      <c r="G56" s="2" t="s">
        <v>231</v>
      </c>
      <c r="H56" s="2" t="s">
        <v>88</v>
      </c>
      <c r="I56" s="2" t="s">
        <v>55</v>
      </c>
      <c r="J56" s="2">
        <v>18</v>
      </c>
      <c r="K56" s="2">
        <v>50</v>
      </c>
      <c r="L56" s="2">
        <v>0.3</v>
      </c>
      <c r="M56" s="2">
        <v>20</v>
      </c>
      <c r="N56" s="2" t="s">
        <v>144</v>
      </c>
    </row>
    <row r="57" spans="1:14" ht="21.95" customHeight="1" x14ac:dyDescent="0.3">
      <c r="A57" s="2" t="s">
        <v>128</v>
      </c>
      <c r="B57" s="2" t="s">
        <v>141</v>
      </c>
      <c r="C57" s="2" t="s">
        <v>142</v>
      </c>
      <c r="D57" s="2" t="s">
        <v>50</v>
      </c>
      <c r="E57" s="2" t="s">
        <v>232</v>
      </c>
      <c r="F57" s="2">
        <v>3</v>
      </c>
      <c r="G57" s="2" t="s">
        <v>233</v>
      </c>
      <c r="H57" s="2" t="s">
        <v>88</v>
      </c>
      <c r="I57" s="2" t="s">
        <v>130</v>
      </c>
      <c r="J57" s="2">
        <v>200</v>
      </c>
      <c r="K57" s="2">
        <v>250</v>
      </c>
      <c r="L57" s="2">
        <v>10</v>
      </c>
      <c r="M57" s="2">
        <v>205</v>
      </c>
      <c r="N57" s="2" t="s">
        <v>144</v>
      </c>
    </row>
    <row r="58" spans="1:14" ht="21.95" customHeight="1" x14ac:dyDescent="0.3">
      <c r="A58" s="2" t="s">
        <v>129</v>
      </c>
      <c r="B58" s="2" t="s">
        <v>141</v>
      </c>
      <c r="C58" s="2" t="s">
        <v>142</v>
      </c>
      <c r="D58" s="2" t="s">
        <v>50</v>
      </c>
      <c r="E58" s="2" t="s">
        <v>234</v>
      </c>
      <c r="F58" s="2" t="s">
        <v>50</v>
      </c>
      <c r="G58" s="2" t="s">
        <v>234</v>
      </c>
      <c r="H58" s="2" t="s">
        <v>88</v>
      </c>
      <c r="I58" s="2" t="s">
        <v>55</v>
      </c>
      <c r="J58" s="2">
        <v>30</v>
      </c>
      <c r="K58" s="2">
        <v>20</v>
      </c>
      <c r="L58" s="2">
        <v>1</v>
      </c>
      <c r="M58" s="2">
        <v>25</v>
      </c>
      <c r="N58" s="2" t="s">
        <v>144</v>
      </c>
    </row>
    <row r="59" spans="1:14" ht="21.95" customHeight="1" x14ac:dyDescent="0.3">
      <c r="A59" s="2" t="s">
        <v>131</v>
      </c>
      <c r="B59" s="2" t="s">
        <v>141</v>
      </c>
      <c r="C59" s="2" t="s">
        <v>142</v>
      </c>
      <c r="D59" s="2" t="s">
        <v>50</v>
      </c>
      <c r="E59" s="2" t="s">
        <v>235</v>
      </c>
      <c r="F59" s="2" t="s">
        <v>50</v>
      </c>
      <c r="G59" s="2" t="s">
        <v>235</v>
      </c>
      <c r="H59" s="2" t="s">
        <v>88</v>
      </c>
      <c r="I59" s="2" t="s">
        <v>55</v>
      </c>
      <c r="J59" s="2">
        <v>35</v>
      </c>
      <c r="K59" s="2">
        <v>20</v>
      </c>
      <c r="L59" s="2">
        <v>0.5</v>
      </c>
      <c r="M59" s="2">
        <v>25</v>
      </c>
      <c r="N59" s="2" t="s">
        <v>144</v>
      </c>
    </row>
    <row r="60" spans="1:14" ht="21.95" customHeight="1" x14ac:dyDescent="0.3">
      <c r="A60" s="2" t="s">
        <v>132</v>
      </c>
      <c r="B60" s="2" t="s">
        <v>141</v>
      </c>
      <c r="C60" s="2" t="s">
        <v>142</v>
      </c>
      <c r="D60" s="2" t="s">
        <v>50</v>
      </c>
      <c r="E60" s="2" t="s">
        <v>236</v>
      </c>
      <c r="F60" s="2">
        <v>1</v>
      </c>
      <c r="G60" s="2" t="s">
        <v>237</v>
      </c>
      <c r="H60" s="2" t="s">
        <v>88</v>
      </c>
      <c r="I60" s="2" t="s">
        <v>55</v>
      </c>
      <c r="J60" s="2">
        <v>100</v>
      </c>
      <c r="K60" s="2">
        <v>150</v>
      </c>
      <c r="L60" s="2">
        <v>1</v>
      </c>
      <c r="M60" s="2">
        <v>25</v>
      </c>
      <c r="N60" s="2" t="s">
        <v>144</v>
      </c>
    </row>
    <row r="61" spans="1:14" ht="21.95" customHeight="1" x14ac:dyDescent="0.3">
      <c r="A61" s="2" t="s">
        <v>139</v>
      </c>
      <c r="B61" s="2" t="s">
        <v>141</v>
      </c>
      <c r="C61" s="2" t="s">
        <v>142</v>
      </c>
      <c r="D61" s="2" t="s">
        <v>50</v>
      </c>
      <c r="E61" s="2" t="s">
        <v>238</v>
      </c>
      <c r="F61" s="2">
        <v>5</v>
      </c>
      <c r="G61" s="2" t="s">
        <v>239</v>
      </c>
      <c r="H61" s="2" t="s">
        <v>88</v>
      </c>
      <c r="I61" s="2" t="s">
        <v>55</v>
      </c>
      <c r="J61" s="2">
        <v>20</v>
      </c>
      <c r="K61" s="2">
        <v>50</v>
      </c>
      <c r="L61" s="2">
        <v>0.5</v>
      </c>
      <c r="M61" s="2">
        <v>20</v>
      </c>
      <c r="N61" s="2" t="s">
        <v>144</v>
      </c>
    </row>
    <row r="62" spans="1:14" ht="21.95" customHeight="1" x14ac:dyDescent="0.3">
      <c r="A62" s="2" t="s">
        <v>240</v>
      </c>
      <c r="B62" s="2" t="s">
        <v>141</v>
      </c>
      <c r="C62" s="2" t="s">
        <v>142</v>
      </c>
      <c r="D62" s="2" t="s">
        <v>50</v>
      </c>
      <c r="E62" s="2" t="s">
        <v>241</v>
      </c>
      <c r="F62" s="2" t="s">
        <v>50</v>
      </c>
      <c r="G62" s="2" t="s">
        <v>241</v>
      </c>
      <c r="H62" s="2" t="s">
        <v>88</v>
      </c>
      <c r="I62" s="2" t="s">
        <v>55</v>
      </c>
      <c r="J62" s="2">
        <v>30</v>
      </c>
      <c r="K62" s="2">
        <v>16</v>
      </c>
      <c r="L62" s="2">
        <v>0.5</v>
      </c>
      <c r="M62" s="2">
        <v>25</v>
      </c>
      <c r="N62" s="2" t="s">
        <v>144</v>
      </c>
    </row>
    <row r="63" spans="1:14" ht="21.95" customHeight="1" x14ac:dyDescent="0.3">
      <c r="A63" s="2" t="s">
        <v>242</v>
      </c>
      <c r="B63" s="2" t="s">
        <v>141</v>
      </c>
      <c r="C63" s="2" t="s">
        <v>142</v>
      </c>
      <c r="D63" s="2" t="s">
        <v>50</v>
      </c>
      <c r="E63" s="2" t="s">
        <v>188</v>
      </c>
      <c r="F63" s="2">
        <v>2</v>
      </c>
      <c r="G63" s="2" t="s">
        <v>243</v>
      </c>
      <c r="H63" s="2" t="s">
        <v>88</v>
      </c>
      <c r="I63" s="2" t="s">
        <v>55</v>
      </c>
      <c r="J63" s="2">
        <v>15</v>
      </c>
      <c r="K63" s="2">
        <v>16</v>
      </c>
      <c r="L63" s="2">
        <v>0.5</v>
      </c>
      <c r="M63" s="2">
        <v>0</v>
      </c>
      <c r="N63" s="2" t="s">
        <v>52</v>
      </c>
    </row>
    <row r="64" spans="1:14" ht="21.95" customHeight="1" x14ac:dyDescent="0.3">
      <c r="A64" s="2" t="s">
        <v>244</v>
      </c>
      <c r="B64" s="2" t="s">
        <v>141</v>
      </c>
      <c r="C64" s="2" t="s">
        <v>142</v>
      </c>
      <c r="D64" s="2" t="s">
        <v>50</v>
      </c>
      <c r="E64" s="2" t="s">
        <v>245</v>
      </c>
      <c r="F64" s="2" t="s">
        <v>50</v>
      </c>
      <c r="G64" s="2" t="s">
        <v>245</v>
      </c>
      <c r="H64" s="2" t="s">
        <v>88</v>
      </c>
      <c r="I64" s="2" t="s">
        <v>55</v>
      </c>
      <c r="J64" s="2">
        <v>20</v>
      </c>
      <c r="K64" s="2">
        <v>20</v>
      </c>
      <c r="L64" s="2">
        <v>0.5</v>
      </c>
      <c r="M64" s="2">
        <v>0</v>
      </c>
      <c r="N64" s="2" t="s">
        <v>52</v>
      </c>
    </row>
    <row r="65" spans="1:15" ht="21.95" customHeight="1" x14ac:dyDescent="0.3">
      <c r="A65" s="2" t="s">
        <v>246</v>
      </c>
      <c r="B65" s="2" t="s">
        <v>141</v>
      </c>
      <c r="C65" s="2" t="s">
        <v>142</v>
      </c>
      <c r="D65" s="2" t="s">
        <v>50</v>
      </c>
      <c r="E65" s="2" t="s">
        <v>247</v>
      </c>
      <c r="F65" s="2">
        <v>2</v>
      </c>
      <c r="G65" s="2" t="s">
        <v>248</v>
      </c>
      <c r="H65" s="2" t="s">
        <v>88</v>
      </c>
      <c r="I65" s="2" t="s">
        <v>55</v>
      </c>
      <c r="J65" s="2">
        <v>18</v>
      </c>
      <c r="K65" s="2">
        <v>50</v>
      </c>
      <c r="L65" s="2">
        <v>0.3</v>
      </c>
      <c r="M65" s="2">
        <v>20</v>
      </c>
      <c r="N65" s="2" t="s">
        <v>52</v>
      </c>
    </row>
    <row r="66" spans="1:15" ht="21.95" customHeight="1" x14ac:dyDescent="0.3">
      <c r="A66" s="2" t="s">
        <v>249</v>
      </c>
      <c r="B66" s="2" t="s">
        <v>141</v>
      </c>
      <c r="C66" s="2" t="s">
        <v>142</v>
      </c>
      <c r="D66" s="2" t="s">
        <v>50</v>
      </c>
      <c r="E66" s="2" t="s">
        <v>247</v>
      </c>
      <c r="F66" s="2">
        <v>1</v>
      </c>
      <c r="G66" s="2" t="s">
        <v>250</v>
      </c>
      <c r="H66" s="2" t="s">
        <v>88</v>
      </c>
      <c r="I66" s="2" t="s">
        <v>55</v>
      </c>
      <c r="J66" s="2">
        <v>18</v>
      </c>
      <c r="K66" s="2">
        <v>50</v>
      </c>
      <c r="L66" s="2">
        <v>0.3</v>
      </c>
      <c r="M66" s="2">
        <v>20</v>
      </c>
      <c r="N66" s="2" t="s">
        <v>52</v>
      </c>
    </row>
    <row r="67" spans="1:15" ht="21.95" customHeight="1" x14ac:dyDescent="0.3">
      <c r="A67" s="2" t="s">
        <v>251</v>
      </c>
      <c r="B67" s="2" t="s">
        <v>141</v>
      </c>
      <c r="C67" s="2" t="s">
        <v>142</v>
      </c>
      <c r="D67" s="2" t="s">
        <v>50</v>
      </c>
      <c r="E67" s="2" t="s">
        <v>252</v>
      </c>
      <c r="F67" s="2">
        <v>1</v>
      </c>
      <c r="G67" s="2" t="s">
        <v>253</v>
      </c>
      <c r="H67" s="2" t="s">
        <v>88</v>
      </c>
      <c r="I67" s="2" t="s">
        <v>55</v>
      </c>
      <c r="J67" s="2">
        <v>60</v>
      </c>
      <c r="K67" s="2">
        <v>40</v>
      </c>
      <c r="L67" s="2">
        <v>2</v>
      </c>
      <c r="M67" s="2">
        <v>15</v>
      </c>
      <c r="N67" s="2" t="s">
        <v>52</v>
      </c>
    </row>
    <row r="68" spans="1:15" ht="21.95" customHeight="1" x14ac:dyDescent="0.3">
      <c r="A68" s="2" t="s">
        <v>254</v>
      </c>
      <c r="B68" s="2" t="s">
        <v>141</v>
      </c>
      <c r="C68" s="2" t="s">
        <v>142</v>
      </c>
      <c r="D68" s="2" t="s">
        <v>50</v>
      </c>
      <c r="E68" s="2" t="s">
        <v>255</v>
      </c>
      <c r="F68" s="2">
        <v>3</v>
      </c>
      <c r="G68" s="2" t="s">
        <v>256</v>
      </c>
      <c r="H68" s="2" t="s">
        <v>88</v>
      </c>
      <c r="I68" s="2" t="s">
        <v>55</v>
      </c>
      <c r="J68" s="2">
        <v>20</v>
      </c>
      <c r="K68" s="2">
        <v>20</v>
      </c>
      <c r="L68" s="2">
        <v>0.5</v>
      </c>
      <c r="M68" s="2">
        <v>20</v>
      </c>
      <c r="N68" s="2" t="s">
        <v>52</v>
      </c>
    </row>
    <row r="69" spans="1:15" ht="21.95" customHeight="1" x14ac:dyDescent="0.3">
      <c r="A69" s="2" t="s">
        <v>257</v>
      </c>
      <c r="B69" s="2" t="s">
        <v>141</v>
      </c>
      <c r="C69" s="2" t="s">
        <v>142</v>
      </c>
      <c r="D69" s="2" t="s">
        <v>50</v>
      </c>
      <c r="E69" s="2" t="s">
        <v>258</v>
      </c>
      <c r="F69" s="2" t="s">
        <v>50</v>
      </c>
      <c r="G69" s="2" t="s">
        <v>258</v>
      </c>
      <c r="H69" s="2" t="s">
        <v>88</v>
      </c>
      <c r="I69" s="2" t="s">
        <v>55</v>
      </c>
      <c r="J69" s="2">
        <v>20</v>
      </c>
      <c r="K69" s="2">
        <v>20</v>
      </c>
      <c r="L69" s="2">
        <v>0.5</v>
      </c>
      <c r="M69" s="2">
        <v>25</v>
      </c>
      <c r="N69" s="2" t="s">
        <v>52</v>
      </c>
    </row>
    <row r="70" spans="1:15" ht="21.95" customHeight="1" x14ac:dyDescent="0.3">
      <c r="A70" s="2" t="s">
        <v>259</v>
      </c>
      <c r="B70" s="2" t="s">
        <v>141</v>
      </c>
      <c r="C70" s="2" t="s">
        <v>142</v>
      </c>
      <c r="D70" s="2" t="s">
        <v>50</v>
      </c>
      <c r="E70" s="2" t="s">
        <v>260</v>
      </c>
      <c r="F70" s="2" t="s">
        <v>50</v>
      </c>
      <c r="G70" s="2" t="s">
        <v>260</v>
      </c>
      <c r="H70" s="2" t="s">
        <v>88</v>
      </c>
      <c r="I70" s="2" t="s">
        <v>55</v>
      </c>
      <c r="J70" s="2">
        <v>10</v>
      </c>
      <c r="K70" s="2">
        <v>20</v>
      </c>
      <c r="L70" s="2">
        <v>0.5</v>
      </c>
      <c r="M70" s="2">
        <v>25</v>
      </c>
      <c r="N70" s="2" t="s">
        <v>52</v>
      </c>
    </row>
    <row r="71" spans="1:15" ht="21.95" customHeight="1" x14ac:dyDescent="0.3">
      <c r="A71" s="2" t="s">
        <v>261</v>
      </c>
      <c r="B71" s="2" t="s">
        <v>141</v>
      </c>
      <c r="C71" s="2" t="s">
        <v>142</v>
      </c>
      <c r="D71" s="2" t="s">
        <v>50</v>
      </c>
      <c r="E71" s="2" t="s">
        <v>262</v>
      </c>
      <c r="F71" s="2" t="s">
        <v>50</v>
      </c>
      <c r="G71" s="2" t="s">
        <v>262</v>
      </c>
      <c r="H71" s="2" t="s">
        <v>88</v>
      </c>
      <c r="I71" s="2" t="s">
        <v>55</v>
      </c>
      <c r="J71" s="2">
        <v>30</v>
      </c>
      <c r="K71" s="2">
        <v>20</v>
      </c>
      <c r="L71" s="2">
        <v>0.5</v>
      </c>
      <c r="M71" s="2">
        <v>15</v>
      </c>
      <c r="N71" s="2" t="s">
        <v>52</v>
      </c>
    </row>
    <row r="72" spans="1:15" ht="21.95" customHeight="1" x14ac:dyDescent="0.3">
      <c r="A72" s="2" t="s">
        <v>263</v>
      </c>
      <c r="B72" s="2" t="s">
        <v>141</v>
      </c>
      <c r="C72" s="2" t="s">
        <v>142</v>
      </c>
      <c r="D72" s="2" t="s">
        <v>50</v>
      </c>
      <c r="E72" s="2" t="s">
        <v>264</v>
      </c>
      <c r="F72" s="2">
        <v>1</v>
      </c>
      <c r="G72" s="2" t="s">
        <v>265</v>
      </c>
      <c r="H72" s="2" t="s">
        <v>88</v>
      </c>
      <c r="I72" s="2" t="s">
        <v>55</v>
      </c>
      <c r="J72" s="2">
        <v>15</v>
      </c>
      <c r="K72" s="2">
        <v>40</v>
      </c>
      <c r="L72" s="2">
        <v>0.5</v>
      </c>
      <c r="M72" s="2">
        <v>18</v>
      </c>
      <c r="N72" s="2" t="s">
        <v>52</v>
      </c>
    </row>
    <row r="73" spans="1:15" ht="21.95" customHeight="1" x14ac:dyDescent="0.3">
      <c r="A73" s="2" t="s">
        <v>266</v>
      </c>
      <c r="B73" s="2" t="s">
        <v>141</v>
      </c>
      <c r="C73" s="2" t="s">
        <v>142</v>
      </c>
      <c r="D73" s="2" t="s">
        <v>50</v>
      </c>
      <c r="E73" s="2" t="s">
        <v>267</v>
      </c>
      <c r="F73" s="2" t="s">
        <v>50</v>
      </c>
      <c r="G73" s="2" t="s">
        <v>267</v>
      </c>
      <c r="H73" s="2" t="s">
        <v>88</v>
      </c>
      <c r="I73" s="2" t="s">
        <v>55</v>
      </c>
      <c r="J73" s="2">
        <v>50</v>
      </c>
      <c r="K73" s="2">
        <v>20</v>
      </c>
      <c r="L73" s="2">
        <v>0.5</v>
      </c>
      <c r="M73" s="2">
        <v>20</v>
      </c>
      <c r="N73" s="2" t="s">
        <v>52</v>
      </c>
    </row>
    <row r="74" spans="1:15" ht="21.95" customHeight="1" x14ac:dyDescent="0.3">
      <c r="A74" s="2" t="s">
        <v>268</v>
      </c>
      <c r="B74" s="2" t="s">
        <v>141</v>
      </c>
      <c r="C74" s="2" t="s">
        <v>142</v>
      </c>
      <c r="D74" s="2" t="s">
        <v>50</v>
      </c>
      <c r="E74" s="2" t="s">
        <v>269</v>
      </c>
      <c r="F74" s="2" t="s">
        <v>50</v>
      </c>
      <c r="G74" s="2" t="s">
        <v>269</v>
      </c>
      <c r="H74" s="2" t="s">
        <v>88</v>
      </c>
      <c r="I74" s="2" t="s">
        <v>55</v>
      </c>
      <c r="J74" s="2">
        <v>80</v>
      </c>
      <c r="K74" s="2">
        <v>40</v>
      </c>
      <c r="L74" s="2">
        <v>1</v>
      </c>
      <c r="M74" s="2">
        <v>20</v>
      </c>
      <c r="N74" s="2" t="s">
        <v>52</v>
      </c>
    </row>
    <row r="75" spans="1:15" ht="21.95" customHeight="1" x14ac:dyDescent="0.3">
      <c r="A75" s="2" t="s">
        <v>270</v>
      </c>
      <c r="B75" s="2" t="s">
        <v>141</v>
      </c>
      <c r="C75" s="2" t="s">
        <v>142</v>
      </c>
      <c r="D75" s="2" t="s">
        <v>50</v>
      </c>
      <c r="E75" s="2" t="s">
        <v>271</v>
      </c>
      <c r="F75" s="2">
        <v>1</v>
      </c>
      <c r="G75" s="2" t="s">
        <v>272</v>
      </c>
      <c r="H75" s="2" t="s">
        <v>88</v>
      </c>
      <c r="I75" s="2" t="s">
        <v>56</v>
      </c>
      <c r="J75" s="2">
        <v>80</v>
      </c>
      <c r="K75" s="2">
        <v>150</v>
      </c>
      <c r="L75" s="2">
        <v>1</v>
      </c>
      <c r="M75" s="2">
        <v>62</v>
      </c>
      <c r="N75" s="2" t="s">
        <v>52</v>
      </c>
    </row>
    <row r="76" spans="1:15" ht="21.95" customHeight="1" x14ac:dyDescent="0.3">
      <c r="A76" s="2" t="s">
        <v>273</v>
      </c>
      <c r="B76" s="2" t="s">
        <v>141</v>
      </c>
      <c r="C76" s="2" t="s">
        <v>142</v>
      </c>
      <c r="D76" s="2" t="s">
        <v>50</v>
      </c>
      <c r="E76" s="2" t="s">
        <v>212</v>
      </c>
      <c r="F76" s="2">
        <v>3</v>
      </c>
      <c r="G76" s="2" t="s">
        <v>274</v>
      </c>
      <c r="H76" s="2" t="s">
        <v>88</v>
      </c>
      <c r="I76" s="2" t="s">
        <v>275</v>
      </c>
      <c r="J76" s="2">
        <v>100</v>
      </c>
      <c r="K76" s="2">
        <v>150</v>
      </c>
      <c r="L76" s="2">
        <v>1</v>
      </c>
      <c r="M76" s="2">
        <v>70</v>
      </c>
      <c r="N76" s="2" t="s">
        <v>52</v>
      </c>
    </row>
    <row r="77" spans="1:15" ht="21.95" customHeight="1" x14ac:dyDescent="0.3">
      <c r="A77" s="2" t="s">
        <v>276</v>
      </c>
      <c r="B77" s="2" t="s">
        <v>141</v>
      </c>
      <c r="C77" s="2" t="s">
        <v>142</v>
      </c>
      <c r="D77" s="2" t="s">
        <v>50</v>
      </c>
      <c r="E77" s="2" t="s">
        <v>277</v>
      </c>
      <c r="F77" s="2">
        <v>2</v>
      </c>
      <c r="G77" s="2" t="s">
        <v>278</v>
      </c>
      <c r="H77" s="2" t="s">
        <v>88</v>
      </c>
      <c r="I77" s="2" t="s">
        <v>55</v>
      </c>
      <c r="J77" s="2">
        <v>20</v>
      </c>
      <c r="K77" s="2">
        <v>50</v>
      </c>
      <c r="L77" s="2">
        <v>0.3</v>
      </c>
      <c r="M77" s="2">
        <v>20</v>
      </c>
      <c r="N77" s="2" t="s">
        <v>52</v>
      </c>
    </row>
    <row r="78" spans="1:15" ht="21.95" customHeight="1" x14ac:dyDescent="0.3">
      <c r="A78" s="2" t="s">
        <v>279</v>
      </c>
      <c r="B78" s="2" t="s">
        <v>141</v>
      </c>
      <c r="C78" s="2" t="s">
        <v>142</v>
      </c>
      <c r="D78" s="2" t="s">
        <v>50</v>
      </c>
      <c r="E78" s="2" t="s">
        <v>277</v>
      </c>
      <c r="F78" s="2">
        <v>3</v>
      </c>
      <c r="G78" s="2" t="s">
        <v>280</v>
      </c>
      <c r="H78" s="2" t="s">
        <v>88</v>
      </c>
      <c r="I78" s="2" t="s">
        <v>55</v>
      </c>
      <c r="J78" s="2">
        <v>70</v>
      </c>
      <c r="K78" s="2">
        <v>150</v>
      </c>
      <c r="L78" s="2">
        <v>1</v>
      </c>
      <c r="M78" s="2">
        <v>55</v>
      </c>
      <c r="N78" s="2" t="s">
        <v>52</v>
      </c>
    </row>
    <row r="79" spans="1:15" ht="21.95" customHeight="1" x14ac:dyDescent="0.3">
      <c r="A79" s="2" t="s">
        <v>281</v>
      </c>
      <c r="B79" s="2" t="s">
        <v>141</v>
      </c>
      <c r="C79" s="2" t="s">
        <v>142</v>
      </c>
      <c r="D79" s="2" t="s">
        <v>50</v>
      </c>
      <c r="E79" s="2" t="s">
        <v>282</v>
      </c>
      <c r="F79" s="2" t="s">
        <v>50</v>
      </c>
      <c r="G79" s="2" t="s">
        <v>282</v>
      </c>
      <c r="H79" s="2" t="s">
        <v>88</v>
      </c>
      <c r="I79" s="2" t="s">
        <v>55</v>
      </c>
      <c r="J79" s="2">
        <v>20</v>
      </c>
      <c r="K79" s="2">
        <v>50</v>
      </c>
      <c r="L79" s="2">
        <v>0.3</v>
      </c>
      <c r="M79" s="2">
        <v>25</v>
      </c>
      <c r="N79" s="2" t="s">
        <v>52</v>
      </c>
    </row>
    <row r="80" spans="1:15" ht="21.95" customHeight="1" x14ac:dyDescent="0.3">
      <c r="A80" s="2" t="s">
        <v>283</v>
      </c>
      <c r="B80" s="2" t="s">
        <v>141</v>
      </c>
      <c r="C80" s="2" t="s">
        <v>142</v>
      </c>
      <c r="D80" s="2" t="s">
        <v>284</v>
      </c>
      <c r="E80" s="2" t="s">
        <v>285</v>
      </c>
      <c r="F80" s="2" t="s">
        <v>50</v>
      </c>
      <c r="G80" s="2" t="s">
        <v>285</v>
      </c>
      <c r="H80" s="2" t="s">
        <v>88</v>
      </c>
      <c r="I80" s="2" t="s">
        <v>130</v>
      </c>
      <c r="J80" s="2">
        <v>170</v>
      </c>
      <c r="K80" s="2">
        <v>250</v>
      </c>
      <c r="L80" s="2">
        <v>5</v>
      </c>
      <c r="M80" s="2">
        <v>195</v>
      </c>
      <c r="N80" s="2" t="s">
        <v>52</v>
      </c>
      <c r="O80" s="2" t="s">
        <v>52</v>
      </c>
    </row>
    <row r="81" spans="1:14" ht="21.95" customHeight="1" x14ac:dyDescent="0.3">
      <c r="A81" s="2" t="s">
        <v>326</v>
      </c>
      <c r="B81" s="2" t="s">
        <v>141</v>
      </c>
      <c r="C81" s="2" t="s">
        <v>142</v>
      </c>
      <c r="D81" s="2" t="s">
        <v>50</v>
      </c>
      <c r="E81" s="2" t="s">
        <v>217</v>
      </c>
      <c r="F81" s="2">
        <v>1</v>
      </c>
      <c r="G81" s="2" t="s">
        <v>218</v>
      </c>
      <c r="H81" s="2" t="s">
        <v>88</v>
      </c>
      <c r="I81" s="2" t="s">
        <v>55</v>
      </c>
      <c r="J81" s="2">
        <v>100</v>
      </c>
      <c r="K81" s="2">
        <v>150</v>
      </c>
      <c r="L81" s="2">
        <v>1</v>
      </c>
      <c r="M81" s="2">
        <v>50</v>
      </c>
      <c r="N81" s="2" t="s">
        <v>52</v>
      </c>
    </row>
  </sheetData>
  <autoFilter ref="A1:O1" xr:uid="{FC5F0F80-1AD0-43D9-B09F-F34D605F18E6}">
    <sortState xmlns:xlrd2="http://schemas.microsoft.com/office/spreadsheetml/2017/richdata2" ref="A2:O224">
      <sortCondition ref="A1"/>
    </sortState>
  </autoFilter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54"/>
  <sheetViews>
    <sheetView tabSelected="1" topLeftCell="A37" zoomScaleNormal="100" workbookViewId="0">
      <selection activeCell="H60" sqref="H60"/>
    </sheetView>
  </sheetViews>
  <sheetFormatPr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2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15</v>
      </c>
      <c r="D1" s="1" t="s">
        <v>14</v>
      </c>
      <c r="E1" s="1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/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49</v>
      </c>
    </row>
    <row r="2" spans="1:18" ht="21.75" customHeight="1" x14ac:dyDescent="0.3">
      <c r="A2" s="2" t="s">
        <v>13</v>
      </c>
      <c r="B2" s="1" t="s">
        <v>4</v>
      </c>
      <c r="C2" s="2" t="s">
        <v>141</v>
      </c>
      <c r="D2" s="2" t="s">
        <v>142</v>
      </c>
      <c r="E2" s="2" t="s">
        <v>221</v>
      </c>
      <c r="F2" s="2">
        <v>21</v>
      </c>
      <c r="G2" s="2">
        <v>25</v>
      </c>
      <c r="H2" s="2">
        <v>1</v>
      </c>
      <c r="I2" s="2">
        <v>0</v>
      </c>
      <c r="J2" s="2" t="s">
        <v>55</v>
      </c>
      <c r="K2" s="3">
        <f t="shared" ref="K2:K38" si="0">ss_water(I2,J2)</f>
        <v>0.75</v>
      </c>
      <c r="L2" s="2" t="str">
        <f t="shared" ref="L2:L38" si="1">D2&amp;" "&amp;E2&amp;" 번지"</f>
        <v>오산리 '452 번지</v>
      </c>
      <c r="M2" s="3"/>
      <c r="N2" s="3"/>
      <c r="O2" s="3"/>
      <c r="R2" s="2" t="s">
        <v>144</v>
      </c>
    </row>
    <row r="3" spans="1:18" ht="21.75" customHeight="1" x14ac:dyDescent="0.3">
      <c r="A3" s="2" t="s">
        <v>6</v>
      </c>
      <c r="B3" s="1" t="s">
        <v>4</v>
      </c>
      <c r="C3" s="2" t="s">
        <v>141</v>
      </c>
      <c r="D3" s="2" t="s">
        <v>142</v>
      </c>
      <c r="E3" s="2" t="s">
        <v>222</v>
      </c>
      <c r="F3" s="2">
        <v>18</v>
      </c>
      <c r="G3" s="2">
        <v>50</v>
      </c>
      <c r="H3" s="2">
        <v>0.3</v>
      </c>
      <c r="I3" s="2">
        <v>20</v>
      </c>
      <c r="J3" s="2" t="s">
        <v>55</v>
      </c>
      <c r="K3" s="3">
        <f t="shared" si="0"/>
        <v>0.75</v>
      </c>
      <c r="L3" s="2" t="str">
        <f t="shared" si="1"/>
        <v>오산리 '451 번지</v>
      </c>
      <c r="M3" s="3"/>
      <c r="N3" s="3"/>
      <c r="O3" s="3"/>
      <c r="R3" s="2" t="s">
        <v>144</v>
      </c>
    </row>
    <row r="4" spans="1:18" ht="21.75" customHeight="1" x14ac:dyDescent="0.3">
      <c r="A4" s="2" t="s">
        <v>7</v>
      </c>
      <c r="B4" s="1" t="s">
        <v>4</v>
      </c>
      <c r="C4" s="2" t="s">
        <v>141</v>
      </c>
      <c r="D4" s="2" t="s">
        <v>142</v>
      </c>
      <c r="E4" s="2" t="s">
        <v>223</v>
      </c>
      <c r="F4" s="2">
        <v>25</v>
      </c>
      <c r="G4" s="2">
        <v>50</v>
      </c>
      <c r="H4" s="2">
        <v>0.5</v>
      </c>
      <c r="I4" s="2">
        <v>20</v>
      </c>
      <c r="J4" s="2" t="s">
        <v>55</v>
      </c>
      <c r="K4" s="3">
        <f t="shared" si="0"/>
        <v>0.75</v>
      </c>
      <c r="L4" s="2" t="str">
        <f t="shared" si="1"/>
        <v>오산리 '133-2 번지</v>
      </c>
      <c r="M4" s="3"/>
      <c r="N4" s="3"/>
      <c r="O4" s="3"/>
      <c r="R4" s="2" t="s">
        <v>144</v>
      </c>
    </row>
    <row r="5" spans="1:18" ht="21.75" customHeight="1" x14ac:dyDescent="0.3">
      <c r="A5" s="2" t="s">
        <v>8</v>
      </c>
      <c r="B5" s="1" t="s">
        <v>4</v>
      </c>
      <c r="C5" s="2" t="s">
        <v>141</v>
      </c>
      <c r="D5" s="2" t="s">
        <v>142</v>
      </c>
      <c r="E5" s="2" t="s">
        <v>224</v>
      </c>
      <c r="F5" s="2">
        <v>8</v>
      </c>
      <c r="G5" s="2">
        <v>25</v>
      </c>
      <c r="H5" s="2">
        <v>0.5</v>
      </c>
      <c r="I5" s="2">
        <v>20</v>
      </c>
      <c r="J5" s="2" t="s">
        <v>55</v>
      </c>
      <c r="K5" s="3">
        <f t="shared" si="0"/>
        <v>0.75</v>
      </c>
      <c r="L5" s="2" t="str">
        <f t="shared" si="1"/>
        <v>오산리 '439 번지</v>
      </c>
      <c r="M5" s="3"/>
      <c r="N5" s="3"/>
      <c r="O5" s="3"/>
      <c r="R5" s="2" t="s">
        <v>144</v>
      </c>
    </row>
    <row r="6" spans="1:18" ht="21.75" customHeight="1" x14ac:dyDescent="0.3">
      <c r="A6" s="2" t="s">
        <v>16</v>
      </c>
      <c r="B6" s="1" t="s">
        <v>4</v>
      </c>
      <c r="C6" s="2" t="s">
        <v>141</v>
      </c>
      <c r="D6" s="2" t="s">
        <v>142</v>
      </c>
      <c r="E6" s="2" t="s">
        <v>225</v>
      </c>
      <c r="F6" s="2">
        <v>20</v>
      </c>
      <c r="G6" s="2">
        <v>50</v>
      </c>
      <c r="H6" s="2">
        <v>0.3</v>
      </c>
      <c r="I6" s="2">
        <v>20</v>
      </c>
      <c r="J6" s="2" t="s">
        <v>56</v>
      </c>
      <c r="K6" s="3">
        <f t="shared" si="0"/>
        <v>3.61</v>
      </c>
      <c r="L6" s="2" t="str">
        <f t="shared" si="1"/>
        <v>오산리 '430 번지</v>
      </c>
      <c r="M6" s="3"/>
      <c r="N6" s="3"/>
      <c r="O6" s="3"/>
      <c r="R6" s="2" t="s">
        <v>144</v>
      </c>
    </row>
    <row r="7" spans="1:18" ht="21.75" customHeight="1" x14ac:dyDescent="0.3">
      <c r="A7" s="2" t="s">
        <v>17</v>
      </c>
      <c r="B7" s="1" t="s">
        <v>4</v>
      </c>
      <c r="C7" s="2" t="s">
        <v>141</v>
      </c>
      <c r="D7" s="2" t="s">
        <v>142</v>
      </c>
      <c r="E7" s="2" t="s">
        <v>226</v>
      </c>
      <c r="F7" s="2">
        <v>20</v>
      </c>
      <c r="G7" s="2">
        <v>50</v>
      </c>
      <c r="H7" s="2">
        <v>0.3</v>
      </c>
      <c r="I7" s="2">
        <v>20</v>
      </c>
      <c r="J7" s="2" t="s">
        <v>55</v>
      </c>
      <c r="K7" s="3">
        <f t="shared" si="0"/>
        <v>0.75</v>
      </c>
      <c r="L7" s="2" t="str">
        <f t="shared" si="1"/>
        <v>오산리 '427 번지</v>
      </c>
      <c r="M7" s="3"/>
      <c r="N7" s="3"/>
      <c r="O7" s="3"/>
      <c r="R7" s="2" t="s">
        <v>144</v>
      </c>
    </row>
    <row r="8" spans="1:18" ht="21.75" customHeight="1" x14ac:dyDescent="0.3">
      <c r="A8" s="2" t="s">
        <v>18</v>
      </c>
      <c r="B8" s="1" t="s">
        <v>4</v>
      </c>
      <c r="C8" s="2" t="s">
        <v>141</v>
      </c>
      <c r="D8" s="2" t="s">
        <v>142</v>
      </c>
      <c r="E8" s="2" t="s">
        <v>227</v>
      </c>
      <c r="F8" s="2">
        <v>18</v>
      </c>
      <c r="G8" s="2">
        <v>25</v>
      </c>
      <c r="H8" s="2">
        <v>0.5</v>
      </c>
      <c r="I8" s="2">
        <v>0</v>
      </c>
      <c r="J8" s="2" t="s">
        <v>55</v>
      </c>
      <c r="K8" s="3">
        <f t="shared" si="0"/>
        <v>0.75</v>
      </c>
      <c r="L8" s="2" t="str">
        <f t="shared" si="1"/>
        <v>오산리 '416 번지</v>
      </c>
      <c r="M8" s="3"/>
      <c r="N8" s="3"/>
      <c r="O8" s="3"/>
      <c r="R8" s="2" t="s">
        <v>144</v>
      </c>
    </row>
    <row r="9" spans="1:18" ht="21.75" customHeight="1" x14ac:dyDescent="0.3">
      <c r="A9" s="2" t="s">
        <v>19</v>
      </c>
      <c r="B9" s="1" t="s">
        <v>4</v>
      </c>
      <c r="C9" s="2" t="s">
        <v>141</v>
      </c>
      <c r="D9" s="2" t="s">
        <v>142</v>
      </c>
      <c r="E9" s="2" t="s">
        <v>108</v>
      </c>
      <c r="F9" s="2">
        <v>20</v>
      </c>
      <c r="G9" s="2">
        <v>50</v>
      </c>
      <c r="H9" s="2">
        <v>0.5</v>
      </c>
      <c r="I9" s="2">
        <v>20</v>
      </c>
      <c r="J9" s="2" t="s">
        <v>55</v>
      </c>
      <c r="K9" s="3">
        <f t="shared" si="0"/>
        <v>0.75</v>
      </c>
      <c r="L9" s="2" t="str">
        <f t="shared" si="1"/>
        <v>오산리 '415 번지</v>
      </c>
      <c r="M9" s="3"/>
      <c r="N9" s="3"/>
      <c r="O9" s="3"/>
      <c r="R9" s="2" t="s">
        <v>144</v>
      </c>
    </row>
    <row r="10" spans="1:18" ht="21.75" customHeight="1" x14ac:dyDescent="0.3">
      <c r="A10" s="2" t="s">
        <v>20</v>
      </c>
      <c r="B10" s="1" t="s">
        <v>4</v>
      </c>
      <c r="C10" s="2" t="s">
        <v>141</v>
      </c>
      <c r="D10" s="2" t="s">
        <v>142</v>
      </c>
      <c r="E10" s="2" t="s">
        <v>228</v>
      </c>
      <c r="F10" s="2">
        <v>6</v>
      </c>
      <c r="G10" s="2">
        <v>25</v>
      </c>
      <c r="H10" s="2">
        <v>2.5</v>
      </c>
      <c r="I10" s="2">
        <v>20</v>
      </c>
      <c r="J10" s="2" t="s">
        <v>55</v>
      </c>
      <c r="K10" s="3">
        <f t="shared" si="0"/>
        <v>0.75</v>
      </c>
      <c r="L10" s="2" t="str">
        <f t="shared" si="1"/>
        <v>오산리 '409 번지</v>
      </c>
      <c r="M10" s="3"/>
      <c r="N10" s="3"/>
      <c r="O10" s="3"/>
      <c r="R10" s="2" t="s">
        <v>144</v>
      </c>
    </row>
    <row r="11" spans="1:18" ht="21.75" customHeight="1" x14ac:dyDescent="0.3">
      <c r="A11" s="2" t="s">
        <v>40</v>
      </c>
      <c r="B11" s="1" t="s">
        <v>4</v>
      </c>
      <c r="C11" s="2" t="s">
        <v>141</v>
      </c>
      <c r="D11" s="2" t="s">
        <v>142</v>
      </c>
      <c r="E11" s="2" t="s">
        <v>229</v>
      </c>
      <c r="F11" s="2">
        <v>15</v>
      </c>
      <c r="G11" s="2">
        <v>40</v>
      </c>
      <c r="H11" s="2">
        <v>0.5</v>
      </c>
      <c r="I11" s="2">
        <v>20</v>
      </c>
      <c r="J11" s="2" t="s">
        <v>55</v>
      </c>
      <c r="K11" s="3">
        <f t="shared" si="0"/>
        <v>0.75</v>
      </c>
      <c r="L11" s="2" t="str">
        <f t="shared" si="1"/>
        <v>오산리 '396 번지</v>
      </c>
      <c r="M11" s="3"/>
      <c r="N11" s="3"/>
      <c r="O11" s="3"/>
      <c r="R11" s="2" t="s">
        <v>144</v>
      </c>
    </row>
    <row r="12" spans="1:18" ht="21.75" customHeight="1" x14ac:dyDescent="0.3">
      <c r="A12" s="2" t="s">
        <v>41</v>
      </c>
      <c r="B12" s="1" t="s">
        <v>4</v>
      </c>
      <c r="C12" s="2" t="s">
        <v>141</v>
      </c>
      <c r="D12" s="2" t="s">
        <v>142</v>
      </c>
      <c r="E12" s="2" t="s">
        <v>230</v>
      </c>
      <c r="F12" s="2">
        <v>18</v>
      </c>
      <c r="G12" s="2">
        <v>50</v>
      </c>
      <c r="H12" s="2">
        <v>0.3</v>
      </c>
      <c r="I12" s="2">
        <v>20</v>
      </c>
      <c r="J12" s="2" t="s">
        <v>55</v>
      </c>
      <c r="K12" s="3">
        <f t="shared" si="0"/>
        <v>0.75</v>
      </c>
      <c r="L12" s="2" t="str">
        <f t="shared" si="1"/>
        <v>오산리 '407 번지</v>
      </c>
      <c r="M12" s="3"/>
      <c r="N12" s="3"/>
      <c r="O12" s="3"/>
      <c r="R12" s="2" t="s">
        <v>144</v>
      </c>
    </row>
    <row r="13" spans="1:18" ht="21.75" customHeight="1" x14ac:dyDescent="0.3">
      <c r="A13" s="2" t="s">
        <v>42</v>
      </c>
      <c r="B13" s="1" t="s">
        <v>4</v>
      </c>
      <c r="C13" s="2" t="s">
        <v>141</v>
      </c>
      <c r="D13" s="2" t="s">
        <v>142</v>
      </c>
      <c r="E13" s="2" t="s">
        <v>231</v>
      </c>
      <c r="F13" s="2">
        <v>18</v>
      </c>
      <c r="G13" s="2">
        <v>50</v>
      </c>
      <c r="H13" s="2">
        <v>0.3</v>
      </c>
      <c r="I13" s="2">
        <v>20</v>
      </c>
      <c r="J13" s="2" t="s">
        <v>55</v>
      </c>
      <c r="K13" s="3">
        <f t="shared" si="0"/>
        <v>0.75</v>
      </c>
      <c r="L13" s="2" t="str">
        <f t="shared" si="1"/>
        <v>오산리 '315 번지</v>
      </c>
      <c r="M13" s="3"/>
      <c r="N13" s="3"/>
      <c r="O13" s="3"/>
      <c r="R13" s="2" t="s">
        <v>144</v>
      </c>
    </row>
    <row r="14" spans="1:18" ht="21.75" customHeight="1" x14ac:dyDescent="0.3">
      <c r="A14" s="2" t="s">
        <v>43</v>
      </c>
      <c r="B14" s="1" t="s">
        <v>4</v>
      </c>
      <c r="C14" s="2" t="s">
        <v>141</v>
      </c>
      <c r="D14" s="2" t="s">
        <v>142</v>
      </c>
      <c r="E14" s="2" t="s">
        <v>233</v>
      </c>
      <c r="F14" s="2">
        <v>200</v>
      </c>
      <c r="G14" s="2">
        <v>250</v>
      </c>
      <c r="H14" s="2">
        <v>10</v>
      </c>
      <c r="I14" s="2">
        <v>205</v>
      </c>
      <c r="J14" s="2" t="s">
        <v>130</v>
      </c>
      <c r="K14" s="3">
        <f t="shared" si="0"/>
        <v>7.19</v>
      </c>
      <c r="L14" s="2" t="str">
        <f t="shared" si="1"/>
        <v>오산리 '312-3 번지</v>
      </c>
      <c r="M14" s="3"/>
      <c r="N14" s="3"/>
      <c r="O14" s="3"/>
      <c r="R14" s="2" t="s">
        <v>144</v>
      </c>
    </row>
    <row r="15" spans="1:18" ht="21.75" customHeight="1" x14ac:dyDescent="0.3">
      <c r="A15" s="2" t="s">
        <v>44</v>
      </c>
      <c r="B15" s="1" t="s">
        <v>4</v>
      </c>
      <c r="C15" s="2" t="s">
        <v>141</v>
      </c>
      <c r="D15" s="2" t="s">
        <v>142</v>
      </c>
      <c r="E15" s="2" t="s">
        <v>234</v>
      </c>
      <c r="F15" s="2">
        <v>30</v>
      </c>
      <c r="G15" s="2">
        <v>20</v>
      </c>
      <c r="H15" s="2">
        <v>1</v>
      </c>
      <c r="I15" s="2">
        <v>25</v>
      </c>
      <c r="J15" s="2" t="s">
        <v>55</v>
      </c>
      <c r="K15" s="3">
        <f t="shared" si="0"/>
        <v>0.75</v>
      </c>
      <c r="L15" s="2" t="str">
        <f t="shared" si="1"/>
        <v>오산리 '343 번지</v>
      </c>
      <c r="M15" s="3"/>
      <c r="N15" s="3"/>
      <c r="O15" s="3"/>
      <c r="R15" s="2" t="s">
        <v>144</v>
      </c>
    </row>
    <row r="16" spans="1:18" ht="21.75" customHeight="1" x14ac:dyDescent="0.3">
      <c r="A16" s="2" t="s">
        <v>45</v>
      </c>
      <c r="B16" s="1" t="s">
        <v>4</v>
      </c>
      <c r="C16" s="2" t="s">
        <v>141</v>
      </c>
      <c r="D16" s="2" t="s">
        <v>142</v>
      </c>
      <c r="E16" s="2" t="s">
        <v>235</v>
      </c>
      <c r="F16" s="2">
        <v>35</v>
      </c>
      <c r="G16" s="2">
        <v>20</v>
      </c>
      <c r="H16" s="2">
        <v>0.5</v>
      </c>
      <c r="I16" s="2">
        <v>25</v>
      </c>
      <c r="J16" s="2" t="s">
        <v>55</v>
      </c>
      <c r="K16" s="3">
        <f t="shared" si="0"/>
        <v>0.75</v>
      </c>
      <c r="L16" s="2" t="str">
        <f t="shared" si="1"/>
        <v>오산리 '300 번지</v>
      </c>
      <c r="M16" s="3"/>
      <c r="N16" s="3"/>
      <c r="O16" s="3"/>
      <c r="R16" s="2" t="s">
        <v>144</v>
      </c>
    </row>
    <row r="17" spans="1:18" ht="21.75" customHeight="1" x14ac:dyDescent="0.3">
      <c r="A17" s="2" t="s">
        <v>46</v>
      </c>
      <c r="B17" s="1" t="s">
        <v>4</v>
      </c>
      <c r="C17" s="2" t="s">
        <v>141</v>
      </c>
      <c r="D17" s="2" t="s">
        <v>142</v>
      </c>
      <c r="E17" s="2" t="s">
        <v>237</v>
      </c>
      <c r="F17" s="2">
        <v>100</v>
      </c>
      <c r="G17" s="2">
        <v>150</v>
      </c>
      <c r="H17" s="2">
        <v>1</v>
      </c>
      <c r="I17" s="2">
        <v>25</v>
      </c>
      <c r="J17" s="2" t="s">
        <v>55</v>
      </c>
      <c r="K17" s="3">
        <f t="shared" si="0"/>
        <v>0.75</v>
      </c>
      <c r="L17" s="2" t="str">
        <f t="shared" si="1"/>
        <v>오산리 '283-1 번지</v>
      </c>
      <c r="M17" s="3"/>
      <c r="N17" s="3"/>
      <c r="O17" s="3"/>
      <c r="R17" s="2" t="s">
        <v>144</v>
      </c>
    </row>
    <row r="18" spans="1:18" ht="21.75" customHeight="1" x14ac:dyDescent="0.3">
      <c r="A18" s="2" t="s">
        <v>47</v>
      </c>
      <c r="B18" s="1" t="s">
        <v>4</v>
      </c>
      <c r="C18" s="2" t="s">
        <v>141</v>
      </c>
      <c r="D18" s="2" t="s">
        <v>142</v>
      </c>
      <c r="E18" s="2" t="s">
        <v>239</v>
      </c>
      <c r="F18" s="2">
        <v>20</v>
      </c>
      <c r="G18" s="2">
        <v>50</v>
      </c>
      <c r="H18" s="2">
        <v>0.5</v>
      </c>
      <c r="I18" s="2">
        <v>20</v>
      </c>
      <c r="J18" s="2" t="s">
        <v>55</v>
      </c>
      <c r="K18" s="3">
        <f t="shared" si="0"/>
        <v>0.75</v>
      </c>
      <c r="L18" s="2" t="str">
        <f t="shared" si="1"/>
        <v>오산리 '297-5 번지</v>
      </c>
      <c r="M18" s="3"/>
      <c r="N18" s="3"/>
      <c r="O18" s="3"/>
      <c r="R18" s="2" t="s">
        <v>144</v>
      </c>
    </row>
    <row r="19" spans="1:18" ht="21.75" customHeight="1" x14ac:dyDescent="0.3">
      <c r="A19" s="2" t="s">
        <v>287</v>
      </c>
      <c r="B19" s="1" t="s">
        <v>4</v>
      </c>
      <c r="C19" s="2" t="s">
        <v>141</v>
      </c>
      <c r="D19" s="2" t="s">
        <v>142</v>
      </c>
      <c r="E19" s="2" t="s">
        <v>241</v>
      </c>
      <c r="F19" s="2">
        <v>30</v>
      </c>
      <c r="G19" s="2">
        <v>16</v>
      </c>
      <c r="H19" s="2">
        <v>0.5</v>
      </c>
      <c r="I19" s="2">
        <v>25</v>
      </c>
      <c r="J19" s="2" t="s">
        <v>55</v>
      </c>
      <c r="K19" s="3">
        <f t="shared" si="0"/>
        <v>0.75</v>
      </c>
      <c r="L19" s="2" t="str">
        <f t="shared" si="1"/>
        <v>오산리 '224 번지</v>
      </c>
      <c r="M19" s="3"/>
      <c r="N19" s="3"/>
      <c r="O19" s="3"/>
      <c r="R19" s="2" t="s">
        <v>144</v>
      </c>
    </row>
    <row r="20" spans="1:18" ht="21.75" customHeight="1" x14ac:dyDescent="0.3">
      <c r="A20" s="2" t="s">
        <v>288</v>
      </c>
      <c r="B20" s="1" t="s">
        <v>4</v>
      </c>
      <c r="C20" s="2" t="s">
        <v>141</v>
      </c>
      <c r="D20" s="2" t="s">
        <v>142</v>
      </c>
      <c r="E20" s="2" t="s">
        <v>243</v>
      </c>
      <c r="F20" s="2">
        <v>15</v>
      </c>
      <c r="G20" s="2">
        <v>16</v>
      </c>
      <c r="H20" s="2">
        <v>0.5</v>
      </c>
      <c r="I20" s="2">
        <v>0</v>
      </c>
      <c r="J20" s="2" t="s">
        <v>55</v>
      </c>
      <c r="K20" s="3">
        <f t="shared" si="0"/>
        <v>0.75</v>
      </c>
      <c r="L20" s="2" t="str">
        <f t="shared" si="1"/>
        <v>오산리 '162-2 번지</v>
      </c>
      <c r="M20" s="3"/>
      <c r="N20" s="3"/>
      <c r="O20" s="3"/>
      <c r="R20" s="2" t="s">
        <v>52</v>
      </c>
    </row>
    <row r="21" spans="1:18" ht="21.75" customHeight="1" x14ac:dyDescent="0.3">
      <c r="A21" s="2" t="s">
        <v>289</v>
      </c>
      <c r="B21" s="1" t="s">
        <v>4</v>
      </c>
      <c r="C21" s="2" t="s">
        <v>141</v>
      </c>
      <c r="D21" s="2" t="s">
        <v>142</v>
      </c>
      <c r="E21" s="2" t="s">
        <v>245</v>
      </c>
      <c r="F21" s="2">
        <v>20</v>
      </c>
      <c r="G21" s="2">
        <v>20</v>
      </c>
      <c r="H21" s="2">
        <v>0.5</v>
      </c>
      <c r="I21" s="2">
        <v>0</v>
      </c>
      <c r="J21" s="2" t="s">
        <v>55</v>
      </c>
      <c r="K21" s="3">
        <f t="shared" si="0"/>
        <v>0.75</v>
      </c>
      <c r="L21" s="2" t="str">
        <f t="shared" si="1"/>
        <v>오산리 '150 번지</v>
      </c>
      <c r="M21" s="3"/>
      <c r="N21" s="3"/>
      <c r="O21" s="3"/>
      <c r="R21" s="2" t="s">
        <v>52</v>
      </c>
    </row>
    <row r="22" spans="1:18" ht="21.75" customHeight="1" x14ac:dyDescent="0.3">
      <c r="A22" s="2" t="s">
        <v>290</v>
      </c>
      <c r="B22" s="1" t="s">
        <v>4</v>
      </c>
      <c r="C22" s="2" t="s">
        <v>141</v>
      </c>
      <c r="D22" s="2" t="s">
        <v>142</v>
      </c>
      <c r="E22" s="2" t="s">
        <v>248</v>
      </c>
      <c r="F22" s="2">
        <v>18</v>
      </c>
      <c r="G22" s="2">
        <v>50</v>
      </c>
      <c r="H22" s="2">
        <v>0.3</v>
      </c>
      <c r="I22" s="2">
        <v>20</v>
      </c>
      <c r="J22" s="2" t="s">
        <v>55</v>
      </c>
      <c r="K22" s="3">
        <f t="shared" si="0"/>
        <v>0.75</v>
      </c>
      <c r="L22" s="2" t="str">
        <f t="shared" si="1"/>
        <v>오산리 '151-2 번지</v>
      </c>
      <c r="M22" s="3"/>
      <c r="N22" s="3"/>
      <c r="O22" s="3"/>
      <c r="R22" s="2" t="s">
        <v>52</v>
      </c>
    </row>
    <row r="23" spans="1:18" ht="21.75" customHeight="1" x14ac:dyDescent="0.3">
      <c r="A23" s="2" t="s">
        <v>291</v>
      </c>
      <c r="B23" s="1" t="s">
        <v>4</v>
      </c>
      <c r="C23" s="2" t="s">
        <v>141</v>
      </c>
      <c r="D23" s="2" t="s">
        <v>142</v>
      </c>
      <c r="E23" s="2" t="s">
        <v>250</v>
      </c>
      <c r="F23" s="2">
        <v>18</v>
      </c>
      <c r="G23" s="2">
        <v>50</v>
      </c>
      <c r="H23" s="2">
        <v>0.3</v>
      </c>
      <c r="I23" s="2">
        <v>20</v>
      </c>
      <c r="J23" s="2" t="s">
        <v>55</v>
      </c>
      <c r="K23" s="3">
        <f t="shared" si="0"/>
        <v>0.75</v>
      </c>
      <c r="L23" s="2" t="str">
        <f t="shared" si="1"/>
        <v>오산리 '151-1 번지</v>
      </c>
      <c r="M23" s="3"/>
      <c r="N23" s="3"/>
      <c r="O23" s="3"/>
      <c r="R23" s="2" t="s">
        <v>52</v>
      </c>
    </row>
    <row r="24" spans="1:18" ht="21.75" customHeight="1" x14ac:dyDescent="0.3">
      <c r="A24" s="2" t="s">
        <v>292</v>
      </c>
      <c r="B24" s="1" t="s">
        <v>4</v>
      </c>
      <c r="C24" s="2" t="s">
        <v>141</v>
      </c>
      <c r="D24" s="2" t="s">
        <v>142</v>
      </c>
      <c r="E24" s="2" t="s">
        <v>253</v>
      </c>
      <c r="F24" s="2">
        <v>60</v>
      </c>
      <c r="G24" s="2">
        <v>40</v>
      </c>
      <c r="H24" s="2">
        <v>2</v>
      </c>
      <c r="I24" s="2">
        <v>15</v>
      </c>
      <c r="J24" s="2" t="s">
        <v>55</v>
      </c>
      <c r="K24" s="3">
        <f t="shared" si="0"/>
        <v>0.75</v>
      </c>
      <c r="L24" s="2" t="str">
        <f t="shared" si="1"/>
        <v>오산리 '176-1 번지</v>
      </c>
      <c r="M24" s="3"/>
      <c r="N24" s="3"/>
      <c r="O24" s="3"/>
      <c r="R24" s="2" t="s">
        <v>52</v>
      </c>
    </row>
    <row r="25" spans="1:18" ht="21.75" customHeight="1" x14ac:dyDescent="0.3">
      <c r="A25" s="2" t="s">
        <v>293</v>
      </c>
      <c r="B25" s="1" t="s">
        <v>4</v>
      </c>
      <c r="C25" s="2" t="s">
        <v>141</v>
      </c>
      <c r="D25" s="2" t="s">
        <v>142</v>
      </c>
      <c r="E25" s="2" t="s">
        <v>256</v>
      </c>
      <c r="F25" s="2">
        <v>20</v>
      </c>
      <c r="G25" s="2">
        <v>20</v>
      </c>
      <c r="H25" s="2">
        <v>0.5</v>
      </c>
      <c r="I25" s="2">
        <v>20</v>
      </c>
      <c r="J25" s="2" t="s">
        <v>55</v>
      </c>
      <c r="K25" s="3">
        <f t="shared" si="0"/>
        <v>0.75</v>
      </c>
      <c r="L25" s="2" t="str">
        <f t="shared" si="1"/>
        <v>오산리 '173-3 번지</v>
      </c>
      <c r="M25" s="3"/>
      <c r="N25" s="3"/>
      <c r="O25" s="3"/>
      <c r="R25" s="2" t="s">
        <v>52</v>
      </c>
    </row>
    <row r="26" spans="1:18" ht="21.75" customHeight="1" x14ac:dyDescent="0.3">
      <c r="A26" s="2" t="s">
        <v>294</v>
      </c>
      <c r="B26" s="1" t="s">
        <v>4</v>
      </c>
      <c r="C26" s="2" t="s">
        <v>141</v>
      </c>
      <c r="D26" s="2" t="s">
        <v>142</v>
      </c>
      <c r="E26" s="2" t="s">
        <v>258</v>
      </c>
      <c r="F26" s="2">
        <v>20</v>
      </c>
      <c r="G26" s="2">
        <v>20</v>
      </c>
      <c r="H26" s="2">
        <v>0.5</v>
      </c>
      <c r="I26" s="2">
        <v>25</v>
      </c>
      <c r="J26" s="2" t="s">
        <v>55</v>
      </c>
      <c r="K26" s="3">
        <f t="shared" si="0"/>
        <v>0.75</v>
      </c>
      <c r="L26" s="2" t="str">
        <f t="shared" si="1"/>
        <v>오산리 '174 번지</v>
      </c>
      <c r="M26" s="3"/>
      <c r="N26" s="3"/>
      <c r="O26" s="3"/>
      <c r="R26" s="2" t="s">
        <v>52</v>
      </c>
    </row>
    <row r="27" spans="1:18" ht="21.75" customHeight="1" x14ac:dyDescent="0.3">
      <c r="A27" s="2" t="s">
        <v>295</v>
      </c>
      <c r="B27" s="1" t="s">
        <v>4</v>
      </c>
      <c r="C27" s="2" t="s">
        <v>141</v>
      </c>
      <c r="D27" s="2" t="s">
        <v>142</v>
      </c>
      <c r="E27" s="2" t="s">
        <v>260</v>
      </c>
      <c r="F27" s="2">
        <v>10</v>
      </c>
      <c r="G27" s="2">
        <v>20</v>
      </c>
      <c r="H27" s="2">
        <v>0.5</v>
      </c>
      <c r="I27" s="2">
        <v>25</v>
      </c>
      <c r="J27" s="2" t="s">
        <v>55</v>
      </c>
      <c r="K27" s="3">
        <f t="shared" si="0"/>
        <v>0.75</v>
      </c>
      <c r="L27" s="2" t="str">
        <f t="shared" si="1"/>
        <v>오산리 '184 번지</v>
      </c>
      <c r="M27" s="3"/>
      <c r="N27" s="3"/>
      <c r="O27" s="3"/>
      <c r="R27" s="2" t="s">
        <v>52</v>
      </c>
    </row>
    <row r="28" spans="1:18" ht="21.75" customHeight="1" x14ac:dyDescent="0.3">
      <c r="A28" s="2" t="s">
        <v>296</v>
      </c>
      <c r="B28" s="1" t="s">
        <v>4</v>
      </c>
      <c r="C28" s="2" t="s">
        <v>141</v>
      </c>
      <c r="D28" s="2" t="s">
        <v>142</v>
      </c>
      <c r="E28" s="2" t="s">
        <v>262</v>
      </c>
      <c r="F28" s="2">
        <v>30</v>
      </c>
      <c r="G28" s="2">
        <v>20</v>
      </c>
      <c r="H28" s="2">
        <v>0.5</v>
      </c>
      <c r="I28" s="2">
        <v>15</v>
      </c>
      <c r="J28" s="2" t="s">
        <v>55</v>
      </c>
      <c r="K28" s="3">
        <f t="shared" si="0"/>
        <v>0.75</v>
      </c>
      <c r="L28" s="2" t="str">
        <f t="shared" si="1"/>
        <v>오산리 '188 번지</v>
      </c>
      <c r="M28" s="3"/>
      <c r="N28" s="3"/>
      <c r="O28" s="3"/>
      <c r="R28" s="2" t="s">
        <v>52</v>
      </c>
    </row>
    <row r="29" spans="1:18" ht="21.75" customHeight="1" x14ac:dyDescent="0.3">
      <c r="A29" s="2" t="s">
        <v>297</v>
      </c>
      <c r="B29" s="1" t="s">
        <v>4</v>
      </c>
      <c r="C29" s="2" t="s">
        <v>141</v>
      </c>
      <c r="D29" s="2" t="s">
        <v>142</v>
      </c>
      <c r="E29" s="2" t="s">
        <v>265</v>
      </c>
      <c r="F29" s="2">
        <v>15</v>
      </c>
      <c r="G29" s="2">
        <v>40</v>
      </c>
      <c r="H29" s="2">
        <v>0.5</v>
      </c>
      <c r="I29" s="2">
        <v>18</v>
      </c>
      <c r="J29" s="2" t="s">
        <v>55</v>
      </c>
      <c r="K29" s="3">
        <f t="shared" si="0"/>
        <v>0.75</v>
      </c>
      <c r="L29" s="2" t="str">
        <f t="shared" si="1"/>
        <v>오산리 '212-1 번지</v>
      </c>
      <c r="M29" s="3"/>
      <c r="N29" s="3"/>
      <c r="O29" s="3"/>
      <c r="R29" s="2" t="s">
        <v>52</v>
      </c>
    </row>
    <row r="30" spans="1:18" ht="21.75" customHeight="1" x14ac:dyDescent="0.3">
      <c r="A30" s="2" t="s">
        <v>298</v>
      </c>
      <c r="B30" s="1" t="s">
        <v>4</v>
      </c>
      <c r="C30" s="2" t="s">
        <v>141</v>
      </c>
      <c r="D30" s="2" t="s">
        <v>142</v>
      </c>
      <c r="E30" s="2" t="s">
        <v>267</v>
      </c>
      <c r="F30" s="2">
        <v>50</v>
      </c>
      <c r="G30" s="2">
        <v>20</v>
      </c>
      <c r="H30" s="2">
        <v>0.5</v>
      </c>
      <c r="I30" s="2">
        <v>20</v>
      </c>
      <c r="J30" s="2" t="s">
        <v>55</v>
      </c>
      <c r="K30" s="3">
        <f t="shared" si="0"/>
        <v>0.75</v>
      </c>
      <c r="L30" s="2" t="str">
        <f t="shared" si="1"/>
        <v>오산리 '210 번지</v>
      </c>
      <c r="M30" s="3"/>
      <c r="N30" s="3"/>
      <c r="O30" s="3"/>
      <c r="R30" s="2" t="s">
        <v>52</v>
      </c>
    </row>
    <row r="31" spans="1:18" ht="21.75" customHeight="1" x14ac:dyDescent="0.3">
      <c r="A31" s="2" t="s">
        <v>299</v>
      </c>
      <c r="B31" s="1" t="s">
        <v>4</v>
      </c>
      <c r="C31" s="2" t="s">
        <v>141</v>
      </c>
      <c r="D31" s="2" t="s">
        <v>142</v>
      </c>
      <c r="E31" s="2" t="s">
        <v>269</v>
      </c>
      <c r="F31" s="2">
        <v>80</v>
      </c>
      <c r="G31" s="2">
        <v>40</v>
      </c>
      <c r="H31" s="2">
        <v>1</v>
      </c>
      <c r="I31" s="2">
        <v>20</v>
      </c>
      <c r="J31" s="2" t="s">
        <v>55</v>
      </c>
      <c r="K31" s="3">
        <f t="shared" si="0"/>
        <v>0.75</v>
      </c>
      <c r="L31" s="2" t="str">
        <f t="shared" si="1"/>
        <v>오산리 '213 번지</v>
      </c>
      <c r="M31" s="3"/>
      <c r="N31" s="3"/>
      <c r="O31" s="3"/>
      <c r="R31" s="2" t="s">
        <v>52</v>
      </c>
    </row>
    <row r="32" spans="1:18" ht="21.75" customHeight="1" x14ac:dyDescent="0.3">
      <c r="A32" s="2" t="s">
        <v>300</v>
      </c>
      <c r="B32" s="1" t="s">
        <v>4</v>
      </c>
      <c r="C32" s="2" t="s">
        <v>141</v>
      </c>
      <c r="D32" s="2" t="s">
        <v>142</v>
      </c>
      <c r="E32" s="2" t="s">
        <v>272</v>
      </c>
      <c r="F32" s="2">
        <v>80</v>
      </c>
      <c r="G32" s="2">
        <v>150</v>
      </c>
      <c r="H32" s="2">
        <v>1</v>
      </c>
      <c r="I32" s="2">
        <v>62</v>
      </c>
      <c r="J32" s="2" t="s">
        <v>56</v>
      </c>
      <c r="K32" s="3">
        <f t="shared" si="0"/>
        <v>4.58</v>
      </c>
      <c r="L32" s="2" t="str">
        <f t="shared" si="1"/>
        <v>오산리 '44-1 번지</v>
      </c>
      <c r="M32" s="3"/>
      <c r="N32" s="3"/>
      <c r="O32" s="3"/>
      <c r="R32" s="2" t="s">
        <v>52</v>
      </c>
    </row>
    <row r="33" spans="1:18" ht="21.75" customHeight="1" x14ac:dyDescent="0.3">
      <c r="A33" s="2" t="s">
        <v>301</v>
      </c>
      <c r="B33" s="1" t="s">
        <v>4</v>
      </c>
      <c r="C33" s="2" t="s">
        <v>141</v>
      </c>
      <c r="D33" s="2" t="s">
        <v>142</v>
      </c>
      <c r="E33" s="2" t="s">
        <v>274</v>
      </c>
      <c r="F33" s="2">
        <v>100</v>
      </c>
      <c r="G33" s="2">
        <v>150</v>
      </c>
      <c r="H33" s="2">
        <v>1</v>
      </c>
      <c r="I33" s="2">
        <v>70</v>
      </c>
      <c r="J33" s="2" t="s">
        <v>275</v>
      </c>
      <c r="K33" s="3">
        <f t="shared" si="0"/>
        <v>0.75</v>
      </c>
      <c r="L33" s="2" t="str">
        <f t="shared" si="1"/>
        <v>오산리 '55-3 번지</v>
      </c>
      <c r="M33" s="3"/>
      <c r="N33" s="3"/>
      <c r="O33" s="3"/>
      <c r="R33" s="2" t="s">
        <v>52</v>
      </c>
    </row>
    <row r="34" spans="1:18" ht="21.75" customHeight="1" x14ac:dyDescent="0.3">
      <c r="A34" s="2" t="s">
        <v>302</v>
      </c>
      <c r="B34" s="1" t="s">
        <v>4</v>
      </c>
      <c r="C34" s="2" t="s">
        <v>141</v>
      </c>
      <c r="D34" s="2" t="s">
        <v>142</v>
      </c>
      <c r="E34" s="2" t="s">
        <v>278</v>
      </c>
      <c r="F34" s="2">
        <v>20</v>
      </c>
      <c r="G34" s="2">
        <v>50</v>
      </c>
      <c r="H34" s="2">
        <v>0.3</v>
      </c>
      <c r="I34" s="2">
        <v>20</v>
      </c>
      <c r="J34" s="2" t="s">
        <v>55</v>
      </c>
      <c r="K34" s="3">
        <f t="shared" si="0"/>
        <v>0.75</v>
      </c>
      <c r="L34" s="2" t="str">
        <f t="shared" si="1"/>
        <v>오산리 '123-2 번지</v>
      </c>
      <c r="M34" s="3"/>
      <c r="N34" s="3"/>
      <c r="O34" s="3"/>
      <c r="R34" s="2" t="s">
        <v>52</v>
      </c>
    </row>
    <row r="35" spans="1:18" ht="21.75" customHeight="1" x14ac:dyDescent="0.3">
      <c r="A35" s="2" t="s">
        <v>303</v>
      </c>
      <c r="B35" s="1" t="s">
        <v>4</v>
      </c>
      <c r="C35" s="2" t="s">
        <v>141</v>
      </c>
      <c r="D35" s="2" t="s">
        <v>142</v>
      </c>
      <c r="E35" s="2" t="s">
        <v>280</v>
      </c>
      <c r="F35" s="2">
        <v>70</v>
      </c>
      <c r="G35" s="2">
        <v>150</v>
      </c>
      <c r="H35" s="2">
        <v>1</v>
      </c>
      <c r="I35" s="2">
        <v>55</v>
      </c>
      <c r="J35" s="2" t="s">
        <v>55</v>
      </c>
      <c r="K35" s="3">
        <f t="shared" si="0"/>
        <v>0.75</v>
      </c>
      <c r="L35" s="2" t="str">
        <f t="shared" si="1"/>
        <v>오산리 '123-3 번지</v>
      </c>
      <c r="M35" s="3"/>
      <c r="N35" s="3"/>
      <c r="O35" s="3"/>
      <c r="R35" s="2" t="s">
        <v>52</v>
      </c>
    </row>
    <row r="36" spans="1:18" ht="21.75" customHeight="1" x14ac:dyDescent="0.3">
      <c r="A36" s="2" t="s">
        <v>304</v>
      </c>
      <c r="B36" s="1" t="s">
        <v>4</v>
      </c>
      <c r="C36" s="2" t="s">
        <v>141</v>
      </c>
      <c r="D36" s="2" t="s">
        <v>142</v>
      </c>
      <c r="E36" s="2" t="s">
        <v>282</v>
      </c>
      <c r="F36" s="2">
        <v>20</v>
      </c>
      <c r="G36" s="2">
        <v>50</v>
      </c>
      <c r="H36" s="2">
        <v>0.3</v>
      </c>
      <c r="I36" s="2">
        <v>25</v>
      </c>
      <c r="J36" s="2" t="s">
        <v>55</v>
      </c>
      <c r="K36" s="3">
        <f t="shared" si="0"/>
        <v>0.75</v>
      </c>
      <c r="L36" s="2" t="str">
        <f t="shared" si="1"/>
        <v>오산리 '70 번지</v>
      </c>
      <c r="M36" s="3"/>
      <c r="N36" s="3"/>
      <c r="O36" s="3"/>
      <c r="R36" s="2" t="s">
        <v>52</v>
      </c>
    </row>
    <row r="37" spans="1:18" ht="21.75" customHeight="1" x14ac:dyDescent="0.3">
      <c r="A37" s="2" t="s">
        <v>305</v>
      </c>
      <c r="B37" s="1" t="s">
        <v>4</v>
      </c>
      <c r="C37" s="2" t="s">
        <v>141</v>
      </c>
      <c r="D37" s="2" t="s">
        <v>142</v>
      </c>
      <c r="E37" s="2" t="s">
        <v>285</v>
      </c>
      <c r="F37" s="2">
        <v>170</v>
      </c>
      <c r="G37" s="2">
        <v>250</v>
      </c>
      <c r="H37" s="2">
        <v>5</v>
      </c>
      <c r="I37" s="2">
        <v>195</v>
      </c>
      <c r="J37" s="2" t="s">
        <v>130</v>
      </c>
      <c r="K37" s="3">
        <f>ss_water(I37,J37,120)</f>
        <v>7.25</v>
      </c>
      <c r="L37" s="2" t="str">
        <f t="shared" si="1"/>
        <v>오산리 '51 번지</v>
      </c>
      <c r="M37" s="3"/>
      <c r="N37" s="3"/>
      <c r="O37" s="3"/>
      <c r="R37" s="2" t="s">
        <v>52</v>
      </c>
    </row>
    <row r="38" spans="1:18" ht="21.75" customHeight="1" x14ac:dyDescent="0.3">
      <c r="A38" s="2" t="s">
        <v>306</v>
      </c>
      <c r="B38" s="1" t="s">
        <v>4</v>
      </c>
      <c r="C38" s="2" t="s">
        <v>141</v>
      </c>
      <c r="D38" s="2" t="s">
        <v>142</v>
      </c>
      <c r="E38" s="2" t="s">
        <v>218</v>
      </c>
      <c r="F38" s="2">
        <v>100</v>
      </c>
      <c r="G38" s="2">
        <v>150</v>
      </c>
      <c r="H38" s="2">
        <v>1</v>
      </c>
      <c r="I38" s="2">
        <v>50</v>
      </c>
      <c r="J38" s="2" t="s">
        <v>55</v>
      </c>
      <c r="K38" s="3">
        <f t="shared" si="0"/>
        <v>0.75</v>
      </c>
      <c r="L38" s="2" t="str">
        <f t="shared" si="1"/>
        <v>오산리 '62-1 번지</v>
      </c>
      <c r="M38" s="3"/>
      <c r="N38" s="3"/>
      <c r="O38" s="3"/>
      <c r="R38" s="2" t="s">
        <v>52</v>
      </c>
    </row>
    <row r="40" spans="1:18" ht="21.75" customHeight="1" x14ac:dyDescent="0.3">
      <c r="K40" s="2">
        <f>SUM(K2:K39)</f>
        <v>47.38</v>
      </c>
    </row>
    <row r="42" spans="1:18" ht="21.75" customHeight="1" x14ac:dyDescent="0.3">
      <c r="B42" s="11" t="s">
        <v>67</v>
      </c>
      <c r="C42" s="12" t="s">
        <v>65</v>
      </c>
      <c r="D42" s="13" t="s">
        <v>12</v>
      </c>
      <c r="K42" s="4">
        <f>K40+aa!K45+ii!K5</f>
        <v>255.57000000000005</v>
      </c>
    </row>
    <row r="43" spans="1:18" ht="21.75" customHeight="1" x14ac:dyDescent="0.3">
      <c r="B43" s="14" t="s">
        <v>63</v>
      </c>
      <c r="C43" s="15">
        <f ca="1">COUNTIF(SS_INSIDE_AREA,"O")</f>
        <v>19</v>
      </c>
      <c r="D43" s="16">
        <f ca="1">SUMIF(SS_INSIDE_AREA,"O",K2:K17)</f>
        <v>24.58</v>
      </c>
    </row>
    <row r="44" spans="1:18" ht="21.75" customHeight="1" x14ac:dyDescent="0.3">
      <c r="B44" s="14" t="s">
        <v>64</v>
      </c>
      <c r="C44" s="15">
        <f ca="1">COUNTIF(SS_INSIDE_AREA,"X")</f>
        <v>18</v>
      </c>
      <c r="D44" s="16">
        <f ca="1">SUMIF(SS_INSIDE_AREA,"X",K2:K17)</f>
        <v>22.8</v>
      </c>
    </row>
    <row r="45" spans="1:18" ht="21.75" customHeight="1" x14ac:dyDescent="0.3">
      <c r="B45" s="17"/>
      <c r="C45" s="18"/>
      <c r="D45" s="19">
        <f ca="1">SUM(D43:D44)</f>
        <v>47.379999999999995</v>
      </c>
    </row>
    <row r="47" spans="1:18" ht="21.75" customHeight="1" x14ac:dyDescent="0.3">
      <c r="B47" s="11" t="s">
        <v>66</v>
      </c>
      <c r="C47" s="12" t="s">
        <v>65</v>
      </c>
      <c r="D47" s="13" t="s">
        <v>12</v>
      </c>
      <c r="F47" s="11" t="s">
        <v>138</v>
      </c>
      <c r="G47" s="12" t="s">
        <v>65</v>
      </c>
      <c r="H47" s="13" t="s">
        <v>12</v>
      </c>
    </row>
    <row r="48" spans="1:18" ht="21.75" customHeight="1" x14ac:dyDescent="0.3">
      <c r="B48" s="14" t="s">
        <v>63</v>
      </c>
      <c r="C48" s="15">
        <f ca="1">COUNTIF(AA_INSIDE_AREA,"O")</f>
        <v>21</v>
      </c>
      <c r="D48" s="16">
        <f ca="1">aa!D46</f>
        <v>101.63999999999999</v>
      </c>
      <c r="F48" s="14" t="s">
        <v>63</v>
      </c>
      <c r="G48" s="15">
        <f>IF(H48=0,0,COUNTIF(II_INSIDE_AREA,"O"))</f>
        <v>0</v>
      </c>
      <c r="H48" s="16">
        <f>ii!K5</f>
        <v>0</v>
      </c>
    </row>
    <row r="49" spans="2:8" ht="21.75" customHeight="1" x14ac:dyDescent="0.3">
      <c r="B49" s="14" t="s">
        <v>64</v>
      </c>
      <c r="C49" s="15">
        <f ca="1">COUNTIF(AA_INSIDE_AREA,"X")</f>
        <v>21</v>
      </c>
      <c r="D49" s="16">
        <f>aa!D47</f>
        <v>94.500000000000014</v>
      </c>
      <c r="F49" s="14" t="s">
        <v>64</v>
      </c>
      <c r="G49" s="15">
        <v>0</v>
      </c>
      <c r="H49" s="16">
        <v>0</v>
      </c>
    </row>
    <row r="50" spans="2:8" ht="21.75" customHeight="1" x14ac:dyDescent="0.3">
      <c r="B50" s="17"/>
      <c r="C50" s="18"/>
      <c r="D50" s="19">
        <f ca="1">SUM(D48:D49)</f>
        <v>196.14</v>
      </c>
      <c r="F50" s="17"/>
      <c r="G50" s="18"/>
      <c r="H50" s="19"/>
    </row>
    <row r="52" spans="2:8" ht="21.75" customHeight="1" x14ac:dyDescent="0.3">
      <c r="B52" s="11" t="s">
        <v>68</v>
      </c>
      <c r="C52" s="12" t="s">
        <v>65</v>
      </c>
      <c r="D52" s="13" t="s">
        <v>12</v>
      </c>
    </row>
    <row r="53" spans="2:8" ht="21.75" customHeight="1" x14ac:dyDescent="0.3">
      <c r="B53" s="14" t="s">
        <v>63</v>
      </c>
      <c r="C53" s="15">
        <f ca="1">C43+C48+G48</f>
        <v>40</v>
      </c>
      <c r="D53" s="25">
        <f ca="1">D43+D48+H48</f>
        <v>126.21999999999998</v>
      </c>
    </row>
    <row r="54" spans="2:8" ht="21.75" customHeight="1" x14ac:dyDescent="0.3">
      <c r="B54" s="17" t="s">
        <v>64</v>
      </c>
      <c r="C54" s="18">
        <f ca="1">C44+C49+G49</f>
        <v>39</v>
      </c>
      <c r="D54" s="19">
        <f ca="1">D44+D49+H49</f>
        <v>117.30000000000001</v>
      </c>
    </row>
  </sheetData>
  <phoneticPr fontId="19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48"/>
  <sheetViews>
    <sheetView topLeftCell="A2" workbookViewId="0">
      <selection activeCell="L43" sqref="L43"/>
    </sheetView>
  </sheetViews>
  <sheetFormatPr defaultRowHeight="21.75" customHeight="1" x14ac:dyDescent="0.3"/>
  <cols>
    <col min="1" max="1" width="9" style="2"/>
    <col min="2" max="2" width="7.75" style="9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9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60</v>
      </c>
      <c r="Q1" s="2" t="s">
        <v>61</v>
      </c>
      <c r="R1" s="2" t="s">
        <v>49</v>
      </c>
    </row>
    <row r="2" spans="1:18" s="8" customFormat="1" ht="21.75" customHeight="1" x14ac:dyDescent="0.3">
      <c r="A2" s="1" t="s">
        <v>9</v>
      </c>
      <c r="B2" s="1" t="s">
        <v>48</v>
      </c>
      <c r="C2" s="2" t="s">
        <v>141</v>
      </c>
      <c r="D2" s="2" t="s">
        <v>142</v>
      </c>
      <c r="E2" s="2" t="s">
        <v>143</v>
      </c>
      <c r="F2" s="2">
        <v>115</v>
      </c>
      <c r="G2" s="2">
        <v>250</v>
      </c>
      <c r="H2" s="2">
        <v>5</v>
      </c>
      <c r="I2" s="2">
        <v>280</v>
      </c>
      <c r="J2" s="2" t="s">
        <v>53</v>
      </c>
      <c r="K2" s="2">
        <f t="shared" ref="K2:K43" si="0">aa_water(I2,J2)</f>
        <v>9.58</v>
      </c>
      <c r="L2" s="2" t="str">
        <f t="shared" ref="L2:L42" si="1">D2&amp;" "&amp;E2&amp;" 번지"</f>
        <v>오산리 '523 번지</v>
      </c>
      <c r="M2" s="2"/>
      <c r="N2" s="3"/>
      <c r="O2" s="3"/>
      <c r="P2" s="3"/>
      <c r="R2" s="2" t="s">
        <v>144</v>
      </c>
    </row>
    <row r="3" spans="1:18" ht="21.75" customHeight="1" x14ac:dyDescent="0.3">
      <c r="A3" s="2" t="s">
        <v>10</v>
      </c>
      <c r="B3" s="9" t="s">
        <v>4</v>
      </c>
      <c r="C3" s="2" t="s">
        <v>141</v>
      </c>
      <c r="D3" s="2" t="s">
        <v>142</v>
      </c>
      <c r="E3" s="2" t="s">
        <v>146</v>
      </c>
      <c r="F3" s="2">
        <v>100</v>
      </c>
      <c r="G3" s="2">
        <v>250</v>
      </c>
      <c r="H3" s="2">
        <v>7.5</v>
      </c>
      <c r="I3" s="2">
        <v>380</v>
      </c>
      <c r="J3" s="2" t="s">
        <v>53</v>
      </c>
      <c r="K3" s="2">
        <f t="shared" si="0"/>
        <v>10.98</v>
      </c>
      <c r="L3" s="2" t="str">
        <f t="shared" si="1"/>
        <v>오산리 '450-6 번지</v>
      </c>
      <c r="N3" s="3"/>
      <c r="O3" s="3"/>
      <c r="P3" s="3"/>
      <c r="R3" s="2" t="s">
        <v>144</v>
      </c>
    </row>
    <row r="4" spans="1:18" ht="21.75" customHeight="1" x14ac:dyDescent="0.3">
      <c r="A4" s="2" t="s">
        <v>11</v>
      </c>
      <c r="B4" s="9" t="s">
        <v>4</v>
      </c>
      <c r="C4" s="2" t="s">
        <v>141</v>
      </c>
      <c r="D4" s="2" t="s">
        <v>142</v>
      </c>
      <c r="E4" s="2" t="s">
        <v>133</v>
      </c>
      <c r="F4" s="2">
        <v>126</v>
      </c>
      <c r="G4" s="2">
        <v>250</v>
      </c>
      <c r="H4" s="2">
        <v>5</v>
      </c>
      <c r="I4" s="2">
        <v>200</v>
      </c>
      <c r="J4" s="2" t="s">
        <v>51</v>
      </c>
      <c r="K4" s="2">
        <f t="shared" si="0"/>
        <v>10.78</v>
      </c>
      <c r="L4" s="2" t="str">
        <f t="shared" si="1"/>
        <v>오산리 '111-1 번지</v>
      </c>
      <c r="N4" s="3"/>
      <c r="O4" s="3"/>
      <c r="P4" s="3"/>
      <c r="R4" s="2" t="s">
        <v>144</v>
      </c>
    </row>
    <row r="5" spans="1:18" ht="21.75" customHeight="1" x14ac:dyDescent="0.3">
      <c r="A5" s="2" t="s">
        <v>22</v>
      </c>
      <c r="B5" s="9" t="s">
        <v>4</v>
      </c>
      <c r="C5" s="2" t="s">
        <v>141</v>
      </c>
      <c r="D5" s="2" t="s">
        <v>142</v>
      </c>
      <c r="E5" s="2" t="s">
        <v>148</v>
      </c>
      <c r="F5" s="2">
        <v>152</v>
      </c>
      <c r="G5" s="2">
        <v>250</v>
      </c>
      <c r="H5" s="2">
        <v>5</v>
      </c>
      <c r="I5" s="2">
        <v>200</v>
      </c>
      <c r="J5" s="2" t="s">
        <v>51</v>
      </c>
      <c r="K5" s="2">
        <f t="shared" si="0"/>
        <v>10.78</v>
      </c>
      <c r="L5" s="2" t="str">
        <f t="shared" si="1"/>
        <v>오산리 '133-20 번지</v>
      </c>
      <c r="N5" s="3"/>
      <c r="O5" s="3"/>
      <c r="P5" s="3"/>
      <c r="R5" s="2" t="s">
        <v>144</v>
      </c>
    </row>
    <row r="6" spans="1:18" ht="21.75" customHeight="1" x14ac:dyDescent="0.3">
      <c r="A6" s="2" t="s">
        <v>23</v>
      </c>
      <c r="B6" s="9" t="s">
        <v>4</v>
      </c>
      <c r="C6" s="2" t="s">
        <v>141</v>
      </c>
      <c r="D6" s="2" t="s">
        <v>142</v>
      </c>
      <c r="E6" s="2" t="s">
        <v>150</v>
      </c>
      <c r="F6" s="2">
        <v>134</v>
      </c>
      <c r="G6" s="2">
        <v>250</v>
      </c>
      <c r="H6" s="2">
        <v>5</v>
      </c>
      <c r="I6" s="2">
        <v>253</v>
      </c>
      <c r="J6" s="2" t="s">
        <v>53</v>
      </c>
      <c r="K6" s="2">
        <f t="shared" si="0"/>
        <v>9.1999999999999993</v>
      </c>
      <c r="L6" s="2" t="str">
        <f t="shared" si="1"/>
        <v>오산리 '129-4 번지</v>
      </c>
      <c r="N6" s="3"/>
      <c r="O6" s="3"/>
      <c r="P6" s="3"/>
      <c r="R6" s="2" t="s">
        <v>52</v>
      </c>
    </row>
    <row r="7" spans="1:18" ht="21.75" customHeight="1" x14ac:dyDescent="0.3">
      <c r="A7" s="2" t="s">
        <v>25</v>
      </c>
      <c r="B7" s="9" t="s">
        <v>4</v>
      </c>
      <c r="C7" s="2" t="s">
        <v>141</v>
      </c>
      <c r="D7" s="2" t="s">
        <v>142</v>
      </c>
      <c r="E7" s="2" t="s">
        <v>151</v>
      </c>
      <c r="F7" s="2">
        <v>18</v>
      </c>
      <c r="G7" s="2">
        <v>50</v>
      </c>
      <c r="H7" s="2">
        <v>0.3</v>
      </c>
      <c r="I7" s="2">
        <v>20</v>
      </c>
      <c r="J7" s="2" t="s">
        <v>53</v>
      </c>
      <c r="K7" s="2">
        <f t="shared" si="0"/>
        <v>5.94</v>
      </c>
      <c r="L7" s="2" t="str">
        <f t="shared" si="1"/>
        <v>오산리 '417 번지</v>
      </c>
      <c r="N7" s="3"/>
      <c r="O7" s="3"/>
      <c r="P7" s="3"/>
      <c r="R7" s="2" t="s">
        <v>144</v>
      </c>
    </row>
    <row r="8" spans="1:18" ht="21.75" customHeight="1" x14ac:dyDescent="0.3">
      <c r="A8" s="2" t="s">
        <v>26</v>
      </c>
      <c r="B8" s="9" t="s">
        <v>4</v>
      </c>
      <c r="C8" s="2" t="s">
        <v>141</v>
      </c>
      <c r="D8" s="2" t="s">
        <v>142</v>
      </c>
      <c r="E8" s="2" t="s">
        <v>153</v>
      </c>
      <c r="F8" s="2">
        <v>30</v>
      </c>
      <c r="G8" s="2">
        <v>40</v>
      </c>
      <c r="H8" s="2">
        <v>0.5</v>
      </c>
      <c r="I8" s="2">
        <v>25</v>
      </c>
      <c r="J8" s="2" t="s">
        <v>51</v>
      </c>
      <c r="K8" s="2">
        <f t="shared" si="0"/>
        <v>3.08</v>
      </c>
      <c r="L8" s="2" t="str">
        <f t="shared" si="1"/>
        <v>오산리 '424-4 번지</v>
      </c>
      <c r="N8" s="3"/>
      <c r="O8" s="3"/>
      <c r="P8" s="3"/>
      <c r="R8" s="2" t="s">
        <v>144</v>
      </c>
    </row>
    <row r="9" spans="1:18" ht="21.75" customHeight="1" x14ac:dyDescent="0.3">
      <c r="A9" s="2" t="s">
        <v>27</v>
      </c>
      <c r="B9" s="9" t="s">
        <v>4</v>
      </c>
      <c r="C9" s="2" t="s">
        <v>141</v>
      </c>
      <c r="D9" s="2" t="s">
        <v>142</v>
      </c>
      <c r="E9" s="2" t="s">
        <v>154</v>
      </c>
      <c r="F9" s="2">
        <v>25</v>
      </c>
      <c r="G9" s="2">
        <v>50</v>
      </c>
      <c r="H9" s="2">
        <v>1</v>
      </c>
      <c r="I9" s="2">
        <v>25</v>
      </c>
      <c r="J9" s="2" t="s">
        <v>51</v>
      </c>
      <c r="K9" s="2">
        <f t="shared" si="0"/>
        <v>3.08</v>
      </c>
      <c r="L9" s="2" t="str">
        <f t="shared" si="1"/>
        <v>오산리 '424-3 번지</v>
      </c>
      <c r="N9" s="3"/>
      <c r="O9" s="3"/>
      <c r="P9" s="3"/>
      <c r="R9" s="2" t="s">
        <v>144</v>
      </c>
    </row>
    <row r="10" spans="1:18" ht="21.75" customHeight="1" x14ac:dyDescent="0.3">
      <c r="A10" s="2" t="s">
        <v>28</v>
      </c>
      <c r="B10" s="9" t="s">
        <v>4</v>
      </c>
      <c r="C10" s="2" t="s">
        <v>141</v>
      </c>
      <c r="D10" s="2" t="s">
        <v>142</v>
      </c>
      <c r="E10" s="2" t="s">
        <v>155</v>
      </c>
      <c r="F10" s="2">
        <v>20</v>
      </c>
      <c r="G10" s="2">
        <v>50</v>
      </c>
      <c r="H10" s="2">
        <v>0.5</v>
      </c>
      <c r="I10" s="2">
        <v>30</v>
      </c>
      <c r="J10" s="2" t="s">
        <v>51</v>
      </c>
      <c r="K10" s="2">
        <f t="shared" si="0"/>
        <v>3.3</v>
      </c>
      <c r="L10" s="2" t="str">
        <f t="shared" si="1"/>
        <v>오산리 '424-1 번지</v>
      </c>
      <c r="N10" s="3"/>
      <c r="O10" s="3"/>
      <c r="P10" s="3"/>
      <c r="R10" s="2" t="s">
        <v>144</v>
      </c>
    </row>
    <row r="11" spans="1:18" ht="21.75" customHeight="1" x14ac:dyDescent="0.3">
      <c r="A11" s="2" t="s">
        <v>29</v>
      </c>
      <c r="B11" s="9" t="s">
        <v>4</v>
      </c>
      <c r="C11" s="2" t="s">
        <v>141</v>
      </c>
      <c r="D11" s="2" t="s">
        <v>142</v>
      </c>
      <c r="E11" s="2" t="s">
        <v>156</v>
      </c>
      <c r="F11" s="2">
        <v>18</v>
      </c>
      <c r="G11" s="2">
        <v>50</v>
      </c>
      <c r="H11" s="2">
        <v>0.3</v>
      </c>
      <c r="I11" s="2">
        <v>30</v>
      </c>
      <c r="J11" s="2" t="s">
        <v>51</v>
      </c>
      <c r="K11" s="2">
        <f t="shared" si="0"/>
        <v>3.3</v>
      </c>
      <c r="L11" s="2" t="str">
        <f t="shared" si="1"/>
        <v>오산리 '449 번지</v>
      </c>
      <c r="N11" s="3"/>
      <c r="O11" s="3"/>
      <c r="P11" s="3"/>
      <c r="R11" s="2" t="s">
        <v>144</v>
      </c>
    </row>
    <row r="12" spans="1:18" ht="21.75" customHeight="1" x14ac:dyDescent="0.3">
      <c r="A12" s="2" t="s">
        <v>30</v>
      </c>
      <c r="B12" s="9" t="s">
        <v>4</v>
      </c>
      <c r="C12" s="2" t="s">
        <v>141</v>
      </c>
      <c r="D12" s="2" t="s">
        <v>142</v>
      </c>
      <c r="E12" s="2" t="s">
        <v>158</v>
      </c>
      <c r="F12" s="2">
        <v>24</v>
      </c>
      <c r="G12" s="2">
        <v>50</v>
      </c>
      <c r="H12" s="2">
        <v>0.5</v>
      </c>
      <c r="I12" s="2">
        <v>40</v>
      </c>
      <c r="J12" s="2" t="s">
        <v>51</v>
      </c>
      <c r="K12" s="2">
        <f t="shared" si="0"/>
        <v>3.74</v>
      </c>
      <c r="L12" s="2" t="str">
        <f t="shared" si="1"/>
        <v>오산리 '448-4 번지</v>
      </c>
      <c r="N12" s="3"/>
      <c r="O12" s="3"/>
      <c r="P12" s="3"/>
      <c r="R12" s="2" t="s">
        <v>144</v>
      </c>
    </row>
    <row r="13" spans="1:18" ht="21.75" customHeight="1" x14ac:dyDescent="0.3">
      <c r="A13" s="2" t="s">
        <v>31</v>
      </c>
      <c r="B13" s="9" t="s">
        <v>4</v>
      </c>
      <c r="C13" s="2" t="s">
        <v>141</v>
      </c>
      <c r="D13" s="2" t="s">
        <v>142</v>
      </c>
      <c r="E13" s="2" t="s">
        <v>160</v>
      </c>
      <c r="F13" s="2">
        <v>20</v>
      </c>
      <c r="G13" s="2">
        <v>50</v>
      </c>
      <c r="H13" s="2">
        <v>1</v>
      </c>
      <c r="I13" s="2">
        <v>40</v>
      </c>
      <c r="J13" s="2" t="s">
        <v>54</v>
      </c>
      <c r="K13" s="2">
        <f t="shared" si="0"/>
        <v>3.23</v>
      </c>
      <c r="L13" s="2" t="str">
        <f t="shared" si="1"/>
        <v>오산리 '441-4 번지</v>
      </c>
      <c r="N13" s="3"/>
      <c r="O13" s="3"/>
      <c r="P13" s="3"/>
      <c r="R13" s="2" t="s">
        <v>144</v>
      </c>
    </row>
    <row r="14" spans="1:18" ht="21.75" customHeight="1" x14ac:dyDescent="0.3">
      <c r="A14" s="2" t="s">
        <v>32</v>
      </c>
      <c r="B14" s="9" t="s">
        <v>4</v>
      </c>
      <c r="C14" s="2" t="s">
        <v>141</v>
      </c>
      <c r="D14" s="2" t="s">
        <v>142</v>
      </c>
      <c r="E14" s="2" t="s">
        <v>161</v>
      </c>
      <c r="F14" s="2">
        <v>30</v>
      </c>
      <c r="G14" s="2">
        <v>50</v>
      </c>
      <c r="H14" s="2">
        <v>1</v>
      </c>
      <c r="I14" s="2">
        <v>0</v>
      </c>
      <c r="J14" s="2" t="s">
        <v>51</v>
      </c>
      <c r="K14" s="2">
        <f t="shared" si="0"/>
        <v>1.98</v>
      </c>
      <c r="L14" s="2" t="str">
        <f t="shared" si="1"/>
        <v>오산리 '441-3 번지</v>
      </c>
      <c r="N14" s="3"/>
      <c r="O14" s="3"/>
      <c r="P14" s="3"/>
      <c r="R14" s="2" t="s">
        <v>144</v>
      </c>
    </row>
    <row r="15" spans="1:18" ht="21.75" customHeight="1" x14ac:dyDescent="0.3">
      <c r="A15" s="2" t="s">
        <v>33</v>
      </c>
      <c r="B15" s="9" t="s">
        <v>4</v>
      </c>
      <c r="C15" s="2" t="s">
        <v>141</v>
      </c>
      <c r="D15" s="2" t="s">
        <v>142</v>
      </c>
      <c r="E15" s="2" t="s">
        <v>162</v>
      </c>
      <c r="F15" s="2">
        <v>20</v>
      </c>
      <c r="G15" s="2">
        <v>50</v>
      </c>
      <c r="H15" s="2">
        <v>0.5</v>
      </c>
      <c r="I15" s="2">
        <v>40</v>
      </c>
      <c r="J15" s="2" t="s">
        <v>53</v>
      </c>
      <c r="K15" s="2">
        <f t="shared" si="0"/>
        <v>6.22</v>
      </c>
      <c r="L15" s="2" t="str">
        <f t="shared" si="1"/>
        <v>오산리 '441-1 번지</v>
      </c>
      <c r="N15" s="3"/>
      <c r="O15" s="3"/>
      <c r="P15" s="3"/>
      <c r="R15" s="2" t="s">
        <v>144</v>
      </c>
    </row>
    <row r="16" spans="1:18" ht="21.75" customHeight="1" x14ac:dyDescent="0.3">
      <c r="A16" s="2" t="s">
        <v>34</v>
      </c>
      <c r="B16" s="9" t="s">
        <v>4</v>
      </c>
      <c r="C16" s="2" t="s">
        <v>141</v>
      </c>
      <c r="D16" s="2" t="s">
        <v>142</v>
      </c>
      <c r="E16" s="2" t="s">
        <v>164</v>
      </c>
      <c r="F16" s="2">
        <v>18</v>
      </c>
      <c r="G16" s="2">
        <v>20</v>
      </c>
      <c r="H16" s="2">
        <v>0.5</v>
      </c>
      <c r="I16" s="2">
        <v>30</v>
      </c>
      <c r="J16" s="2" t="s">
        <v>54</v>
      </c>
      <c r="K16" s="2">
        <f t="shared" si="0"/>
        <v>3.12</v>
      </c>
      <c r="L16" s="2" t="str">
        <f t="shared" si="1"/>
        <v>오산리 '443-1 번지</v>
      </c>
      <c r="N16" s="3"/>
      <c r="O16" s="3"/>
      <c r="P16" s="3"/>
      <c r="R16" s="2" t="s">
        <v>144</v>
      </c>
    </row>
    <row r="17" spans="1:18" ht="21.75" customHeight="1" x14ac:dyDescent="0.3">
      <c r="A17" s="2" t="s">
        <v>35</v>
      </c>
      <c r="B17" s="9" t="s">
        <v>4</v>
      </c>
      <c r="C17" s="2" t="s">
        <v>141</v>
      </c>
      <c r="D17" s="2" t="s">
        <v>142</v>
      </c>
      <c r="E17" s="2" t="s">
        <v>166</v>
      </c>
      <c r="F17" s="2">
        <v>30</v>
      </c>
      <c r="G17" s="2">
        <v>25</v>
      </c>
      <c r="H17" s="2">
        <v>1</v>
      </c>
      <c r="I17" s="2">
        <v>0</v>
      </c>
      <c r="J17" s="2" t="s">
        <v>51</v>
      </c>
      <c r="K17" s="2">
        <f t="shared" si="0"/>
        <v>1.98</v>
      </c>
      <c r="L17" s="2" t="str">
        <f t="shared" si="1"/>
        <v>오산리 '132-1 번지</v>
      </c>
      <c r="N17" s="3"/>
      <c r="O17" s="3"/>
      <c r="P17" s="3"/>
      <c r="R17" s="2" t="s">
        <v>144</v>
      </c>
    </row>
    <row r="18" spans="1:18" ht="21.75" customHeight="1" x14ac:dyDescent="0.3">
      <c r="A18" s="2" t="s">
        <v>36</v>
      </c>
      <c r="B18" s="9" t="s">
        <v>4</v>
      </c>
      <c r="C18" s="2" t="s">
        <v>141</v>
      </c>
      <c r="D18" s="2" t="s">
        <v>142</v>
      </c>
      <c r="E18" s="2" t="s">
        <v>167</v>
      </c>
      <c r="F18" s="2">
        <v>3.8</v>
      </c>
      <c r="G18" s="2">
        <v>1000</v>
      </c>
      <c r="H18" s="2">
        <v>1</v>
      </c>
      <c r="I18" s="2">
        <v>40</v>
      </c>
      <c r="J18" s="2" t="s">
        <v>53</v>
      </c>
      <c r="K18" s="2">
        <f t="shared" si="0"/>
        <v>6.22</v>
      </c>
      <c r="L18" s="2" t="str">
        <f t="shared" si="1"/>
        <v>오산리 '133-12 번지</v>
      </c>
      <c r="N18" s="3"/>
      <c r="O18" s="3"/>
      <c r="P18" s="3"/>
      <c r="R18" s="2" t="s">
        <v>144</v>
      </c>
    </row>
    <row r="19" spans="1:18" ht="21.75" customHeight="1" x14ac:dyDescent="0.3">
      <c r="A19" s="2" t="s">
        <v>37</v>
      </c>
      <c r="B19" s="9" t="s">
        <v>4</v>
      </c>
      <c r="C19" s="2" t="s">
        <v>141</v>
      </c>
      <c r="D19" s="2" t="s">
        <v>142</v>
      </c>
      <c r="E19" s="2" t="s">
        <v>168</v>
      </c>
      <c r="F19" s="2">
        <v>30</v>
      </c>
      <c r="G19" s="2">
        <v>50</v>
      </c>
      <c r="H19" s="2">
        <v>1</v>
      </c>
      <c r="I19" s="2">
        <v>0</v>
      </c>
      <c r="J19" s="2" t="s">
        <v>51</v>
      </c>
      <c r="K19" s="2">
        <f t="shared" si="0"/>
        <v>1.98</v>
      </c>
      <c r="L19" s="2" t="str">
        <f t="shared" si="1"/>
        <v>오산리 '133-1 번지</v>
      </c>
      <c r="N19" s="3"/>
      <c r="O19" s="3"/>
      <c r="P19" s="3"/>
      <c r="R19" s="2" t="s">
        <v>144</v>
      </c>
    </row>
    <row r="20" spans="1:18" ht="21.75" customHeight="1" x14ac:dyDescent="0.3">
      <c r="A20" s="2" t="s">
        <v>38</v>
      </c>
      <c r="B20" s="9" t="s">
        <v>4</v>
      </c>
      <c r="C20" s="2" t="s">
        <v>141</v>
      </c>
      <c r="D20" s="2" t="s">
        <v>142</v>
      </c>
      <c r="E20" s="2" t="s">
        <v>169</v>
      </c>
      <c r="F20" s="2">
        <v>30</v>
      </c>
      <c r="G20" s="2">
        <v>50</v>
      </c>
      <c r="H20" s="2">
        <v>1</v>
      </c>
      <c r="I20" s="2">
        <v>0</v>
      </c>
      <c r="J20" s="2" t="s">
        <v>51</v>
      </c>
      <c r="K20" s="2">
        <f t="shared" si="0"/>
        <v>1.98</v>
      </c>
      <c r="L20" s="2" t="str">
        <f t="shared" si="1"/>
        <v>오산리 '426 번지</v>
      </c>
      <c r="N20" s="3"/>
      <c r="O20" s="3"/>
      <c r="P20" s="3"/>
      <c r="R20" s="2" t="s">
        <v>144</v>
      </c>
    </row>
    <row r="21" spans="1:18" ht="21.75" customHeight="1" x14ac:dyDescent="0.3">
      <c r="A21" s="2" t="s">
        <v>39</v>
      </c>
      <c r="B21" s="9" t="s">
        <v>4</v>
      </c>
      <c r="C21" s="2" t="s">
        <v>141</v>
      </c>
      <c r="D21" s="2" t="s">
        <v>142</v>
      </c>
      <c r="E21" s="2" t="s">
        <v>171</v>
      </c>
      <c r="F21" s="2">
        <v>60</v>
      </c>
      <c r="G21" s="2">
        <v>150</v>
      </c>
      <c r="H21" s="2">
        <v>1</v>
      </c>
      <c r="I21" s="2">
        <v>40</v>
      </c>
      <c r="J21" s="2" t="s">
        <v>54</v>
      </c>
      <c r="K21" s="2">
        <f t="shared" si="0"/>
        <v>3.23</v>
      </c>
      <c r="L21" s="2" t="str">
        <f t="shared" si="1"/>
        <v>오산리 '314-3 번지</v>
      </c>
      <c r="N21" s="3"/>
      <c r="O21" s="3"/>
      <c r="P21" s="3"/>
      <c r="R21" s="2" t="s">
        <v>144</v>
      </c>
    </row>
    <row r="22" spans="1:18" ht="21.75" customHeight="1" x14ac:dyDescent="0.3">
      <c r="A22" s="2" t="s">
        <v>134</v>
      </c>
      <c r="B22" s="9" t="s">
        <v>4</v>
      </c>
      <c r="C22" s="2" t="s">
        <v>141</v>
      </c>
      <c r="D22" s="2" t="s">
        <v>142</v>
      </c>
      <c r="E22" s="2" t="s">
        <v>172</v>
      </c>
      <c r="F22" s="2">
        <v>22</v>
      </c>
      <c r="G22" s="2">
        <v>50</v>
      </c>
      <c r="H22" s="2">
        <v>0.5</v>
      </c>
      <c r="I22" s="2">
        <v>32</v>
      </c>
      <c r="J22" s="2" t="s">
        <v>53</v>
      </c>
      <c r="K22" s="2">
        <f t="shared" si="0"/>
        <v>6.11</v>
      </c>
      <c r="L22" s="2" t="str">
        <f t="shared" si="1"/>
        <v>오산리 '314-4 번지</v>
      </c>
      <c r="N22" s="3"/>
      <c r="O22" s="3"/>
      <c r="P22" s="3"/>
      <c r="R22" s="2" t="s">
        <v>144</v>
      </c>
    </row>
    <row r="23" spans="1:18" ht="21.75" customHeight="1" x14ac:dyDescent="0.3">
      <c r="A23" s="2" t="s">
        <v>135</v>
      </c>
      <c r="B23" s="9" t="s">
        <v>4</v>
      </c>
      <c r="C23" s="2" t="s">
        <v>141</v>
      </c>
      <c r="D23" s="2" t="s">
        <v>142</v>
      </c>
      <c r="E23" s="2" t="s">
        <v>173</v>
      </c>
      <c r="F23" s="2">
        <v>18</v>
      </c>
      <c r="G23" s="2">
        <v>50</v>
      </c>
      <c r="H23" s="2">
        <v>0.3</v>
      </c>
      <c r="I23" s="2">
        <v>20</v>
      </c>
      <c r="J23" s="2" t="s">
        <v>53</v>
      </c>
      <c r="K23" s="2">
        <f t="shared" si="0"/>
        <v>5.94</v>
      </c>
      <c r="L23" s="2" t="str">
        <f t="shared" si="1"/>
        <v>오산리 '344 번지</v>
      </c>
      <c r="N23" s="3"/>
      <c r="O23" s="3"/>
      <c r="P23" s="3"/>
      <c r="R23" s="2" t="s">
        <v>144</v>
      </c>
    </row>
    <row r="24" spans="1:18" ht="21.75" customHeight="1" x14ac:dyDescent="0.3">
      <c r="A24" s="2" t="s">
        <v>136</v>
      </c>
      <c r="B24" s="9" t="s">
        <v>4</v>
      </c>
      <c r="C24" s="2" t="s">
        <v>141</v>
      </c>
      <c r="D24" s="2" t="s">
        <v>142</v>
      </c>
      <c r="E24" s="2" t="s">
        <v>174</v>
      </c>
      <c r="F24" s="2">
        <v>60</v>
      </c>
      <c r="G24" s="2">
        <v>150</v>
      </c>
      <c r="H24" s="2">
        <v>2</v>
      </c>
      <c r="I24" s="2">
        <v>80</v>
      </c>
      <c r="J24" s="2" t="s">
        <v>54</v>
      </c>
      <c r="K24" s="2">
        <f t="shared" si="0"/>
        <v>3.67</v>
      </c>
      <c r="L24" s="2" t="str">
        <f t="shared" si="1"/>
        <v>오산리 '311 번지</v>
      </c>
      <c r="N24" s="3"/>
      <c r="O24" s="3"/>
      <c r="P24" s="3"/>
      <c r="R24" s="2" t="s">
        <v>52</v>
      </c>
    </row>
    <row r="25" spans="1:18" ht="21.75" customHeight="1" x14ac:dyDescent="0.3">
      <c r="A25" s="2" t="s">
        <v>307</v>
      </c>
      <c r="B25" s="9" t="s">
        <v>4</v>
      </c>
      <c r="C25" s="2" t="s">
        <v>141</v>
      </c>
      <c r="D25" s="2" t="s">
        <v>142</v>
      </c>
      <c r="E25" s="2" t="s">
        <v>177</v>
      </c>
      <c r="F25" s="2">
        <v>100</v>
      </c>
      <c r="G25" s="2">
        <v>150</v>
      </c>
      <c r="H25" s="2">
        <v>1</v>
      </c>
      <c r="I25" s="2">
        <v>43</v>
      </c>
      <c r="J25" s="2" t="s">
        <v>51</v>
      </c>
      <c r="K25" s="2">
        <f t="shared" si="0"/>
        <v>3.87</v>
      </c>
      <c r="L25" s="2" t="str">
        <f t="shared" si="1"/>
        <v>오산리 '137-1 번지</v>
      </c>
      <c r="N25" s="3"/>
      <c r="O25" s="3"/>
      <c r="P25" s="3"/>
      <c r="R25" s="2" t="s">
        <v>52</v>
      </c>
    </row>
    <row r="26" spans="1:18" ht="21.75" customHeight="1" x14ac:dyDescent="0.3">
      <c r="A26" s="2" t="s">
        <v>308</v>
      </c>
      <c r="B26" s="9" t="s">
        <v>4</v>
      </c>
      <c r="C26" s="2" t="s">
        <v>141</v>
      </c>
      <c r="D26" s="2" t="s">
        <v>142</v>
      </c>
      <c r="E26" s="2" t="s">
        <v>179</v>
      </c>
      <c r="F26" s="2">
        <v>25</v>
      </c>
      <c r="G26" s="2">
        <v>50</v>
      </c>
      <c r="H26" s="2">
        <v>1</v>
      </c>
      <c r="I26" s="2">
        <v>15</v>
      </c>
      <c r="J26" s="2" t="s">
        <v>51</v>
      </c>
      <c r="K26" s="2">
        <f t="shared" si="0"/>
        <v>2.64</v>
      </c>
      <c r="L26" s="2" t="str">
        <f t="shared" si="1"/>
        <v>오산리 '138 번지</v>
      </c>
      <c r="N26" s="3"/>
      <c r="O26" s="3"/>
      <c r="P26" s="3"/>
      <c r="R26" s="2" t="s">
        <v>52</v>
      </c>
    </row>
    <row r="27" spans="1:18" ht="21.75" customHeight="1" x14ac:dyDescent="0.3">
      <c r="A27" s="2" t="s">
        <v>309</v>
      </c>
      <c r="B27" s="9" t="s">
        <v>4</v>
      </c>
      <c r="C27" s="2" t="s">
        <v>141</v>
      </c>
      <c r="D27" s="2" t="s">
        <v>142</v>
      </c>
      <c r="E27" s="2" t="s">
        <v>181</v>
      </c>
      <c r="F27" s="2">
        <v>20</v>
      </c>
      <c r="G27" s="2">
        <v>50</v>
      </c>
      <c r="H27" s="2">
        <v>0.5</v>
      </c>
      <c r="I27" s="2">
        <v>40</v>
      </c>
      <c r="J27" s="2" t="s">
        <v>51</v>
      </c>
      <c r="K27" s="2">
        <f t="shared" si="0"/>
        <v>3.74</v>
      </c>
      <c r="L27" s="2" t="str">
        <f t="shared" si="1"/>
        <v>오산리 '522 번지</v>
      </c>
      <c r="N27" s="3"/>
      <c r="O27" s="3"/>
      <c r="P27" s="3"/>
      <c r="R27" s="2" t="s">
        <v>52</v>
      </c>
    </row>
    <row r="28" spans="1:18" ht="21.75" customHeight="1" x14ac:dyDescent="0.3">
      <c r="A28" s="2" t="s">
        <v>310</v>
      </c>
      <c r="B28" s="9" t="s">
        <v>4</v>
      </c>
      <c r="C28" s="2" t="s">
        <v>141</v>
      </c>
      <c r="D28" s="2" t="s">
        <v>142</v>
      </c>
      <c r="E28" s="2" t="s">
        <v>94</v>
      </c>
      <c r="F28" s="2">
        <v>20</v>
      </c>
      <c r="G28" s="2">
        <v>50</v>
      </c>
      <c r="H28" s="2">
        <v>0.3</v>
      </c>
      <c r="I28" s="2">
        <v>30</v>
      </c>
      <c r="J28" s="2" t="s">
        <v>54</v>
      </c>
      <c r="K28" s="2">
        <f t="shared" si="0"/>
        <v>3.12</v>
      </c>
      <c r="L28" s="2" t="str">
        <f t="shared" si="1"/>
        <v>오산리 '136 번지</v>
      </c>
      <c r="N28" s="3"/>
      <c r="O28" s="3"/>
      <c r="P28" s="3"/>
      <c r="R28" s="2" t="s">
        <v>52</v>
      </c>
    </row>
    <row r="29" spans="1:18" ht="21.75" customHeight="1" x14ac:dyDescent="0.3">
      <c r="A29" s="2" t="s">
        <v>311</v>
      </c>
      <c r="B29" s="9" t="s">
        <v>4</v>
      </c>
      <c r="C29" s="2" t="s">
        <v>141</v>
      </c>
      <c r="D29" s="2" t="s">
        <v>142</v>
      </c>
      <c r="E29" s="2" t="s">
        <v>184</v>
      </c>
      <c r="F29" s="2">
        <v>8</v>
      </c>
      <c r="G29" s="2">
        <v>40</v>
      </c>
      <c r="H29" s="2">
        <v>1</v>
      </c>
      <c r="I29" s="2">
        <v>0</v>
      </c>
      <c r="J29" s="2" t="s">
        <v>51</v>
      </c>
      <c r="K29" s="2">
        <f t="shared" si="0"/>
        <v>1.98</v>
      </c>
      <c r="L29" s="2" t="str">
        <f t="shared" si="1"/>
        <v>오산리 '141 번지</v>
      </c>
      <c r="N29" s="3"/>
      <c r="O29" s="3"/>
      <c r="P29" s="3"/>
      <c r="R29" s="2" t="s">
        <v>52</v>
      </c>
    </row>
    <row r="30" spans="1:18" ht="21.75" customHeight="1" x14ac:dyDescent="0.3">
      <c r="A30" s="2" t="s">
        <v>312</v>
      </c>
      <c r="B30" s="9" t="s">
        <v>4</v>
      </c>
      <c r="C30" s="2" t="s">
        <v>141</v>
      </c>
      <c r="D30" s="2" t="s">
        <v>142</v>
      </c>
      <c r="E30" s="2" t="s">
        <v>186</v>
      </c>
      <c r="F30" s="2">
        <v>25</v>
      </c>
      <c r="G30" s="2">
        <v>50</v>
      </c>
      <c r="H30" s="2">
        <v>1</v>
      </c>
      <c r="I30" s="2">
        <v>25</v>
      </c>
      <c r="J30" s="2" t="s">
        <v>51</v>
      </c>
      <c r="K30" s="2">
        <f t="shared" si="0"/>
        <v>3.08</v>
      </c>
      <c r="L30" s="2" t="str">
        <f t="shared" si="1"/>
        <v>오산리 '146 번지</v>
      </c>
      <c r="N30" s="3"/>
      <c r="O30" s="3"/>
      <c r="P30" s="3"/>
      <c r="R30" s="2" t="s">
        <v>52</v>
      </c>
    </row>
    <row r="31" spans="1:18" ht="21.75" customHeight="1" x14ac:dyDescent="0.3">
      <c r="A31" s="2" t="s">
        <v>313</v>
      </c>
      <c r="B31" s="9" t="s">
        <v>4</v>
      </c>
      <c r="C31" s="2" t="s">
        <v>141</v>
      </c>
      <c r="D31" s="2" t="s">
        <v>142</v>
      </c>
      <c r="E31" s="2" t="s">
        <v>189</v>
      </c>
      <c r="F31" s="2">
        <v>100</v>
      </c>
      <c r="G31" s="2">
        <v>150</v>
      </c>
      <c r="H31" s="2">
        <v>1</v>
      </c>
      <c r="I31" s="2">
        <v>50</v>
      </c>
      <c r="J31" s="2" t="s">
        <v>53</v>
      </c>
      <c r="K31" s="2">
        <f t="shared" si="0"/>
        <v>6.36</v>
      </c>
      <c r="L31" s="2" t="str">
        <f t="shared" si="1"/>
        <v>오산리 '162-1 번지</v>
      </c>
      <c r="N31" s="3"/>
      <c r="O31" s="3"/>
      <c r="P31" s="3"/>
      <c r="R31" s="2" t="s">
        <v>52</v>
      </c>
    </row>
    <row r="32" spans="1:18" ht="21.75" customHeight="1" x14ac:dyDescent="0.3">
      <c r="A32" s="2" t="s">
        <v>314</v>
      </c>
      <c r="B32" s="9" t="s">
        <v>4</v>
      </c>
      <c r="C32" s="2" t="s">
        <v>141</v>
      </c>
      <c r="D32" s="2" t="s">
        <v>142</v>
      </c>
      <c r="E32" s="2" t="s">
        <v>191</v>
      </c>
      <c r="F32" s="2">
        <v>100</v>
      </c>
      <c r="G32" s="2">
        <v>150</v>
      </c>
      <c r="H32" s="2">
        <v>1</v>
      </c>
      <c r="I32" s="2">
        <v>80</v>
      </c>
      <c r="J32" s="2" t="s">
        <v>53</v>
      </c>
      <c r="K32" s="2">
        <f t="shared" si="0"/>
        <v>6.78</v>
      </c>
      <c r="L32" s="2" t="str">
        <f t="shared" si="1"/>
        <v>오산리 '163 번지</v>
      </c>
      <c r="N32" s="3"/>
      <c r="O32" s="3"/>
      <c r="P32" s="3"/>
      <c r="R32" s="2" t="s">
        <v>52</v>
      </c>
    </row>
    <row r="33" spans="1:18" ht="21.75" customHeight="1" x14ac:dyDescent="0.3">
      <c r="A33" s="2" t="s">
        <v>315</v>
      </c>
      <c r="B33" s="9" t="s">
        <v>4</v>
      </c>
      <c r="C33" s="2" t="s">
        <v>141</v>
      </c>
      <c r="D33" s="2" t="s">
        <v>142</v>
      </c>
      <c r="E33" s="2" t="s">
        <v>193</v>
      </c>
      <c r="F33" s="2">
        <v>18</v>
      </c>
      <c r="G33" s="2">
        <v>50</v>
      </c>
      <c r="H33" s="2">
        <v>0.3</v>
      </c>
      <c r="I33" s="2">
        <v>20</v>
      </c>
      <c r="J33" s="2" t="s">
        <v>53</v>
      </c>
      <c r="K33" s="2">
        <f t="shared" si="0"/>
        <v>5.94</v>
      </c>
      <c r="L33" s="2" t="str">
        <f t="shared" si="1"/>
        <v>오산리 '155-3 번지</v>
      </c>
      <c r="N33" s="3"/>
      <c r="O33" s="3"/>
      <c r="P33" s="3"/>
      <c r="R33" s="2" t="s">
        <v>52</v>
      </c>
    </row>
    <row r="34" spans="1:18" ht="21.75" customHeight="1" x14ac:dyDescent="0.3">
      <c r="A34" s="2" t="s">
        <v>316</v>
      </c>
      <c r="B34" s="9" t="s">
        <v>4</v>
      </c>
      <c r="C34" s="2" t="s">
        <v>141</v>
      </c>
      <c r="D34" s="2" t="s">
        <v>142</v>
      </c>
      <c r="E34" s="2" t="s">
        <v>196</v>
      </c>
      <c r="F34" s="2">
        <v>20</v>
      </c>
      <c r="G34" s="2">
        <v>50</v>
      </c>
      <c r="H34" s="2">
        <v>0.5</v>
      </c>
      <c r="I34" s="2">
        <v>40</v>
      </c>
      <c r="J34" s="2" t="s">
        <v>51</v>
      </c>
      <c r="K34" s="2">
        <f t="shared" si="0"/>
        <v>3.74</v>
      </c>
      <c r="L34" s="2" t="str">
        <f t="shared" si="1"/>
        <v>오산리 '197-1 번지</v>
      </c>
      <c r="N34" s="3"/>
      <c r="O34" s="3"/>
      <c r="P34" s="3"/>
      <c r="R34" s="2" t="s">
        <v>52</v>
      </c>
    </row>
    <row r="35" spans="1:18" ht="21.75" customHeight="1" x14ac:dyDescent="0.3">
      <c r="A35" s="2" t="s">
        <v>317</v>
      </c>
      <c r="B35" s="9" t="s">
        <v>4</v>
      </c>
      <c r="C35" s="2" t="s">
        <v>141</v>
      </c>
      <c r="D35" s="2" t="s">
        <v>142</v>
      </c>
      <c r="E35" s="2" t="s">
        <v>198</v>
      </c>
      <c r="F35" s="2">
        <v>20</v>
      </c>
      <c r="G35" s="2">
        <v>150</v>
      </c>
      <c r="H35" s="2">
        <v>0.5</v>
      </c>
      <c r="I35" s="2">
        <v>40</v>
      </c>
      <c r="J35" s="2" t="s">
        <v>53</v>
      </c>
      <c r="K35" s="2">
        <f t="shared" si="0"/>
        <v>6.22</v>
      </c>
      <c r="L35" s="2" t="str">
        <f t="shared" si="1"/>
        <v>오산리 '179 번지</v>
      </c>
      <c r="N35" s="3"/>
      <c r="O35" s="3"/>
      <c r="P35" s="3"/>
      <c r="R35" s="2" t="s">
        <v>52</v>
      </c>
    </row>
    <row r="36" spans="1:18" ht="21.75" customHeight="1" x14ac:dyDescent="0.3">
      <c r="A36" s="2" t="s">
        <v>318</v>
      </c>
      <c r="B36" s="9" t="s">
        <v>4</v>
      </c>
      <c r="C36" s="2" t="s">
        <v>141</v>
      </c>
      <c r="D36" s="2" t="s">
        <v>142</v>
      </c>
      <c r="E36" s="2" t="s">
        <v>201</v>
      </c>
      <c r="F36" s="2">
        <v>20</v>
      </c>
      <c r="G36" s="2">
        <v>50</v>
      </c>
      <c r="H36" s="2">
        <v>1</v>
      </c>
      <c r="I36" s="2">
        <v>40</v>
      </c>
      <c r="J36" s="2" t="s">
        <v>53</v>
      </c>
      <c r="K36" s="2">
        <f t="shared" si="0"/>
        <v>6.22</v>
      </c>
      <c r="L36" s="2" t="str">
        <f t="shared" si="1"/>
        <v>오산리 '177-2 번지</v>
      </c>
      <c r="N36" s="3"/>
      <c r="O36" s="3"/>
      <c r="P36" s="3"/>
      <c r="R36" s="2" t="s">
        <v>52</v>
      </c>
    </row>
    <row r="37" spans="1:18" ht="21.75" customHeight="1" x14ac:dyDescent="0.3">
      <c r="A37" s="2" t="s">
        <v>319</v>
      </c>
      <c r="B37" s="9" t="s">
        <v>4</v>
      </c>
      <c r="C37" s="2" t="s">
        <v>141</v>
      </c>
      <c r="D37" s="2" t="s">
        <v>142</v>
      </c>
      <c r="E37" s="2" t="s">
        <v>204</v>
      </c>
      <c r="F37" s="2">
        <v>100</v>
      </c>
      <c r="G37" s="2">
        <v>150</v>
      </c>
      <c r="H37" s="2">
        <v>1</v>
      </c>
      <c r="I37" s="2">
        <v>90</v>
      </c>
      <c r="J37" s="2" t="s">
        <v>51</v>
      </c>
      <c r="K37" s="2">
        <f t="shared" si="0"/>
        <v>5.94</v>
      </c>
      <c r="L37" s="2" t="str">
        <f t="shared" si="1"/>
        <v>오산리 '219-1 번지</v>
      </c>
      <c r="N37" s="3"/>
      <c r="O37" s="3"/>
      <c r="P37" s="3"/>
      <c r="R37" s="2" t="s">
        <v>52</v>
      </c>
    </row>
    <row r="38" spans="1:18" ht="21.75" customHeight="1" x14ac:dyDescent="0.3">
      <c r="A38" s="2" t="s">
        <v>320</v>
      </c>
      <c r="B38" s="9" t="s">
        <v>4</v>
      </c>
      <c r="C38" s="2" t="s">
        <v>141</v>
      </c>
      <c r="D38" s="2" t="s">
        <v>142</v>
      </c>
      <c r="E38" s="2" t="s">
        <v>207</v>
      </c>
      <c r="F38" s="2">
        <v>20</v>
      </c>
      <c r="G38" s="2">
        <v>50</v>
      </c>
      <c r="H38" s="2">
        <v>0.5</v>
      </c>
      <c r="I38" s="2">
        <v>40</v>
      </c>
      <c r="J38" s="2" t="s">
        <v>51</v>
      </c>
      <c r="K38" s="2">
        <f t="shared" si="0"/>
        <v>3.74</v>
      </c>
      <c r="L38" s="2" t="str">
        <f t="shared" si="1"/>
        <v>오산리 '189-8 번지</v>
      </c>
      <c r="N38" s="3"/>
      <c r="O38" s="3"/>
      <c r="P38" s="3"/>
      <c r="R38" s="2" t="s">
        <v>52</v>
      </c>
    </row>
    <row r="39" spans="1:18" ht="21.75" customHeight="1" x14ac:dyDescent="0.3">
      <c r="A39" s="2" t="s">
        <v>321</v>
      </c>
      <c r="B39" s="9" t="s">
        <v>4</v>
      </c>
      <c r="C39" s="2" t="s">
        <v>141</v>
      </c>
      <c r="D39" s="2" t="s">
        <v>142</v>
      </c>
      <c r="E39" s="2" t="s">
        <v>210</v>
      </c>
      <c r="F39" s="2">
        <v>100</v>
      </c>
      <c r="G39" s="2">
        <v>50</v>
      </c>
      <c r="H39" s="2">
        <v>3</v>
      </c>
      <c r="I39" s="2">
        <v>20</v>
      </c>
      <c r="J39" s="2" t="s">
        <v>51</v>
      </c>
      <c r="K39" s="2">
        <f t="shared" si="0"/>
        <v>2.86</v>
      </c>
      <c r="L39" s="2" t="str">
        <f t="shared" si="1"/>
        <v>오산리 '34-3 번지</v>
      </c>
      <c r="N39" s="3"/>
      <c r="O39" s="3"/>
      <c r="P39" s="3"/>
      <c r="R39" s="2" t="s">
        <v>52</v>
      </c>
    </row>
    <row r="40" spans="1:18" ht="21.75" customHeight="1" x14ac:dyDescent="0.3">
      <c r="A40" s="2" t="s">
        <v>322</v>
      </c>
      <c r="B40" s="9" t="s">
        <v>4</v>
      </c>
      <c r="C40" s="2" t="s">
        <v>141</v>
      </c>
      <c r="D40" s="2" t="s">
        <v>142</v>
      </c>
      <c r="E40" s="2" t="s">
        <v>213</v>
      </c>
      <c r="F40" s="2">
        <v>100</v>
      </c>
      <c r="G40" s="2">
        <v>150</v>
      </c>
      <c r="H40" s="2">
        <v>1</v>
      </c>
      <c r="I40" s="2">
        <v>29</v>
      </c>
      <c r="J40" s="2" t="s">
        <v>53</v>
      </c>
      <c r="K40" s="2">
        <f t="shared" si="0"/>
        <v>6.07</v>
      </c>
      <c r="L40" s="2" t="str">
        <f t="shared" si="1"/>
        <v>오산리 '55-1 번지</v>
      </c>
      <c r="N40" s="3"/>
      <c r="O40" s="3"/>
      <c r="P40" s="3"/>
      <c r="R40" s="2" t="s">
        <v>52</v>
      </c>
    </row>
    <row r="41" spans="1:18" ht="21.75" customHeight="1" x14ac:dyDescent="0.3">
      <c r="A41" s="2" t="s">
        <v>323</v>
      </c>
      <c r="B41" s="9" t="s">
        <v>4</v>
      </c>
      <c r="C41" s="2" t="s">
        <v>141</v>
      </c>
      <c r="D41" s="2" t="s">
        <v>142</v>
      </c>
      <c r="E41" s="2" t="s">
        <v>215</v>
      </c>
      <c r="F41" s="2">
        <v>100</v>
      </c>
      <c r="G41" s="2">
        <v>150</v>
      </c>
      <c r="H41" s="2">
        <v>1</v>
      </c>
      <c r="I41" s="2">
        <v>29</v>
      </c>
      <c r="J41" s="2" t="s">
        <v>53</v>
      </c>
      <c r="K41" s="2">
        <f t="shared" si="0"/>
        <v>6.07</v>
      </c>
      <c r="L41" s="2" t="str">
        <f t="shared" si="1"/>
        <v>오산리 '55-10 번지</v>
      </c>
      <c r="N41" s="3"/>
      <c r="O41" s="3"/>
      <c r="P41" s="3"/>
      <c r="R41" s="2" t="s">
        <v>52</v>
      </c>
    </row>
    <row r="42" spans="1:18" ht="21.75" customHeight="1" x14ac:dyDescent="0.3">
      <c r="A42" s="2" t="s">
        <v>324</v>
      </c>
      <c r="B42" s="9" t="s">
        <v>4</v>
      </c>
      <c r="C42" s="2" t="s">
        <v>141</v>
      </c>
      <c r="D42" s="2" t="s">
        <v>142</v>
      </c>
      <c r="E42" s="2" t="s">
        <v>286</v>
      </c>
      <c r="F42" s="2">
        <v>100</v>
      </c>
      <c r="G42" s="2">
        <v>150</v>
      </c>
      <c r="H42" s="2">
        <v>1</v>
      </c>
      <c r="I42" s="2">
        <v>50</v>
      </c>
      <c r="J42" s="2" t="s">
        <v>51</v>
      </c>
      <c r="K42" s="2">
        <f t="shared" si="0"/>
        <v>4.18</v>
      </c>
      <c r="L42" s="2" t="str">
        <f t="shared" si="1"/>
        <v>오산리 '123-1 번지</v>
      </c>
      <c r="N42" s="3"/>
      <c r="O42" s="3"/>
      <c r="P42" s="3"/>
      <c r="R42" s="2" t="s">
        <v>52</v>
      </c>
    </row>
    <row r="43" spans="1:18" ht="21.75" customHeight="1" x14ac:dyDescent="0.3">
      <c r="A43" s="2" t="s">
        <v>325</v>
      </c>
      <c r="B43" s="9" t="s">
        <v>4</v>
      </c>
      <c r="C43" s="2" t="s">
        <v>141</v>
      </c>
      <c r="D43" s="2" t="s">
        <v>142</v>
      </c>
      <c r="E43" s="2" t="s">
        <v>220</v>
      </c>
      <c r="F43" s="2">
        <v>100</v>
      </c>
      <c r="G43" s="2">
        <v>150</v>
      </c>
      <c r="H43" s="2">
        <v>1</v>
      </c>
      <c r="I43" s="2">
        <v>40</v>
      </c>
      <c r="J43" s="2" t="s">
        <v>53</v>
      </c>
      <c r="K43" s="2">
        <f t="shared" si="0"/>
        <v>6.22</v>
      </c>
      <c r="L43" s="2" t="str">
        <f>D43&amp;" "&amp;E43&amp;" 번지"</f>
        <v>오산리 '67 번지</v>
      </c>
      <c r="N43" s="3"/>
      <c r="O43" s="3"/>
      <c r="P43" s="3"/>
      <c r="R43" s="2" t="s">
        <v>52</v>
      </c>
    </row>
    <row r="44" spans="1:18" ht="21.75" customHeight="1" x14ac:dyDescent="0.3">
      <c r="K44" s="5"/>
    </row>
    <row r="45" spans="1:18" ht="21.75" customHeight="1" x14ac:dyDescent="0.3">
      <c r="B45" s="20" t="s">
        <v>66</v>
      </c>
      <c r="C45" s="12" t="s">
        <v>65</v>
      </c>
      <c r="D45" s="13" t="s">
        <v>12</v>
      </c>
      <c r="K45" s="24">
        <f>SUM(K2:K44)</f>
        <v>208.19000000000005</v>
      </c>
      <c r="L45" s="10"/>
    </row>
    <row r="46" spans="1:18" ht="21.75" customHeight="1" x14ac:dyDescent="0.3">
      <c r="B46" s="21" t="s">
        <v>63</v>
      </c>
      <c r="C46" s="15">
        <f ca="1">COUNTIF(AA_INSIDE_AREA,"O")</f>
        <v>21</v>
      </c>
      <c r="D46" s="16">
        <f ca="1">SUMIF(AA_INSIDE_AREA,"O",$K$2:$K$24)</f>
        <v>101.63999999999999</v>
      </c>
    </row>
    <row r="47" spans="1:18" ht="21.75" customHeight="1" x14ac:dyDescent="0.3">
      <c r="B47" s="21" t="s">
        <v>64</v>
      </c>
      <c r="C47" s="15">
        <f ca="1">COUNTIF(AA_INSIDE_AREA,"X")</f>
        <v>21</v>
      </c>
      <c r="D47" s="16">
        <f>SUMIF($R$2:$R$21,"X",$K$2:$K$21)</f>
        <v>94.500000000000014</v>
      </c>
    </row>
    <row r="48" spans="1:18" ht="21.75" customHeight="1" x14ac:dyDescent="0.3">
      <c r="B48" s="22"/>
      <c r="C48" s="18"/>
      <c r="D48" s="19">
        <f ca="1">D46+D47</f>
        <v>196.14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L7" sqref="L7"/>
    </sheetView>
  </sheetViews>
  <sheetFormatPr defaultRowHeight="13.5" x14ac:dyDescent="0.3"/>
  <cols>
    <col min="1" max="4" width="9" style="2"/>
    <col min="5" max="5" width="9" style="7"/>
    <col min="6" max="9" width="9" style="2"/>
    <col min="10" max="10" width="11.375" style="2" bestFit="1" customWidth="1"/>
    <col min="11" max="11" width="9" style="2"/>
    <col min="12" max="12" width="19.87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12</v>
      </c>
      <c r="Q1" s="2" t="s">
        <v>61</v>
      </c>
      <c r="R1" s="2" t="s">
        <v>49</v>
      </c>
    </row>
    <row r="2" spans="1:18" ht="18.75" customHeight="1" x14ac:dyDescent="0.3">
      <c r="A2" s="2" t="s">
        <v>24</v>
      </c>
      <c r="B2" s="1" t="s">
        <v>4</v>
      </c>
      <c r="C2" s="2" t="s">
        <v>84</v>
      </c>
      <c r="D2" s="2" t="s">
        <v>85</v>
      </c>
      <c r="E2" s="2" t="s">
        <v>113</v>
      </c>
      <c r="F2" s="2">
        <v>100</v>
      </c>
      <c r="G2" s="2">
        <v>50</v>
      </c>
      <c r="H2" s="2">
        <v>1</v>
      </c>
      <c r="I2" s="2">
        <v>5</v>
      </c>
      <c r="J2" s="2" t="s">
        <v>69</v>
      </c>
      <c r="K2" s="2">
        <v>0</v>
      </c>
      <c r="L2" s="2" t="str">
        <f t="shared" ref="L2:L3" si="0">D2&amp;" "&amp;E2&amp;" 번지"</f>
        <v>안심리 '533-10 번지</v>
      </c>
      <c r="M2" s="2">
        <v>100</v>
      </c>
      <c r="N2" s="2">
        <v>50</v>
      </c>
      <c r="O2" s="2">
        <v>1</v>
      </c>
      <c r="P2" s="2">
        <v>3</v>
      </c>
      <c r="Q2" s="2" t="s">
        <v>70</v>
      </c>
      <c r="R2" s="2" t="s">
        <v>52</v>
      </c>
    </row>
    <row r="3" spans="1:18" ht="18.75" customHeight="1" x14ac:dyDescent="0.3">
      <c r="A3" s="2" t="s">
        <v>137</v>
      </c>
      <c r="B3" s="1" t="s">
        <v>4</v>
      </c>
      <c r="C3" s="2" t="s">
        <v>84</v>
      </c>
      <c r="D3" s="2" t="s">
        <v>85</v>
      </c>
      <c r="E3" s="2" t="s">
        <v>114</v>
      </c>
      <c r="F3" s="2">
        <v>100</v>
      </c>
      <c r="G3" s="2">
        <v>50</v>
      </c>
      <c r="H3" s="2">
        <v>0.5</v>
      </c>
      <c r="I3" s="2">
        <v>3</v>
      </c>
      <c r="J3" s="2" t="s">
        <v>115</v>
      </c>
      <c r="K3" s="2">
        <v>0</v>
      </c>
      <c r="L3" s="2" t="str">
        <f t="shared" si="0"/>
        <v>안심리 '540-6 번지</v>
      </c>
      <c r="M3" s="2">
        <v>100</v>
      </c>
      <c r="N3" s="2">
        <v>50</v>
      </c>
      <c r="O3" s="2">
        <v>0.5</v>
      </c>
      <c r="P3" s="2">
        <v>3</v>
      </c>
      <c r="Q3" s="2" t="s">
        <v>70</v>
      </c>
      <c r="R3" s="2" t="s">
        <v>144</v>
      </c>
    </row>
    <row r="4" spans="1:18" ht="18.75" customHeight="1" x14ac:dyDescent="0.3"/>
    <row r="5" spans="1:18" ht="18.75" customHeight="1" x14ac:dyDescent="0.3">
      <c r="K5" s="2">
        <f>SUM(K2:K4)</f>
        <v>0</v>
      </c>
    </row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m4.오산리 142</vt:lpstr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2020-06-16T08:53:42Z</dcterms:modified>
</cp:coreProperties>
</file>