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5_ihanseol - 2020\00_data\a1_excel reference\"/>
    </mc:Choice>
  </mc:AlternateContent>
  <xr:revisionPtr revIDLastSave="0" documentId="13_ncr:1_{C44F733C-1D80-478C-88FF-F182D9498DAB}" xr6:coauthVersionLast="45" xr6:coauthVersionMax="45" xr10:uidLastSave="{00000000-0000-0000-0000-000000000000}"/>
  <bookViews>
    <workbookView xWindow="-120" yWindow="-120" windowWidth="29040" windowHeight="15840" tabRatio="708" firstSheet="2" activeTab="5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d3_janggi_02" sheetId="34" r:id="rId12"/>
    <sheet name="Recover.Select" sheetId="22" r:id="rId13"/>
    <sheet name="w1" sheetId="33" r:id="rId14"/>
    <sheet name="시추주상" sheetId="23" state="hidden" r:id="rId15"/>
  </sheets>
  <functionGroups builtInGroupCount="19"/>
  <externalReferences>
    <externalReference r:id="rId16"/>
    <externalReference r:id="rId17"/>
  </externalReferences>
  <definedNames>
    <definedName name="allow_ratio">[1]Recharge!$C$27</definedName>
    <definedName name="baseTemp" localSheetId="13">'w1'!$C$7</definedName>
    <definedName name="baseTemp">#REF!</definedName>
    <definedName name="gongbun">REF!$D$4:$D$9</definedName>
    <definedName name="gongbun2">REF!$E$4:$E$9</definedName>
    <definedName name="max" localSheetId="13">[2]지하수함양량!$C$30</definedName>
    <definedName name="max">[1]Recharge!$C$26</definedName>
    <definedName name="min" localSheetId="13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3">[2]지하수함양량!$C$32</definedName>
    <definedName name="rf_1">[1]Recharge!$C$29</definedName>
    <definedName name="rf_2" localSheetId="13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27" l="1"/>
  <c r="H27" i="27" l="1"/>
  <c r="A27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B24" i="34"/>
  <c r="A19" i="34"/>
  <c r="A18" i="34"/>
  <c r="A15" i="34"/>
  <c r="A26" i="34" s="1"/>
  <c r="A7" i="34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22" i="27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5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Y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O17" i="3" s="1"/>
  <c r="O18" i="3" s="1"/>
  <c r="O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Y60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Y80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82" i="3"/>
  <c r="Y78" i="3"/>
  <c r="Y74" i="3"/>
  <c r="Y70" i="3"/>
  <c r="Y65" i="3"/>
  <c r="Y58" i="3"/>
  <c r="Y61" i="3"/>
  <c r="Y52" i="3"/>
  <c r="Y48" i="3"/>
  <c r="Y44" i="3"/>
  <c r="Y43" i="3"/>
  <c r="Y32" i="3"/>
  <c r="Y27" i="3"/>
  <c r="Y25" i="3"/>
  <c r="Y7" i="3"/>
  <c r="Y83" i="3"/>
  <c r="Y79" i="3"/>
  <c r="Y75" i="3"/>
  <c r="Y71" i="3"/>
  <c r="Y66" i="3"/>
  <c r="Y59" i="3"/>
  <c r="Y55" i="3"/>
  <c r="Y53" i="3"/>
  <c r="Y49" i="3"/>
  <c r="Y45" i="3"/>
  <c r="Y39" i="3"/>
  <c r="Y28" i="3"/>
  <c r="Y24" i="3"/>
  <c r="Y23" i="3"/>
  <c r="Y20" i="3"/>
  <c r="Y19" i="3"/>
  <c r="Y17" i="3"/>
  <c r="Y16" i="3"/>
  <c r="Y6" i="3"/>
  <c r="Y5" i="3"/>
  <c r="Y4" i="3"/>
  <c r="Y81" i="3"/>
  <c r="Y77" i="3"/>
  <c r="Y73" i="3"/>
  <c r="Y68" i="3"/>
  <c r="Y64" i="3"/>
  <c r="Y69" i="3"/>
  <c r="Y62" i="3"/>
  <c r="Y57" i="3"/>
  <c r="Y63" i="3"/>
  <c r="Y51" i="3"/>
  <c r="Y47" i="3"/>
  <c r="Y54" i="3"/>
  <c r="Y42" i="3"/>
  <c r="Y31" i="3"/>
  <c r="Y26" i="3"/>
  <c r="Y11" i="3"/>
  <c r="Y38" i="3"/>
  <c r="Y40" i="3"/>
  <c r="Y33" i="3"/>
  <c r="Y29" i="3"/>
  <c r="Y22" i="3"/>
  <c r="Y21" i="3"/>
  <c r="Y10" i="3"/>
  <c r="Y9" i="3"/>
  <c r="Y8" i="3"/>
  <c r="Y36" i="3"/>
  <c r="Y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Y18" i="3"/>
  <c r="Y30" i="3"/>
  <c r="Y50" i="3"/>
  <c r="Y56" i="3"/>
  <c r="Y67" i="3"/>
  <c r="Y37" i="3"/>
  <c r="Y41" i="3"/>
  <c r="Y46" i="3"/>
  <c r="Y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O20" i="3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B31" i="34" s="1"/>
  <c r="A46" i="1"/>
  <c r="B35" i="1"/>
  <c r="E36" i="3" l="1"/>
  <c r="Z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11" i="3"/>
  <c r="B32" i="34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B33" i="34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B34" i="34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B35" i="34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B36" i="34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B37" i="34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B38" i="34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B39" i="34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B40" i="34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41" i="34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B42" i="34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B43" i="34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B44" i="34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B45" i="34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6" i="34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B47" i="34" s="1"/>
  <c r="AB18" i="3"/>
  <c r="AF19" i="3" l="1"/>
  <c r="G27" i="3" s="1"/>
  <c r="B48" i="34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B49" i="34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B50" i="34" s="1"/>
  <c r="AB21" i="3"/>
  <c r="AC23" i="3" l="1"/>
  <c r="V24" i="3"/>
  <c r="K29" i="3"/>
  <c r="B50" i="21"/>
  <c r="F29" i="3"/>
  <c r="AF22" i="3"/>
  <c r="G30" i="3" s="1"/>
  <c r="B51" i="34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B52" i="34" s="1"/>
  <c r="AF24" i="3" l="1"/>
  <c r="G32" i="3" s="1"/>
  <c r="B53" i="34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B54" i="34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B55" i="34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B56" i="34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B57" i="34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B58" i="34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B59" i="34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B60" i="34" s="1"/>
  <c r="AB31" i="3"/>
  <c r="AF32" i="3" l="1"/>
  <c r="G40" i="3" s="1"/>
  <c r="B61" i="34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B62" i="34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B63" i="34" s="1"/>
  <c r="AB34" i="3"/>
  <c r="V36" i="3"/>
  <c r="AC36" i="3" s="1"/>
  <c r="F41" i="3"/>
  <c r="K41" i="3"/>
  <c r="B62" i="21"/>
  <c r="V37" i="3" l="1"/>
  <c r="AC37" i="3" s="1"/>
  <c r="A91" i="21"/>
  <c r="D71" i="3"/>
  <c r="E70" i="3"/>
  <c r="Z62" i="3" s="1"/>
  <c r="AA62" i="3"/>
  <c r="AE62" i="3" s="1"/>
  <c r="AB35" i="3"/>
  <c r="AF35" i="3"/>
  <c r="G43" i="3" s="1"/>
  <c r="B64" i="34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8" i="3" s="1"/>
  <c r="AC39" i="3" s="1"/>
  <c r="AC40" i="3" s="1"/>
  <c r="AC41" i="3" s="1"/>
  <c r="AB36" i="3"/>
  <c r="AF36" i="3"/>
  <c r="G44" i="3" s="1"/>
  <c r="B65" i="34" s="1"/>
  <c r="E72" i="3" l="1"/>
  <c r="Z64" i="3" s="1"/>
  <c r="D73" i="3"/>
  <c r="AA64" i="3"/>
  <c r="AE64" i="3" s="1"/>
  <c r="A93" i="21"/>
  <c r="AB37" i="3"/>
  <c r="AF37" i="3"/>
  <c r="G45" i="3" s="1"/>
  <c r="B66" i="34" s="1"/>
  <c r="K44" i="3"/>
  <c r="B65" i="21"/>
  <c r="F44" i="3"/>
  <c r="V39" i="3"/>
  <c r="AB39" i="3" s="1"/>
  <c r="V40" i="3" l="1"/>
  <c r="F45" i="3"/>
  <c r="K45" i="3"/>
  <c r="B66" i="21"/>
  <c r="A94" i="21"/>
  <c r="E73" i="3"/>
  <c r="Z65" i="3" s="1"/>
  <c r="D74" i="3"/>
  <c r="AA65" i="3"/>
  <c r="AE65" i="3" s="1"/>
  <c r="AF38" i="3"/>
  <c r="G46" i="3" s="1"/>
  <c r="B67" i="34" s="1"/>
  <c r="AB38" i="3"/>
  <c r="V41" i="3" l="1"/>
  <c r="AC42" i="3" s="1"/>
  <c r="AC43" i="3" s="1"/>
  <c r="AC44" i="3" s="1"/>
  <c r="AC45" i="3" s="1"/>
  <c r="AF39" i="3"/>
  <c r="G47" i="3" s="1"/>
  <c r="B68" i="34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B69" i="34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70" i="34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B71" i="34" s="1"/>
  <c r="V45" i="3" l="1"/>
  <c r="AC46" i="3" s="1"/>
  <c r="AC47" i="3" s="1"/>
  <c r="AB43" i="3"/>
  <c r="AF43" i="3"/>
  <c r="G51" i="3" s="1"/>
  <c r="B72" i="34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B73" i="34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B74" i="34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<sst xmlns="http://schemas.openxmlformats.org/spreadsheetml/2006/main" count="1124" uniqueCount="272">
  <si>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</si>
  <si>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</si>
  <si>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</si>
  <si>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</si>
  <si>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</si>
  <si>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</si>
  <si>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</si>
  <si>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</si>
  <si>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</si>
  <si>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</si>
  <si>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</si>
  <si>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</si>
  <si>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</si>
  <si>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</si>
  <si>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</si>
  <si>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</si>
  <si>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</si>
  <si>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</si>
  <si>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</si>
  <si>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</si>
  <si>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</si>
  <si>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</si>
  <si>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</si>
  <si>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</si>
  <si>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</si>
  <si>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</si>
  <si>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</si>
  <si>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</si>
  <si>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</si>
  <si>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</si>
  <si>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</si>
  <si>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</si>
  <si>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</si>
  <si>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</si>
  <si>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</si>
  <si>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</si>
  <si>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</si>
  <si>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</si>
  <si>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</si>
  <si>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</si>
  <si>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</si>
  <si>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</si>
  <si>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</si>
  <si>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</si>
  <si>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</si>
  <si>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</si>
  <si>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</si>
  <si>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</si>
  <si>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</si>
  <si>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</si>
  <si>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</si>
  <si>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</si>
  <si>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</si>
  <si>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</si>
  <si>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</si>
  <si>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</si>
  <si>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</si>
  <si>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</si>
  <si>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</si>
  <si>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</si>
  <si>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</si>
  <si>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</si>
  <si>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</si>
  <si>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</si>
  <si>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</si>
  <si>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</si>
  <si>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</si>
  <si>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</si>
  <si>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</si>
  <si>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</si>
  <si>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</si>
  <si>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</si>
  <si>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</si>
  <si>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</si>
  <si>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</si>
  <si>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</si>
  <si>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</si>
  <si>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</si>
  <si>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</si>
  <si>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</si>
  <si>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</si>
  <si>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</si>
  <si>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</si>
  <si>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</si>
  <si>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</si>
  <si>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</si>
  <si>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</si>
  <si>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</si>
  <si>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</si>
  <si>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</si>
  <si>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</si>
  <si>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</si>
  <si>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</si>
  <si>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</si>
  <si>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</si>
  <si>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</si>
  <si>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</si>
  <si>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</si>
  <si>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</si>
  <si>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</si>
  <si>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</si>
  <si>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</si>
  <si>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</si>
  <si>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</si>
  <si>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</si>
  <si>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</si>
  <si>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</si>
  <si>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</si>
  <si>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</si>
  <si>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</si>
  <si>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</si>
  <si>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</si>
  <si>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</si>
  <si>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</si>
  <si>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</si>
  <si>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</si>
  <si>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</si>
  <si>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</si>
  <si>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</si>
  <si>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</si>
  <si>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</si>
  <si>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</si>
  <si>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</si>
  <si>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</si>
  <si>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</si>
  <si>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</si>
  <si>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</si>
  <si>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</si>
  <si>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</si>
  <si>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</si>
  <si>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</si>
  <si>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</si>
  <si>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</si>
  <si>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</si>
  <si>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</si>
  <si>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</si>
  <si>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</si>
  <si>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</si>
  <si>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</si>
  <si>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</si>
  <si>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</si>
  <si>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</si>
  <si>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</si>
  <si>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</si>
  <si>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</si>
  <si>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</si>
  <si>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</si>
  <si>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</si>
  <si>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</si>
  <si>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</si>
  <si>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</si>
  <si>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</si>
  <si>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</si>
  <si>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</si>
  <si>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</si>
  <si>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</si>
  <si>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</si>
  <si>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</si>
  <si>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</si>
  <si>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</si>
  <si>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</si>
  <si>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</si>
  <si>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</si>
  <si>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</si>
  <si>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</si>
  <si>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</si>
  <si>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</si>
  <si>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</si>
  <si>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</si>
  <si>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</si>
  <si>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</si>
  <si>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</si>
  <si>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</si>
  <si>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</si>
  <si>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</si>
  <si>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</si>
  <si>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</si>
  <si>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</si>
  <si>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</si>
  <si>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</si>
  <si>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</si>
  <si>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</si>
  <si>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</si>
  <si>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</si>
  <si>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</si>
  <si>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</si>
  <si>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</si>
  <si>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</si>
  <si>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</si>
  <si>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</si>
  <si>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</si>
  <si>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</si>
  <si>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</si>
  <si>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</si>
  <si>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</si>
  <si>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</si>
  <si>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</si>
  <si>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</si>
  <si>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</si>
  <si>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</si>
  <si>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</si>
  <si>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</si>
  <si>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</si>
  <si>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</si>
  <si>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</si>
  <si>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</si>
  <si>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</si>
  <si>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</si>
  <si>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</si>
  <si>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</si>
  <si>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</si>
  <si>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</si>
  <si>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</si>
  <si>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</si>
  <si>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</si>
  <si>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</si>
  <si>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</si>
  <si>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</si>
  <si>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</si>
  <si>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</si>
  <si>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</si>
  <si>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</si>
  <si>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</si>
  <si>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</si>
  <si>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</si>
  <si>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</si>
  <si>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</si>
  <si>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</si>
  <si>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</si>
  <si>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</si>
  <si>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</si>
  <si>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</si>
  <si>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</si>
  <si>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</si>
  <si>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</si>
  <si>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</si>
  <si>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</si>
  <si>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</si>
  <si>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</si>
  <si>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</si>
  <si>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</si>
  <si>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</si>
  <si>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</si>
  <si>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</si>
  <si>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</si>
  <si>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</si>
  <si>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</si>
  <si>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</si>
  <si>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</si>
  <si>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</si>
  <si>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</si>
  <si>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</si>
  <si>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</si>
  <si>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5" type="noConversion"/>
  </si>
  <si>
    <t>W-6</t>
    <phoneticPr fontId="5" type="noConversion"/>
  </si>
  <si>
    <t>상월숙진외 농업용관정 영향조사</t>
    <phoneticPr fontId="5" type="noConversion"/>
  </si>
  <si>
    <t>(주)동해엔지니어링</t>
    <phoneticPr fontId="5" type="noConversion"/>
  </si>
  <si>
    <t>양수정의 수질 변화기록</t>
    <phoneticPr fontId="5" type="noConversion"/>
  </si>
  <si>
    <t>수질 1번</t>
    <phoneticPr fontId="5" type="noConversion"/>
  </si>
  <si>
    <t>측정일시</t>
    <phoneticPr fontId="5" type="noConversion"/>
  </si>
  <si>
    <t>기본 온도</t>
    <phoneticPr fontId="5" type="noConversion"/>
  </si>
  <si>
    <t>기본 EC</t>
    <phoneticPr fontId="5" type="noConversion"/>
  </si>
  <si>
    <t>기본 PH</t>
    <phoneticPr fontId="5" type="noConversion"/>
  </si>
  <si>
    <t>항목</t>
    <phoneticPr fontId="5" type="noConversion"/>
  </si>
  <si>
    <t>경과</t>
    <phoneticPr fontId="5" type="noConversion"/>
  </si>
  <si>
    <t>온도( ℃ )</t>
    <phoneticPr fontId="5" type="noConversion"/>
  </si>
  <si>
    <t>EC (μs/㎝)</t>
    <phoneticPr fontId="5" type="noConversion"/>
  </si>
  <si>
    <t>pH</t>
    <phoneticPr fontId="5" type="noConversion"/>
  </si>
  <si>
    <t>최소</t>
    <phoneticPr fontId="5" type="noConversion"/>
  </si>
  <si>
    <t>변화량</t>
    <phoneticPr fontId="5" type="noConversion"/>
  </si>
  <si>
    <t>대우리 지구</t>
    <phoneticPr fontId="5" type="noConversion"/>
  </si>
  <si>
    <t>충청남도 논산시 상월면 대우리 산 17-4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</si>
</sst>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  <numFmt numFmtId="222" formatCode="#,##0.00_ "/>
    <numFmt numFmtId="223" formatCode="yy&quot;-&quot;m&quot;-&quot;d\ h:mm;@"/>
    <numFmt numFmtId="224" formatCode="#,##0.0_);[Red]\(#,##0.0\)"/>
    <numFmt numFmtId="225" formatCode="yyyy&quot;-&quot;mm&quot;-&quot;dd\ h:mm;@"/>
  </numFmts>
  <fonts count="64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8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517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20" borderId="65" xfId="0" applyFont="1" applyFill="1" applyBorder="1"/>
    <xf numFmtId="2" fontId="6" fillId="22" borderId="3" xfId="0" applyNumberFormat="1" applyFont="1" applyFill="1" applyBorder="1"/>
    <xf numFmtId="1" fontId="6" fillId="22" borderId="4" xfId="0" applyNumberFormat="1" applyFont="1" applyFill="1" applyBorder="1"/>
    <xf numFmtId="1" fontId="14" fillId="22" borderId="4" xfId="0" applyNumberFormat="1" applyFont="1" applyFill="1" applyBorder="1"/>
    <xf numFmtId="0" fontId="38" fillId="3" borderId="3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2" fillId="0" borderId="0" xfId="0" applyNumberFormat="1" applyFont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220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vertical="center"/>
    </xf>
    <xf numFmtId="181" fontId="58" fillId="27" borderId="0" xfId="0" applyNumberFormat="1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5" fillId="24" borderId="69" xfId="0" applyFont="1" applyFill="1" applyBorder="1" applyAlignment="1">
      <alignment horizontal="center" vertical="center"/>
    </xf>
    <xf numFmtId="223" fontId="35" fillId="24" borderId="70" xfId="0" applyNumberFormat="1" applyFont="1" applyFill="1" applyBorder="1" applyAlignment="1">
      <alignment horizontal="center" vertical="center"/>
    </xf>
    <xf numFmtId="223" fontId="35" fillId="24" borderId="0" xfId="0" applyNumberFormat="1" applyFont="1" applyFill="1" applyAlignment="1">
      <alignment horizontal="center" vertical="center"/>
    </xf>
    <xf numFmtId="224" fontId="35" fillId="24" borderId="70" xfId="0" applyNumberFormat="1" applyFont="1" applyFill="1" applyBorder="1" applyAlignment="1">
      <alignment horizontal="center" vertical="center"/>
    </xf>
    <xf numFmtId="0" fontId="35" fillId="24" borderId="0" xfId="0" applyFont="1" applyFill="1" applyAlignment="1">
      <alignment horizontal="center" vertical="center"/>
    </xf>
    <xf numFmtId="224" fontId="35" fillId="24" borderId="0" xfId="0" applyNumberFormat="1" applyFont="1" applyFill="1" applyAlignment="1">
      <alignment horizontal="center" vertical="center"/>
    </xf>
    <xf numFmtId="40" fontId="35" fillId="24" borderId="0" xfId="0" applyNumberFormat="1" applyFont="1" applyFill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35" fillId="28" borderId="77" xfId="0" applyFont="1" applyFill="1" applyBorder="1" applyAlignment="1">
      <alignment horizontal="center" vertical="center"/>
    </xf>
    <xf numFmtId="0" fontId="35" fillId="28" borderId="65" xfId="0" applyFont="1" applyFill="1" applyBorder="1" applyAlignment="1">
      <alignment horizontal="center" vertical="center"/>
    </xf>
    <xf numFmtId="225" fontId="35" fillId="0" borderId="78" xfId="0" applyNumberFormat="1" applyFont="1" applyBorder="1" applyAlignment="1">
      <alignment horizontal="center" vertical="center"/>
    </xf>
    <xf numFmtId="0" fontId="35" fillId="0" borderId="68" xfId="0" applyFont="1" applyBorder="1" applyAlignment="1">
      <alignment horizontal="center" vertical="center"/>
    </xf>
    <xf numFmtId="0" fontId="35" fillId="0" borderId="66" xfId="0" applyFont="1" applyBorder="1" applyAlignment="1">
      <alignment horizontal="center" vertical="center"/>
    </xf>
    <xf numFmtId="38" fontId="35" fillId="0" borderId="67" xfId="0" applyNumberFormat="1" applyFont="1" applyBorder="1" applyAlignment="1">
      <alignment horizontal="center" vertical="center"/>
    </xf>
    <xf numFmtId="222" fontId="35" fillId="0" borderId="68" xfId="0" applyNumberFormat="1" applyFont="1" applyBorder="1" applyAlignment="1">
      <alignment horizontal="center" vertical="center"/>
    </xf>
    <xf numFmtId="0" fontId="35" fillId="0" borderId="75" xfId="0" applyFont="1" applyBorder="1" applyAlignment="1">
      <alignment horizontal="center" vertical="center"/>
    </xf>
    <xf numFmtId="0" fontId="35" fillId="0" borderId="65" xfId="0" applyFont="1" applyBorder="1" applyAlignment="1">
      <alignment horizontal="center" vertical="center"/>
    </xf>
    <xf numFmtId="0" fontId="35" fillId="0" borderId="76" xfId="0" applyFont="1" applyBorder="1" applyAlignment="1">
      <alignment horizontal="center" vertical="center"/>
    </xf>
    <xf numFmtId="225" fontId="35" fillId="0" borderId="75" xfId="0" applyNumberFormat="1" applyFont="1" applyBorder="1" applyAlignment="1">
      <alignment horizontal="center" vertical="center"/>
    </xf>
    <xf numFmtId="0" fontId="35" fillId="0" borderId="77" xfId="0" applyFont="1" applyBorder="1" applyAlignment="1">
      <alignment horizontal="center" vertical="center"/>
    </xf>
    <xf numFmtId="38" fontId="35" fillId="0" borderId="65" xfId="0" applyNumberFormat="1" applyFont="1" applyBorder="1" applyAlignment="1">
      <alignment horizontal="center" vertical="center"/>
    </xf>
    <xf numFmtId="222" fontId="35" fillId="0" borderId="76" xfId="0" applyNumberFormat="1" applyFont="1" applyBorder="1" applyAlignment="1">
      <alignment horizontal="center" vertical="center"/>
    </xf>
    <xf numFmtId="177" fontId="35" fillId="0" borderId="77" xfId="0" applyNumberFormat="1" applyFont="1" applyBorder="1" applyAlignment="1">
      <alignment horizontal="center" vertical="center"/>
    </xf>
    <xf numFmtId="0" fontId="35" fillId="0" borderId="79" xfId="0" applyFont="1" applyBorder="1" applyAlignment="1">
      <alignment horizontal="center" vertical="center"/>
    </xf>
    <xf numFmtId="0" fontId="35" fillId="0" borderId="80" xfId="0" applyFont="1" applyBorder="1" applyAlignment="1">
      <alignment horizontal="center" vertical="center"/>
    </xf>
    <xf numFmtId="0" fontId="35" fillId="28" borderId="81" xfId="0" applyFont="1" applyFill="1" applyBorder="1" applyAlignment="1">
      <alignment horizontal="center" vertical="center"/>
    </xf>
    <xf numFmtId="0" fontId="35" fillId="28" borderId="82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left"/>
    </xf>
    <xf numFmtId="1" fontId="35" fillId="0" borderId="0" xfId="0" applyNumberFormat="1" applyFont="1" applyAlignment="1">
      <alignment horizontal="left"/>
    </xf>
    <xf numFmtId="204" fontId="35" fillId="0" borderId="0" xfId="0" applyNumberFormat="1" applyFont="1" applyAlignment="1">
      <alignment horizontal="left"/>
    </xf>
    <xf numFmtId="178" fontId="35" fillId="0" borderId="0" xfId="0" applyNumberFormat="1" applyFont="1" applyAlignment="1">
      <alignment horizontal="left"/>
    </xf>
    <xf numFmtId="195" fontId="35" fillId="0" borderId="0" xfId="0" applyNumberFormat="1" applyFont="1" applyAlignment="1">
      <alignment horizontal="left"/>
    </xf>
    <xf numFmtId="0" fontId="37" fillId="0" borderId="45" xfId="15" applyFont="1" applyBorder="1" applyAlignment="1">
      <alignment horizontal="center" vertical="center"/>
    </xf>
    <xf numFmtId="0" fontId="37" fillId="17" borderId="45" xfId="15" applyFont="1" applyFill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1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15" fillId="4" borderId="0" xfId="0" applyFont="1" applyFill="1" applyAlignment="1">
      <alignment horizontal="center" vertical="center" wrapText="1"/>
    </xf>
    <xf numFmtId="0" fontId="35" fillId="28" borderId="79" xfId="0" applyFont="1" applyFill="1" applyBorder="1" applyAlignment="1">
      <alignment horizontal="center" vertical="center"/>
    </xf>
    <xf numFmtId="0" fontId="35" fillId="28" borderId="80" xfId="0" applyFont="1" applyFill="1" applyBorder="1" applyAlignment="1">
      <alignment horizontal="center" vertical="center"/>
    </xf>
    <xf numFmtId="0" fontId="35" fillId="28" borderId="71" xfId="0" applyFont="1" applyFill="1" applyBorder="1" applyAlignment="1">
      <alignment horizontal="center" vertical="center"/>
    </xf>
    <xf numFmtId="0" fontId="35" fillId="28" borderId="72" xfId="0" applyFont="1" applyFill="1" applyBorder="1" applyAlignment="1">
      <alignment horizontal="center" vertical="center"/>
    </xf>
    <xf numFmtId="0" fontId="35" fillId="28" borderId="73" xfId="0" applyFont="1" applyFill="1" applyBorder="1" applyAlignment="1">
      <alignment horizontal="center" vertical="center"/>
    </xf>
    <xf numFmtId="0" fontId="35" fillId="28" borderId="74" xfId="0" applyFont="1" applyFill="1" applyBorder="1" applyAlignment="1">
      <alignment horizontal="center" vertical="center"/>
    </xf>
    <xf numFmtId="0" fontId="35" fillId="28" borderId="75" xfId="0" applyFont="1" applyFill="1" applyBorder="1" applyAlignment="1">
      <alignment horizontal="center" vertical="center"/>
    </xf>
    <xf numFmtId="0" fontId="35" fillId="28" borderId="76" xfId="0" applyFont="1" applyFill="1" applyBorder="1" applyAlignment="1">
      <alignment horizontal="center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2.4</c:v>
                </c:pt>
                <c:pt idx="1">
                  <c:v>4.49</c:v>
                </c:pt>
                <c:pt idx="2">
                  <c:v>6.54</c:v>
                </c:pt>
                <c:pt idx="3">
                  <c:v>7.99</c:v>
                </c:pt>
                <c:pt idx="4">
                  <c:v>9.11</c:v>
                </c:pt>
                <c:pt idx="5">
                  <c:v>12.61</c:v>
                </c:pt>
                <c:pt idx="6">
                  <c:v>14.66</c:v>
                </c:pt>
                <c:pt idx="7">
                  <c:v>16.11</c:v>
                </c:pt>
                <c:pt idx="8">
                  <c:v>17.23</c:v>
                </c:pt>
                <c:pt idx="9">
                  <c:v>18.149999999999999</c:v>
                </c:pt>
                <c:pt idx="10">
                  <c:v>18.93</c:v>
                </c:pt>
                <c:pt idx="11">
                  <c:v>19.600000000000001</c:v>
                </c:pt>
                <c:pt idx="12">
                  <c:v>20.2</c:v>
                </c:pt>
                <c:pt idx="13">
                  <c:v>20.73</c:v>
                </c:pt>
                <c:pt idx="14">
                  <c:v>21.21</c:v>
                </c:pt>
                <c:pt idx="15">
                  <c:v>21.65</c:v>
                </c:pt>
                <c:pt idx="16">
                  <c:v>22.77</c:v>
                </c:pt>
                <c:pt idx="17">
                  <c:v>23.69</c:v>
                </c:pt>
                <c:pt idx="18">
                  <c:v>24.47</c:v>
                </c:pt>
                <c:pt idx="19">
                  <c:v>25.15</c:v>
                </c:pt>
                <c:pt idx="20" formatCode="\ 0.00\ ">
                  <c:v>25.31</c:v>
                </c:pt>
                <c:pt idx="21" formatCode="\ 0.00\ ">
                  <c:v>25.459999999999997</c:v>
                </c:pt>
                <c:pt idx="22" formatCode="\ 0.00\ ">
                  <c:v>25.599999999999998</c:v>
                </c:pt>
                <c:pt idx="23" formatCode="\ 0.00\ ">
                  <c:v>25.729999999999997</c:v>
                </c:pt>
                <c:pt idx="24" formatCode="\ 0.00\ ">
                  <c:v>25.859999999999996</c:v>
                </c:pt>
                <c:pt idx="25">
                  <c:v>30.18</c:v>
                </c:pt>
                <c:pt idx="26" formatCode="\ 0.00\ ">
                  <c:v>30.29</c:v>
                </c:pt>
                <c:pt idx="27">
                  <c:v>31.02</c:v>
                </c:pt>
                <c:pt idx="28" formatCode="\ 0.00\ ">
                  <c:v>31.12</c:v>
                </c:pt>
                <c:pt idx="29">
                  <c:v>31.86</c:v>
                </c:pt>
                <c:pt idx="30" formatCode="\ 0.00\ ">
                  <c:v>31.919999999999998</c:v>
                </c:pt>
                <c:pt idx="31" formatCode="\ 0.00\ ">
                  <c:v>31.97</c:v>
                </c:pt>
                <c:pt idx="32" formatCode="\ 0.00\ ">
                  <c:v>32.01</c:v>
                </c:pt>
                <c:pt idx="33" formatCode="\ 0.00\ ">
                  <c:v>32.04</c:v>
                </c:pt>
                <c:pt idx="34" formatCode="\ 0.00\ ">
                  <c:v>32.06</c:v>
                </c:pt>
                <c:pt idx="35">
                  <c:v>32.700000000000003</c:v>
                </c:pt>
                <c:pt idx="36" formatCode="\ 0.00\ ">
                  <c:v>32.770000000000003</c:v>
                </c:pt>
                <c:pt idx="37" formatCode="\ 0.00\ ">
                  <c:v>32.830000000000005</c:v>
                </c:pt>
                <c:pt idx="38" formatCode="\ 0.00\ ">
                  <c:v>32.880000000000003</c:v>
                </c:pt>
                <c:pt idx="39">
                  <c:v>33.54</c:v>
                </c:pt>
                <c:pt idx="40" formatCode="\ 0.00\ ">
                  <c:v>33.72</c:v>
                </c:pt>
                <c:pt idx="41" formatCode="\ 0.00\ ">
                  <c:v>33.879999999999995</c:v>
                </c:pt>
                <c:pt idx="42" formatCode="\ 0.00\ ">
                  <c:v>34.029999999999994</c:v>
                </c:pt>
                <c:pt idx="43" formatCode="\ 0.00\ ">
                  <c:v>34.169999999999995</c:v>
                </c:pt>
                <c:pt idx="44" formatCode="\ 0.00\ ">
                  <c:v>34.299999999999997</c:v>
                </c:pt>
                <c:pt idx="45">
                  <c:v>39.19</c:v>
                </c:pt>
                <c:pt idx="46" formatCode="\ 0.00\ ">
                  <c:v>39.299999999999997</c:v>
                </c:pt>
                <c:pt idx="47">
                  <c:v>40.14</c:v>
                </c:pt>
                <c:pt idx="48" formatCode="\ 0.00\ ">
                  <c:v>40.25</c:v>
                </c:pt>
                <c:pt idx="49">
                  <c:v>41.08</c:v>
                </c:pt>
                <c:pt idx="50" formatCode="\ 0.00\ ">
                  <c:v>41.15</c:v>
                </c:pt>
                <c:pt idx="51" formatCode="\ 0.00\ ">
                  <c:v>41.199999999999996</c:v>
                </c:pt>
                <c:pt idx="52" formatCode="\ 0.00\ ">
                  <c:v>41.239999999999995</c:v>
                </c:pt>
                <c:pt idx="53" formatCode="\ 0.00\ ">
                  <c:v>41.269999999999996</c:v>
                </c:pt>
                <c:pt idx="54" formatCode="\ 0.00\ ">
                  <c:v>41.29</c:v>
                </c:pt>
                <c:pt idx="55">
                  <c:v>42.02</c:v>
                </c:pt>
                <c:pt idx="56" formatCode="\ 0.00\ ">
                  <c:v>42.1</c:v>
                </c:pt>
                <c:pt idx="57" formatCode="\ 0.00\ ">
                  <c:v>42.160000000000004</c:v>
                </c:pt>
                <c:pt idx="58" formatCode="\ 0.00\ ">
                  <c:v>42.21</c:v>
                </c:pt>
                <c:pt idx="59">
                  <c:v>42.97</c:v>
                </c:pt>
                <c:pt idx="60" formatCode="\ 0.00\ ">
                  <c:v>43.16</c:v>
                </c:pt>
                <c:pt idx="61" formatCode="\ 0.00\ ">
                  <c:v>43.33</c:v>
                </c:pt>
                <c:pt idx="62" formatCode="\ 0.00\ ">
                  <c:v>43.489999999999995</c:v>
                </c:pt>
                <c:pt idx="63" formatCode="\ 0.00\ ">
                  <c:v>43.639999999999993</c:v>
                </c:pt>
                <c:pt idx="64" formatCode="\ 0.00\ ">
                  <c:v>43.779999999999994</c:v>
                </c:pt>
                <c:pt idx="65">
                  <c:v>49.27</c:v>
                </c:pt>
                <c:pt idx="66" formatCode="\ 0.00\ ">
                  <c:v>49.39</c:v>
                </c:pt>
                <c:pt idx="67" formatCode="\ 0.00\ ">
                  <c:v>50.32</c:v>
                </c:pt>
                <c:pt idx="68" formatCode="\ 0.00\ ">
                  <c:v>50.44</c:v>
                </c:pt>
                <c:pt idx="69" formatCode="\ 0.00\ ">
                  <c:v>51.37</c:v>
                </c:pt>
                <c:pt idx="70" formatCode="\ 0.00\ ">
                  <c:v>51.44</c:v>
                </c:pt>
                <c:pt idx="71" formatCode="\ 0.00\ ">
                  <c:v>51.489999999999995</c:v>
                </c:pt>
                <c:pt idx="72" formatCode="\ 0.00\ ">
                  <c:v>51.529999999999994</c:v>
                </c:pt>
                <c:pt idx="73" formatCode="\ 0.00\ ">
                  <c:v>51.559999999999995</c:v>
                </c:pt>
                <c:pt idx="74" formatCode="\ 0.00\ ">
                  <c:v>51.589999999999996</c:v>
                </c:pt>
                <c:pt idx="75" formatCode="\ 0.00\ ">
                  <c:v>52.42</c:v>
                </c:pt>
                <c:pt idx="76" formatCode="\ 0.00\ ">
                  <c:v>52.510000000000005</c:v>
                </c:pt>
                <c:pt idx="77" formatCode="\ 0.00\ ">
                  <c:v>52.580000000000005</c:v>
                </c:pt>
                <c:pt idx="78" formatCode="\ 0.00\ ">
                  <c:v>52.63</c:v>
                </c:pt>
                <c:pt idx="79" formatCode="\ 0.00\ ">
                  <c:v>53.48</c:v>
                </c:pt>
                <c:pt idx="80" formatCode="\ 0.00\ ">
                  <c:v>53.69</c:v>
                </c:pt>
                <c:pt idx="81" formatCode="\ 0.00\ ">
                  <c:v>53.879999999999995</c:v>
                </c:pt>
                <c:pt idx="82" formatCode="\ 0.00\ ">
                  <c:v>54.05</c:v>
                </c:pt>
                <c:pt idx="83" formatCode="\ 0.00\ ">
                  <c:v>54.209999999999994</c:v>
                </c:pt>
                <c:pt idx="84" formatCode="\ 0.00\ ">
                  <c:v>54.349999999999994</c:v>
                </c:pt>
                <c:pt idx="85" formatCode="\ 0.00\ ">
                  <c:v>59.89</c:v>
                </c:pt>
                <c:pt idx="86" formatCode="\ 0.00\ ">
                  <c:v>60.2</c:v>
                </c:pt>
                <c:pt idx="87" formatCode="\ 0.00\ ">
                  <c:v>62.3</c:v>
                </c:pt>
                <c:pt idx="88" formatCode="\ 0.00\ ">
                  <c:v>62.599999999999994</c:v>
                </c:pt>
                <c:pt idx="89" formatCode="\ 0.00\ ">
                  <c:v>64.7</c:v>
                </c:pt>
                <c:pt idx="90" formatCode="\ 0.00\ ">
                  <c:v>64.850000000000009</c:v>
                </c:pt>
                <c:pt idx="91" formatCode="\ 0.00\ ">
                  <c:v>64.98</c:v>
                </c:pt>
                <c:pt idx="92" formatCode="\ 0.00\ ">
                  <c:v>65.09</c:v>
                </c:pt>
                <c:pt idx="93" formatCode="\ 0.00\ ">
                  <c:v>65.17</c:v>
                </c:pt>
                <c:pt idx="94" formatCode="\ 0.00\ ">
                  <c:v>65.239999999999995</c:v>
                </c:pt>
                <c:pt idx="95" formatCode="\ 0.00\ ">
                  <c:v>67.11</c:v>
                </c:pt>
                <c:pt idx="96" formatCode="\ 0.00\ ">
                  <c:v>67.3</c:v>
                </c:pt>
                <c:pt idx="97" formatCode="\ 0.00\ ">
                  <c:v>67.459999999999994</c:v>
                </c:pt>
                <c:pt idx="98" formatCode="\ 0.00\ ">
                  <c:v>67.599999999999994</c:v>
                </c:pt>
                <c:pt idx="99" formatCode="\ 0.00\ ">
                  <c:v>69.52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125</c:v>
                </c:pt>
                <c:pt idx="1">
                  <c:v>159</c:v>
                </c:pt>
                <c:pt idx="2">
                  <c:v>193.79999999999998</c:v>
                </c:pt>
                <c:pt idx="3" formatCode="General">
                  <c:v>228</c:v>
                </c:pt>
                <c:pt idx="4">
                  <c:v>262.2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0.20100000000000001</c:v>
                </c:pt>
                <c:pt idx="1">
                  <c:v>0.21</c:v>
                </c:pt>
                <c:pt idx="2">
                  <c:v>0.221</c:v>
                </c:pt>
                <c:pt idx="3">
                  <c:v>0.23400000000000001</c:v>
                </c:pt>
                <c:pt idx="4">
                  <c:v>0.26500000000000001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7.93333333333334"/>
          <c:min val="79.2666666666666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66666666666667"/>
      </c:valAx>
      <c:valAx>
        <c:axId val="1"/>
        <c:scaling>
          <c:orientation val="minMax"/>
          <c:max val="0.28633333333333333"/>
          <c:min val="0.17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66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159</c:v>
                </c:pt>
                <c:pt idx="3">
                  <c:v>193.79999999999998</c:v>
                </c:pt>
                <c:pt idx="4">
                  <c:v>228</c:v>
                </c:pt>
                <c:pt idx="5">
                  <c:v>262.2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79.895900035308415</c:v>
                </c:pt>
                <c:pt idx="2">
                  <c:v>75.753461967299614</c:v>
                </c:pt>
                <c:pt idx="3">
                  <c:v>71.935971420719994</c:v>
                </c:pt>
                <c:pt idx="4">
                  <c:v>68.54147173545573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7.93333333333334"/>
          <c:min val="79.2666666666666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2.866666666666667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125</c:v>
                </c:pt>
                <c:pt idx="1">
                  <c:v>159</c:v>
                </c:pt>
                <c:pt idx="2">
                  <c:v>193.79999999999998</c:v>
                </c:pt>
                <c:pt idx="3">
                  <c:v>228</c:v>
                </c:pt>
                <c:pt idx="4">
                  <c:v>262.2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25.15</c:v>
                </c:pt>
                <c:pt idx="1">
                  <c:v>33.54</c:v>
                </c:pt>
                <c:pt idx="2">
                  <c:v>42.97</c:v>
                </c:pt>
                <c:pt idx="3">
                  <c:v>53.48</c:v>
                </c:pt>
                <c:pt idx="4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159</c:v>
                </c:pt>
                <c:pt idx="3">
                  <c:v>193.79999999999998</c:v>
                </c:pt>
                <c:pt idx="4">
                  <c:v>228</c:v>
                </c:pt>
                <c:pt idx="5">
                  <c:v>262.2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0.20119999999999999</c:v>
                </c:pt>
                <c:pt idx="2">
                  <c:v>0.21094339622641509</c:v>
                </c:pt>
                <c:pt idx="3">
                  <c:v>0.22172342621259031</c:v>
                </c:pt>
                <c:pt idx="4">
                  <c:v>0.23456140350877192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7.93333333333334"/>
          <c:min val="79.26666666666668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2.866666666666667"/>
      </c:valAx>
      <c:valAx>
        <c:axId val="1"/>
        <c:scaling>
          <c:orientation val="minMax"/>
          <c:max val="0.28633333333333333"/>
          <c:min val="0.17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6666666666666665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2.4</c:v>
                </c:pt>
                <c:pt idx="1">
                  <c:v>4.49</c:v>
                </c:pt>
                <c:pt idx="2">
                  <c:v>6.54</c:v>
                </c:pt>
                <c:pt idx="3">
                  <c:v>7.99</c:v>
                </c:pt>
                <c:pt idx="4">
                  <c:v>9.11</c:v>
                </c:pt>
                <c:pt idx="5">
                  <c:v>12.61</c:v>
                </c:pt>
                <c:pt idx="6">
                  <c:v>14.66</c:v>
                </c:pt>
                <c:pt idx="7">
                  <c:v>16.11</c:v>
                </c:pt>
                <c:pt idx="8">
                  <c:v>17.23</c:v>
                </c:pt>
                <c:pt idx="9">
                  <c:v>18.149999999999999</c:v>
                </c:pt>
                <c:pt idx="10">
                  <c:v>18.93</c:v>
                </c:pt>
                <c:pt idx="11">
                  <c:v>19.600000000000001</c:v>
                </c:pt>
                <c:pt idx="12">
                  <c:v>20.2</c:v>
                </c:pt>
                <c:pt idx="13">
                  <c:v>20.73</c:v>
                </c:pt>
                <c:pt idx="14">
                  <c:v>21.21</c:v>
                </c:pt>
                <c:pt idx="15">
                  <c:v>21.65</c:v>
                </c:pt>
                <c:pt idx="16">
                  <c:v>22.77</c:v>
                </c:pt>
                <c:pt idx="17">
                  <c:v>23.69</c:v>
                </c:pt>
                <c:pt idx="18">
                  <c:v>24.47</c:v>
                </c:pt>
                <c:pt idx="19">
                  <c:v>25.15</c:v>
                </c:pt>
                <c:pt idx="20">
                  <c:v>30.18</c:v>
                </c:pt>
                <c:pt idx="21">
                  <c:v>31.02</c:v>
                </c:pt>
                <c:pt idx="22">
                  <c:v>31.86</c:v>
                </c:pt>
                <c:pt idx="23">
                  <c:v>32.700000000000003</c:v>
                </c:pt>
                <c:pt idx="24">
                  <c:v>33.54</c:v>
                </c:pt>
                <c:pt idx="25">
                  <c:v>39.19</c:v>
                </c:pt>
                <c:pt idx="26">
                  <c:v>40.14</c:v>
                </c:pt>
                <c:pt idx="27">
                  <c:v>41.08</c:v>
                </c:pt>
                <c:pt idx="28">
                  <c:v>42.02</c:v>
                </c:pt>
                <c:pt idx="29">
                  <c:v>42.97</c:v>
                </c:pt>
                <c:pt idx="30">
                  <c:v>49.27</c:v>
                </c:pt>
                <c:pt idx="31">
                  <c:v>50.32</c:v>
                </c:pt>
                <c:pt idx="32">
                  <c:v>51.37</c:v>
                </c:pt>
                <c:pt idx="33">
                  <c:v>52.42</c:v>
                </c:pt>
                <c:pt idx="34">
                  <c:v>53.48</c:v>
                </c:pt>
                <c:pt idx="35">
                  <c:v>59.89</c:v>
                </c:pt>
                <c:pt idx="36">
                  <c:v>62.3</c:v>
                </c:pt>
                <c:pt idx="37">
                  <c:v>64.7</c:v>
                </c:pt>
                <c:pt idx="38">
                  <c:v>67.11</c:v>
                </c:pt>
                <c:pt idx="39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1.0003638095577045</c:v>
                </c:pt>
                <c:pt idx="1">
                  <c:v>4.4968193934635678</c:v>
                </c:pt>
                <c:pt idx="2">
                  <c:v>6.5421147954855883</c:v>
                </c:pt>
                <c:pt idx="3">
                  <c:v>7.9932749773694312</c:v>
                </c:pt>
                <c:pt idx="4">
                  <c:v>9.1188822623545249</c:v>
                </c:pt>
                <c:pt idx="5">
                  <c:v>12.615337846260388</c:v>
                </c:pt>
                <c:pt idx="6">
                  <c:v>14.660633248282402</c:v>
                </c:pt>
                <c:pt idx="7">
                  <c:v>16.111793430166252</c:v>
                </c:pt>
                <c:pt idx="8">
                  <c:v>17.237400715151338</c:v>
                </c:pt>
                <c:pt idx="9">
                  <c:v>18.157088832188272</c:v>
                </c:pt>
                <c:pt idx="10">
                  <c:v>18.934674055588438</c:v>
                </c:pt>
                <c:pt idx="11">
                  <c:v>19.608249014072108</c:v>
                </c:pt>
                <c:pt idx="12">
                  <c:v>20.202384234210299</c:v>
                </c:pt>
                <c:pt idx="13">
                  <c:v>20.733856299057202</c:v>
                </c:pt>
                <c:pt idx="14">
                  <c:v>21.214631262479401</c:v>
                </c:pt>
                <c:pt idx="15">
                  <c:v>21.653544416094135</c:v>
                </c:pt>
                <c:pt idx="16">
                  <c:v>22.779151701079229</c:v>
                </c:pt>
                <c:pt idx="17">
                  <c:v>23.698839818116149</c:v>
                </c:pt>
                <c:pt idx="18">
                  <c:v>24.476425041516329</c:v>
                </c:pt>
                <c:pt idx="19">
                  <c:v>25.15</c:v>
                </c:pt>
                <c:pt idx="20">
                  <c:v>29.606092440505613</c:v>
                </c:pt>
                <c:pt idx="21">
                  <c:v>30.081596901436761</c:v>
                </c:pt>
                <c:pt idx="22">
                  <c:v>30.524280963772789</c:v>
                </c:pt>
                <c:pt idx="23">
                  <c:v>31.694124248643753</c:v>
                </c:pt>
                <c:pt idx="24">
                  <c:v>33.54</c:v>
                </c:pt>
                <c:pt idx="25">
                  <c:v>40.118231086691893</c:v>
                </c:pt>
                <c:pt idx="26">
                  <c:v>40.424965003665591</c:v>
                </c:pt>
                <c:pt idx="27">
                  <c:v>40.720121254007296</c:v>
                </c:pt>
                <c:pt idx="28">
                  <c:v>41.544115543345953</c:v>
                </c:pt>
                <c:pt idx="29">
                  <c:v>42.97</c:v>
                </c:pt>
                <c:pt idx="30">
                  <c:v>51.085177353745742</c:v>
                </c:pt>
                <c:pt idx="31">
                  <c:v>51.330547577453338</c:v>
                </c:pt>
                <c:pt idx="32">
                  <c:v>51.569543822315104</c:v>
                </c:pt>
                <c:pt idx="33">
                  <c:v>52.251399275725795</c:v>
                </c:pt>
                <c:pt idx="34">
                  <c:v>53.48</c:v>
                </c:pt>
                <c:pt idx="35">
                  <c:v>67.377098090704109</c:v>
                </c:pt>
                <c:pt idx="36">
                  <c:v>67.590862205703345</c:v>
                </c:pt>
                <c:pt idx="37">
                  <c:v>67.800393088475502</c:v>
                </c:pt>
                <c:pt idx="38">
                  <c:v>68.405184196777114</c:v>
                </c:pt>
                <c:pt idx="39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2.4</c:v>
                </c:pt>
                <c:pt idx="1">
                  <c:v>4.49</c:v>
                </c:pt>
                <c:pt idx="2">
                  <c:v>6.54</c:v>
                </c:pt>
                <c:pt idx="3">
                  <c:v>7.99</c:v>
                </c:pt>
                <c:pt idx="4">
                  <c:v>9.11</c:v>
                </c:pt>
                <c:pt idx="5">
                  <c:v>12.61</c:v>
                </c:pt>
                <c:pt idx="6">
                  <c:v>14.66</c:v>
                </c:pt>
                <c:pt idx="7">
                  <c:v>16.11</c:v>
                </c:pt>
                <c:pt idx="8">
                  <c:v>17.23</c:v>
                </c:pt>
                <c:pt idx="9">
                  <c:v>18.149999999999999</c:v>
                </c:pt>
                <c:pt idx="10">
                  <c:v>18.93</c:v>
                </c:pt>
                <c:pt idx="11">
                  <c:v>19.600000000000001</c:v>
                </c:pt>
                <c:pt idx="12">
                  <c:v>20.2</c:v>
                </c:pt>
                <c:pt idx="13">
                  <c:v>20.73</c:v>
                </c:pt>
                <c:pt idx="14">
                  <c:v>21.21</c:v>
                </c:pt>
                <c:pt idx="15">
                  <c:v>21.65</c:v>
                </c:pt>
                <c:pt idx="16">
                  <c:v>22.77</c:v>
                </c:pt>
                <c:pt idx="17">
                  <c:v>23.69</c:v>
                </c:pt>
                <c:pt idx="18">
                  <c:v>24.47</c:v>
                </c:pt>
                <c:pt idx="19">
                  <c:v>25.15</c:v>
                </c:pt>
                <c:pt idx="20">
                  <c:v>30.18</c:v>
                </c:pt>
                <c:pt idx="21">
                  <c:v>31.02</c:v>
                </c:pt>
                <c:pt idx="22">
                  <c:v>31.86</c:v>
                </c:pt>
                <c:pt idx="23">
                  <c:v>32.700000000000003</c:v>
                </c:pt>
                <c:pt idx="24">
                  <c:v>33.54</c:v>
                </c:pt>
                <c:pt idx="25">
                  <c:v>39.19</c:v>
                </c:pt>
                <c:pt idx="26">
                  <c:v>40.14</c:v>
                </c:pt>
                <c:pt idx="27">
                  <c:v>41.08</c:v>
                </c:pt>
                <c:pt idx="28">
                  <c:v>42.02</c:v>
                </c:pt>
                <c:pt idx="29">
                  <c:v>42.97</c:v>
                </c:pt>
                <c:pt idx="30">
                  <c:v>49.27</c:v>
                </c:pt>
                <c:pt idx="31">
                  <c:v>50.32</c:v>
                </c:pt>
                <c:pt idx="32">
                  <c:v>51.37</c:v>
                </c:pt>
                <c:pt idx="33">
                  <c:v>52.42</c:v>
                </c:pt>
                <c:pt idx="34">
                  <c:v>53.48</c:v>
                </c:pt>
                <c:pt idx="35">
                  <c:v>59.89</c:v>
                </c:pt>
                <c:pt idx="36">
                  <c:v>62.3</c:v>
                </c:pt>
                <c:pt idx="37">
                  <c:v>64.7</c:v>
                </c:pt>
                <c:pt idx="38">
                  <c:v>67.11</c:v>
                </c:pt>
                <c:pt idx="39">
                  <c:v>69.52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4.3876869192927144</c:v>
                </c:pt>
                <c:pt idx="1">
                  <c:v>8.5753738385854277</c:v>
                </c:pt>
                <c:pt idx="2">
                  <c:v>11.92636225367152</c:v>
                </c:pt>
                <c:pt idx="3">
                  <c:v>14.303926371363012</c:v>
                </c:pt>
                <c:pt idx="4">
                  <c:v>16.148108374702268</c:v>
                </c:pt>
                <c:pt idx="5">
                  <c:v>21.876660907479859</c:v>
                </c:pt>
                <c:pt idx="6">
                  <c:v>25.227649322565938</c:v>
                </c:pt>
                <c:pt idx="7">
                  <c:v>27.605213440257444</c:v>
                </c:pt>
                <c:pt idx="8">
                  <c:v>29.4493954435967</c:v>
                </c:pt>
                <c:pt idx="9">
                  <c:v>30.956201855343522</c:v>
                </c:pt>
                <c:pt idx="10">
                  <c:v>32.230188523860974</c:v>
                </c:pt>
                <c:pt idx="11">
                  <c:v>33.333765973035014</c:v>
                </c:pt>
                <c:pt idx="12">
                  <c:v>34.307190270429615</c:v>
                </c:pt>
                <c:pt idx="13">
                  <c:v>35.177947976374284</c:v>
                </c:pt>
                <c:pt idx="14">
                  <c:v>35.916564135617811</c:v>
                </c:pt>
                <c:pt idx="15">
                  <c:v>36.684754388121107</c:v>
                </c:pt>
                <c:pt idx="16">
                  <c:v>38.528936391460377</c:v>
                </c:pt>
                <c:pt idx="17">
                  <c:v>40.035742803207185</c:v>
                </c:pt>
                <c:pt idx="18">
                  <c:v>41.309729471724637</c:v>
                </c:pt>
                <c:pt idx="19">
                  <c:v>42.413306920898691</c:v>
                </c:pt>
                <c:pt idx="20">
                  <c:v>43.687293589416129</c:v>
                </c:pt>
                <c:pt idx="21">
                  <c:v>44.790871038590183</c:v>
                </c:pt>
                <c:pt idx="22">
                  <c:v>45.76429533598477</c:v>
                </c:pt>
                <c:pt idx="23">
                  <c:v>48.141859453676275</c:v>
                </c:pt>
                <c:pt idx="24">
                  <c:v>49.986041457015531</c:v>
                </c:pt>
                <c:pt idx="25">
                  <c:v>51.492847868762354</c:v>
                </c:pt>
                <c:pt idx="26">
                  <c:v>52.766834537279806</c:v>
                </c:pt>
                <c:pt idx="27">
                  <c:v>53.87041198645386</c:v>
                </c:pt>
                <c:pt idx="28">
                  <c:v>54.843836283848447</c:v>
                </c:pt>
                <c:pt idx="29">
                  <c:v>55.714593989793116</c:v>
                </c:pt>
                <c:pt idx="30">
                  <c:v>56.502290149036654</c:v>
                </c:pt>
                <c:pt idx="31">
                  <c:v>57.221400401539938</c:v>
                </c:pt>
                <c:pt idx="32">
                  <c:v>57.882917707869026</c:v>
                </c:pt>
                <c:pt idx="33">
                  <c:v>58.49538707005739</c:v>
                </c:pt>
                <c:pt idx="34">
                  <c:v>59.065582404879194</c:v>
                </c:pt>
                <c:pt idx="35">
                  <c:v>59.59896451923143</c:v>
                </c:pt>
                <c:pt idx="36">
                  <c:v>60.099999999999994</c:v>
                </c:pt>
                <c:pt idx="37">
                  <c:v>60.099999999999994</c:v>
                </c:pt>
                <c:pt idx="38">
                  <c:v>60.099999999999994</c:v>
                </c:pt>
                <c:pt idx="39">
                  <c:v>60.099999999999994</c:v>
                </c:pt>
                <c:pt idx="40">
                  <c:v>60.099999999999994</c:v>
                </c:pt>
                <c:pt idx="41">
                  <c:v>60.099999999999994</c:v>
                </c:pt>
                <c:pt idx="42">
                  <c:v>60.099999999999994</c:v>
                </c:pt>
                <c:pt idx="43">
                  <c:v>60.099999999999994</c:v>
                </c:pt>
                <c:pt idx="44">
                  <c:v>60.099999999999994</c:v>
                </c:pt>
                <c:pt idx="45">
                  <c:v>60.099999999999994</c:v>
                </c:pt>
                <c:pt idx="46">
                  <c:v>60.099999999999994</c:v>
                </c:pt>
                <c:pt idx="47">
                  <c:v>60.099999999999994</c:v>
                </c:pt>
                <c:pt idx="48">
                  <c:v>60.099999999999994</c:v>
                </c:pt>
                <c:pt idx="49">
                  <c:v>60.099999999999994</c:v>
                </c:pt>
                <c:pt idx="50">
                  <c:v>60.099999999999994</c:v>
                </c:pt>
                <c:pt idx="51">
                  <c:v>60.099999999999994</c:v>
                </c:pt>
                <c:pt idx="52">
                  <c:v>60.099999999999994</c:v>
                </c:pt>
                <c:pt idx="53">
                  <c:v>60.099999999999994</c:v>
                </c:pt>
                <c:pt idx="54">
                  <c:v>60.099999999999994</c:v>
                </c:pt>
                <c:pt idx="55">
                  <c:v>60.099999999999994</c:v>
                </c:pt>
                <c:pt idx="56">
                  <c:v>60.099999999999994</c:v>
                </c:pt>
                <c:pt idx="57">
                  <c:v>60.099999999999994</c:v>
                </c:pt>
                <c:pt idx="58">
                  <c:v>60.099999999999994</c:v>
                </c:pt>
                <c:pt idx="59">
                  <c:v>60.099999999999994</c:v>
                </c:pt>
                <c:pt idx="60">
                  <c:v>60.099999999999994</c:v>
                </c:pt>
                <c:pt idx="61">
                  <c:v>60.099999999999994</c:v>
                </c:pt>
                <c:pt idx="62">
                  <c:v>60.099999999999994</c:v>
                </c:pt>
                <c:pt idx="63">
                  <c:v>60.099999999999994</c:v>
                </c:pt>
                <c:pt idx="64">
                  <c:v>60.099999999999994</c:v>
                </c:pt>
                <c:pt idx="65">
                  <c:v>60.099999999999994</c:v>
                </c:pt>
                <c:pt idx="66">
                  <c:v>60.099999999999994</c:v>
                </c:pt>
                <c:pt idx="67">
                  <c:v>60.099999999999994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4.3876869192927144</c:v>
                </c:pt>
                <c:pt idx="1">
                  <c:v>8.5753738385854277</c:v>
                </c:pt>
                <c:pt idx="2">
                  <c:v>11.92636225367152</c:v>
                </c:pt>
                <c:pt idx="3">
                  <c:v>14.303926371363012</c:v>
                </c:pt>
                <c:pt idx="4">
                  <c:v>16.148108374702268</c:v>
                </c:pt>
                <c:pt idx="5">
                  <c:v>21.876660907479859</c:v>
                </c:pt>
                <c:pt idx="6">
                  <c:v>25.227649322565938</c:v>
                </c:pt>
                <c:pt idx="7">
                  <c:v>27.605213440257444</c:v>
                </c:pt>
                <c:pt idx="8">
                  <c:v>29.4493954435967</c:v>
                </c:pt>
                <c:pt idx="9">
                  <c:v>30.956201855343522</c:v>
                </c:pt>
                <c:pt idx="10">
                  <c:v>32.230188523860974</c:v>
                </c:pt>
                <c:pt idx="11">
                  <c:v>33.333765973035014</c:v>
                </c:pt>
                <c:pt idx="12">
                  <c:v>34.307190270429615</c:v>
                </c:pt>
                <c:pt idx="13">
                  <c:v>35.177947976374284</c:v>
                </c:pt>
                <c:pt idx="14">
                  <c:v>35.916564135617811</c:v>
                </c:pt>
                <c:pt idx="15">
                  <c:v>36.684754388121107</c:v>
                </c:pt>
                <c:pt idx="16">
                  <c:v>38.528936391460377</c:v>
                </c:pt>
                <c:pt idx="17">
                  <c:v>40.035742803207185</c:v>
                </c:pt>
                <c:pt idx="18">
                  <c:v>41.309729471724637</c:v>
                </c:pt>
                <c:pt idx="19">
                  <c:v>42.413306920898691</c:v>
                </c:pt>
                <c:pt idx="20">
                  <c:v>43.687293589416129</c:v>
                </c:pt>
                <c:pt idx="21">
                  <c:v>44.790871038590183</c:v>
                </c:pt>
                <c:pt idx="22">
                  <c:v>45.76429533598477</c:v>
                </c:pt>
                <c:pt idx="23">
                  <c:v>48.141859453676275</c:v>
                </c:pt>
                <c:pt idx="24">
                  <c:v>49.986041457015531</c:v>
                </c:pt>
                <c:pt idx="25">
                  <c:v>51.492847868762354</c:v>
                </c:pt>
                <c:pt idx="26">
                  <c:v>52.766834537279806</c:v>
                </c:pt>
                <c:pt idx="27">
                  <c:v>53.87041198645386</c:v>
                </c:pt>
                <c:pt idx="28">
                  <c:v>54.843836283848447</c:v>
                </c:pt>
                <c:pt idx="29">
                  <c:v>55.714593989793116</c:v>
                </c:pt>
                <c:pt idx="30">
                  <c:v>56.502290149036654</c:v>
                </c:pt>
                <c:pt idx="31">
                  <c:v>57.221400401539938</c:v>
                </c:pt>
                <c:pt idx="32">
                  <c:v>57.882917707869026</c:v>
                </c:pt>
                <c:pt idx="33">
                  <c:v>58.49538707005739</c:v>
                </c:pt>
                <c:pt idx="34">
                  <c:v>59.065582404879194</c:v>
                </c:pt>
                <c:pt idx="35">
                  <c:v>59.59896451923143</c:v>
                </c:pt>
                <c:pt idx="36">
                  <c:v>60.099999999999994</c:v>
                </c:pt>
                <c:pt idx="37">
                  <c:v>60.099999999999994</c:v>
                </c:pt>
                <c:pt idx="38">
                  <c:v>60.099999999999994</c:v>
                </c:pt>
                <c:pt idx="39">
                  <c:v>60.099999999999994</c:v>
                </c:pt>
                <c:pt idx="40">
                  <c:v>60.099999999999994</c:v>
                </c:pt>
                <c:pt idx="41">
                  <c:v>60.099999999999994</c:v>
                </c:pt>
                <c:pt idx="42">
                  <c:v>60.099999999999994</c:v>
                </c:pt>
                <c:pt idx="43">
                  <c:v>60.099999999999994</c:v>
                </c:pt>
                <c:pt idx="44">
                  <c:v>60.099999999999994</c:v>
                </c:pt>
                <c:pt idx="45">
                  <c:v>60.099999999999994</c:v>
                </c:pt>
                <c:pt idx="46">
                  <c:v>60.099999999999994</c:v>
                </c:pt>
                <c:pt idx="47">
                  <c:v>60.099999999999994</c:v>
                </c:pt>
                <c:pt idx="48">
                  <c:v>60.099999999999994</c:v>
                </c:pt>
                <c:pt idx="49">
                  <c:v>60.099999999999994</c:v>
                </c:pt>
                <c:pt idx="50">
                  <c:v>60.099999999999994</c:v>
                </c:pt>
                <c:pt idx="51">
                  <c:v>60.099999999999994</c:v>
                </c:pt>
                <c:pt idx="52">
                  <c:v>60.099999999999994</c:v>
                </c:pt>
                <c:pt idx="53">
                  <c:v>60.099999999999994</c:v>
                </c:pt>
                <c:pt idx="54">
                  <c:v>60.099999999999994</c:v>
                </c:pt>
                <c:pt idx="55">
                  <c:v>60.099999999999994</c:v>
                </c:pt>
                <c:pt idx="56">
                  <c:v>60.099999999999994</c:v>
                </c:pt>
                <c:pt idx="57">
                  <c:v>60.099999999999994</c:v>
                </c:pt>
                <c:pt idx="58">
                  <c:v>60.099999999999994</c:v>
                </c:pt>
                <c:pt idx="59">
                  <c:v>60.099999999999994</c:v>
                </c:pt>
                <c:pt idx="60">
                  <c:v>60.099999999999994</c:v>
                </c:pt>
                <c:pt idx="61">
                  <c:v>60.099999999999994</c:v>
                </c:pt>
                <c:pt idx="62">
                  <c:v>60.099999999999994</c:v>
                </c:pt>
                <c:pt idx="63">
                  <c:v>60.099999999999994</c:v>
                </c:pt>
                <c:pt idx="64">
                  <c:v>60.099999999999994</c:v>
                </c:pt>
                <c:pt idx="65">
                  <c:v>60.099999999999994</c:v>
                </c:pt>
                <c:pt idx="66">
                  <c:v>60.099999999999994</c:v>
                </c:pt>
                <c:pt idx="67">
                  <c:v>60.099999999999994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33.871314076348874</c:v>
                </c:pt>
                <c:pt idx="1">
                  <c:v>29.954757753195366</c:v>
                </c:pt>
                <c:pt idx="2">
                  <c:v>26.491074719748227</c:v>
                </c:pt>
                <c:pt idx="3">
                  <c:v>23.427899019895193</c:v>
                </c:pt>
                <c:pt idx="4">
                  <c:v>20.71891979819317</c:v>
                </c:pt>
                <c:pt idx="5">
                  <c:v>14.330733072216853</c:v>
                </c:pt>
                <c:pt idx="6">
                  <c:v>13.203556170579969</c:v>
                </c:pt>
                <c:pt idx="7">
                  <c:v>10.326626014355407</c:v>
                </c:pt>
                <c:pt idx="8">
                  <c:v>9.1325532859635015</c:v>
                </c:pt>
                <c:pt idx="9">
                  <c:v>8.0765517609546915</c:v>
                </c:pt>
                <c:pt idx="10">
                  <c:v>7.7524189773257222</c:v>
                </c:pt>
                <c:pt idx="11">
                  <c:v>7.4412944755146162</c:v>
                </c:pt>
                <c:pt idx="12">
                  <c:v>7.1426561997331275</c:v>
                </c:pt>
                <c:pt idx="13">
                  <c:v>6.8560030456337904</c:v>
                </c:pt>
                <c:pt idx="14">
                  <c:v>6.5808540194747245</c:v>
                </c:pt>
                <c:pt idx="15">
                  <c:v>6.3167474310293468</c:v>
                </c:pt>
                <c:pt idx="16">
                  <c:v>6.0632401188866867</c:v>
                </c:pt>
                <c:pt idx="17">
                  <c:v>5.8199067068423762</c:v>
                </c:pt>
                <c:pt idx="18">
                  <c:v>5.586338890132593</c:v>
                </c:pt>
                <c:pt idx="19">
                  <c:v>4.9403878398099081</c:v>
                </c:pt>
                <c:pt idx="20">
                  <c:v>4.7421173761120414</c:v>
                </c:pt>
                <c:pt idx="21">
                  <c:v>3.7088547984065103</c:v>
                </c:pt>
                <c:pt idx="22">
                  <c:v>2.9007303752023366</c:v>
                </c:pt>
                <c:pt idx="23">
                  <c:v>2.2686886295027286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33</xdr:row>
          <xdr:rowOff>209550</xdr:rowOff>
        </xdr:from>
        <xdr:to>
          <xdr:col>20</xdr:col>
          <xdr:colOff>657225</xdr:colOff>
          <xdr:row>35</xdr:row>
          <xdr:rowOff>95250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31</xdr:row>
          <xdr:rowOff>219075</xdr:rowOff>
        </xdr:from>
        <xdr:to>
          <xdr:col>20</xdr:col>
          <xdr:colOff>657225</xdr:colOff>
          <xdr:row>33</xdr:row>
          <xdr:rowOff>104775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18</xdr:row>
          <xdr:rowOff>28575</xdr:rowOff>
        </xdr:from>
        <xdr:to>
          <xdr:col>20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16</xdr:row>
          <xdr:rowOff>66675</xdr:rowOff>
        </xdr:from>
        <xdr:to>
          <xdr:col>20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22</xdr:row>
          <xdr:rowOff>9525</xdr:rowOff>
        </xdr:from>
        <xdr:to>
          <xdr:col>20</xdr:col>
          <xdr:colOff>457200</xdr:colOff>
          <xdr:row>31</xdr:row>
          <xdr:rowOff>95250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19</xdr:row>
          <xdr:rowOff>247650</xdr:rowOff>
        </xdr:from>
        <xdr:to>
          <xdr:col>20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C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D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E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E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E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E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E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E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E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E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E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E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E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E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E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E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E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E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E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E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E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E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E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E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E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E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E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E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E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E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E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E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E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E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E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E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E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E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E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E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E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E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E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E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E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E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E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E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E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E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E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E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E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E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3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0.xml"/><Relationship Id="rId5" Type="http://schemas.openxmlformats.org/officeDocument/2006/relationships/image" Target="../media/image35.emf"/><Relationship Id="rId4" Type="http://schemas.openxmlformats.org/officeDocument/2006/relationships/control" Target="../activeX/activeX2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2.4</v>
      </c>
      <c r="E1">
        <v>1</v>
      </c>
      <c r="F1">
        <f>단계양수시험!G12</f>
        <v>2.4</v>
      </c>
    </row>
    <row r="2" spans="1:6" x14ac:dyDescent="0.15">
      <c r="A2" s="228">
        <v>2</v>
      </c>
      <c r="B2">
        <f t="shared" ref="B2:B20" si="0">F2</f>
        <v>4.49</v>
      </c>
      <c r="E2">
        <v>2</v>
      </c>
      <c r="F2">
        <f>단계양수시험!G13</f>
        <v>4.49</v>
      </c>
    </row>
    <row r="3" spans="1:6" x14ac:dyDescent="0.15">
      <c r="A3" s="228">
        <v>3</v>
      </c>
      <c r="B3">
        <f t="shared" si="0"/>
        <v>6.54</v>
      </c>
      <c r="E3">
        <v>3</v>
      </c>
      <c r="F3">
        <f>단계양수시험!G14</f>
        <v>6.54</v>
      </c>
    </row>
    <row r="4" spans="1:6" x14ac:dyDescent="0.15">
      <c r="A4" s="228">
        <v>4</v>
      </c>
      <c r="B4">
        <f t="shared" si="0"/>
        <v>7.99</v>
      </c>
      <c r="E4">
        <v>4</v>
      </c>
      <c r="F4">
        <f>단계양수시험!G15</f>
        <v>7.99</v>
      </c>
    </row>
    <row r="5" spans="1:6" x14ac:dyDescent="0.15">
      <c r="A5" s="228">
        <v>5</v>
      </c>
      <c r="B5">
        <f t="shared" si="0"/>
        <v>9.11</v>
      </c>
      <c r="E5">
        <v>5</v>
      </c>
      <c r="F5">
        <f>단계양수시험!G16</f>
        <v>9.11</v>
      </c>
    </row>
    <row r="6" spans="1:6" x14ac:dyDescent="0.15">
      <c r="A6" s="228">
        <v>10</v>
      </c>
      <c r="B6">
        <f t="shared" si="0"/>
        <v>12.61</v>
      </c>
      <c r="E6">
        <v>10</v>
      </c>
      <c r="F6">
        <f>단계양수시험!G17</f>
        <v>12.61</v>
      </c>
    </row>
    <row r="7" spans="1:6" x14ac:dyDescent="0.15">
      <c r="A7" s="228">
        <v>15</v>
      </c>
      <c r="B7">
        <f t="shared" si="0"/>
        <v>14.66</v>
      </c>
      <c r="E7">
        <v>15</v>
      </c>
      <c r="F7">
        <f>단계양수시험!G18</f>
        <v>14.66</v>
      </c>
    </row>
    <row r="8" spans="1:6" x14ac:dyDescent="0.15">
      <c r="A8" s="228">
        <v>20</v>
      </c>
      <c r="B8">
        <f t="shared" si="0"/>
        <v>16.11</v>
      </c>
      <c r="E8">
        <v>20</v>
      </c>
      <c r="F8">
        <f>단계양수시험!G19</f>
        <v>16.11</v>
      </c>
    </row>
    <row r="9" spans="1:6" x14ac:dyDescent="0.15">
      <c r="A9" s="228">
        <v>25</v>
      </c>
      <c r="B9">
        <f t="shared" si="0"/>
        <v>17.23</v>
      </c>
      <c r="E9">
        <v>25</v>
      </c>
      <c r="F9">
        <f>단계양수시험!G20</f>
        <v>17.23</v>
      </c>
    </row>
    <row r="10" spans="1:6" x14ac:dyDescent="0.15">
      <c r="A10" s="228">
        <v>30</v>
      </c>
      <c r="B10">
        <f t="shared" si="0"/>
        <v>18.149999999999999</v>
      </c>
      <c r="E10">
        <v>30</v>
      </c>
      <c r="F10">
        <f>단계양수시험!G21</f>
        <v>18.149999999999999</v>
      </c>
    </row>
    <row r="11" spans="1:6" x14ac:dyDescent="0.15">
      <c r="A11" s="228">
        <v>35</v>
      </c>
      <c r="B11">
        <f t="shared" si="0"/>
        <v>18.93</v>
      </c>
      <c r="E11">
        <v>35</v>
      </c>
      <c r="F11">
        <f>단계양수시험!G22</f>
        <v>18.93</v>
      </c>
    </row>
    <row r="12" spans="1:6" x14ac:dyDescent="0.15">
      <c r="A12" s="228">
        <v>40</v>
      </c>
      <c r="B12">
        <f t="shared" si="0"/>
        <v>19.600000000000001</v>
      </c>
      <c r="E12">
        <v>40</v>
      </c>
      <c r="F12">
        <f>단계양수시험!G23</f>
        <v>19.600000000000001</v>
      </c>
    </row>
    <row r="13" spans="1:6" x14ac:dyDescent="0.15">
      <c r="A13" s="228">
        <v>45</v>
      </c>
      <c r="B13">
        <f t="shared" si="0"/>
        <v>20.2</v>
      </c>
      <c r="E13">
        <v>45</v>
      </c>
      <c r="F13">
        <f>단계양수시험!G24</f>
        <v>20.2</v>
      </c>
    </row>
    <row r="14" spans="1:6" x14ac:dyDescent="0.15">
      <c r="A14" s="228">
        <v>50</v>
      </c>
      <c r="B14">
        <f t="shared" si="0"/>
        <v>20.73</v>
      </c>
      <c r="E14">
        <v>50</v>
      </c>
      <c r="F14">
        <f>단계양수시험!G25</f>
        <v>20.73</v>
      </c>
    </row>
    <row r="15" spans="1:6" x14ac:dyDescent="0.15">
      <c r="A15" s="228">
        <v>55</v>
      </c>
      <c r="B15">
        <f t="shared" si="0"/>
        <v>21.21</v>
      </c>
      <c r="E15">
        <v>55</v>
      </c>
      <c r="F15">
        <f>단계양수시험!G26</f>
        <v>21.21</v>
      </c>
    </row>
    <row r="16" spans="1:6" x14ac:dyDescent="0.15">
      <c r="A16" s="228">
        <v>60</v>
      </c>
      <c r="B16">
        <f t="shared" si="0"/>
        <v>21.65</v>
      </c>
      <c r="E16">
        <v>60</v>
      </c>
      <c r="F16">
        <f>단계양수시험!G27</f>
        <v>21.65</v>
      </c>
    </row>
    <row r="17" spans="1:6" x14ac:dyDescent="0.15">
      <c r="A17" s="228">
        <v>75</v>
      </c>
      <c r="B17">
        <f t="shared" si="0"/>
        <v>22.77</v>
      </c>
      <c r="E17">
        <v>75</v>
      </c>
      <c r="F17">
        <f>단계양수시험!G28</f>
        <v>22.77</v>
      </c>
    </row>
    <row r="18" spans="1:6" x14ac:dyDescent="0.15">
      <c r="A18" s="228">
        <v>90</v>
      </c>
      <c r="B18">
        <f t="shared" si="0"/>
        <v>23.69</v>
      </c>
      <c r="E18">
        <v>90</v>
      </c>
      <c r="F18">
        <f>단계양수시험!G29</f>
        <v>23.69</v>
      </c>
    </row>
    <row r="19" spans="1:6" x14ac:dyDescent="0.15">
      <c r="A19" s="228">
        <v>105</v>
      </c>
      <c r="B19">
        <f t="shared" si="0"/>
        <v>24.47</v>
      </c>
      <c r="E19">
        <v>105</v>
      </c>
      <c r="F19">
        <f>단계양수시험!G30</f>
        <v>24.47</v>
      </c>
    </row>
    <row r="20" spans="1:6" x14ac:dyDescent="0.15">
      <c r="A20" s="230">
        <v>120</v>
      </c>
      <c r="B20" s="236">
        <f t="shared" si="0"/>
        <v>25.15</v>
      </c>
      <c r="C20" s="236">
        <f>B26-B20</f>
        <v>5.0300000000000011</v>
      </c>
      <c r="D20" s="237">
        <f>C20/10</f>
        <v>0.50300000000000011</v>
      </c>
      <c r="E20">
        <v>120</v>
      </c>
      <c r="F20">
        <f>단계양수시험!G31</f>
        <v>25.15</v>
      </c>
    </row>
    <row r="21" spans="1:6" x14ac:dyDescent="0.15">
      <c r="A21" s="228">
        <v>121</v>
      </c>
      <c r="B21" s="235">
        <f>B20+D21</f>
        <v>25.31</v>
      </c>
      <c r="D21">
        <v>0.16</v>
      </c>
      <c r="E21">
        <v>130</v>
      </c>
      <c r="F21">
        <f>단계양수시험!G32</f>
        <v>30.18</v>
      </c>
    </row>
    <row r="22" spans="1:6" x14ac:dyDescent="0.15">
      <c r="A22" s="228">
        <v>122</v>
      </c>
      <c r="B22" s="235">
        <f>B21+D22</f>
        <v>25.459999999999997</v>
      </c>
      <c r="D22">
        <v>0.15</v>
      </c>
      <c r="E22">
        <v>140</v>
      </c>
      <c r="F22">
        <f>단계양수시험!G33</f>
        <v>31.02</v>
      </c>
    </row>
    <row r="23" spans="1:6" x14ac:dyDescent="0.15">
      <c r="A23" s="228">
        <v>123</v>
      </c>
      <c r="B23" s="235">
        <f>B22+D23</f>
        <v>25.599999999999998</v>
      </c>
      <c r="D23">
        <v>0.14000000000000001</v>
      </c>
      <c r="E23">
        <v>150</v>
      </c>
      <c r="F23">
        <f>단계양수시험!G34</f>
        <v>31.86</v>
      </c>
    </row>
    <row r="24" spans="1:6" x14ac:dyDescent="0.15">
      <c r="A24" s="228">
        <v>124</v>
      </c>
      <c r="B24" s="235">
        <f>B23+D24</f>
        <v>25.729999999999997</v>
      </c>
      <c r="D24">
        <v>0.13</v>
      </c>
      <c r="E24">
        <v>180</v>
      </c>
      <c r="F24">
        <f>단계양수시험!G35</f>
        <v>32.700000000000003</v>
      </c>
    </row>
    <row r="25" spans="1:6" x14ac:dyDescent="0.15">
      <c r="A25" s="228">
        <v>125</v>
      </c>
      <c r="B25" s="235">
        <f>B24+D25</f>
        <v>25.859999999999996</v>
      </c>
      <c r="D25">
        <v>0.13</v>
      </c>
      <c r="E25">
        <v>240</v>
      </c>
      <c r="F25">
        <f>단계양수시험!G36</f>
        <v>33.54</v>
      </c>
    </row>
    <row r="26" spans="1:6" x14ac:dyDescent="0.15">
      <c r="A26" s="228">
        <v>130</v>
      </c>
      <c r="B26" s="236">
        <f>F21</f>
        <v>30.18</v>
      </c>
      <c r="C26" s="236">
        <f>B28-B26</f>
        <v>0.83999999999999986</v>
      </c>
      <c r="D26" s="236">
        <f>C26/2</f>
        <v>0.41999999999999993</v>
      </c>
      <c r="E26">
        <v>250</v>
      </c>
      <c r="F26">
        <f>단계양수시험!G37</f>
        <v>39.19</v>
      </c>
    </row>
    <row r="27" spans="1:6" x14ac:dyDescent="0.15">
      <c r="A27" s="228">
        <v>135</v>
      </c>
      <c r="B27" s="235">
        <f>B26+D27</f>
        <v>30.29</v>
      </c>
      <c r="D27">
        <v>0.11</v>
      </c>
      <c r="E27">
        <v>260</v>
      </c>
      <c r="F27">
        <f>단계양수시험!G38</f>
        <v>40.14</v>
      </c>
    </row>
    <row r="28" spans="1:6" x14ac:dyDescent="0.15">
      <c r="A28" s="228">
        <v>140</v>
      </c>
      <c r="B28" s="236">
        <f>F22</f>
        <v>31.02</v>
      </c>
      <c r="C28" s="236">
        <f>B30-B28</f>
        <v>0.83999999999999986</v>
      </c>
      <c r="D28" s="236">
        <f>C28/2</f>
        <v>0.41999999999999993</v>
      </c>
      <c r="E28">
        <v>270</v>
      </c>
      <c r="F28">
        <f>단계양수시험!G39</f>
        <v>41.08</v>
      </c>
    </row>
    <row r="29" spans="1:6" x14ac:dyDescent="0.15">
      <c r="A29" s="228">
        <v>145</v>
      </c>
      <c r="B29" s="235">
        <f>B28+D29</f>
        <v>31.12</v>
      </c>
      <c r="D29">
        <v>0.1</v>
      </c>
      <c r="E29">
        <v>300</v>
      </c>
      <c r="F29">
        <f>단계양수시험!G40</f>
        <v>42.02</v>
      </c>
    </row>
    <row r="30" spans="1:6" x14ac:dyDescent="0.15">
      <c r="A30" s="228">
        <v>150</v>
      </c>
      <c r="B30" s="236">
        <f>F23</f>
        <v>31.86</v>
      </c>
      <c r="C30" s="236">
        <f>B36-B30</f>
        <v>0.84000000000000341</v>
      </c>
      <c r="D30" s="238">
        <f>C30/6</f>
        <v>0.14000000000000057</v>
      </c>
      <c r="E30">
        <v>360</v>
      </c>
      <c r="F30">
        <f>단계양수시험!G41</f>
        <v>42.97</v>
      </c>
    </row>
    <row r="31" spans="1:6" x14ac:dyDescent="0.15">
      <c r="A31" s="228">
        <v>155</v>
      </c>
      <c r="B31" s="235">
        <f>B30+D31</f>
        <v>31.919999999999998</v>
      </c>
      <c r="D31">
        <v>0.06</v>
      </c>
    </row>
    <row r="32" spans="1:6" x14ac:dyDescent="0.15">
      <c r="A32" s="228">
        <v>160</v>
      </c>
      <c r="B32" s="235">
        <f t="shared" ref="B32:B39" si="1">B31+D32</f>
        <v>31.97</v>
      </c>
      <c r="D32">
        <v>0.05</v>
      </c>
    </row>
    <row r="33" spans="1:4" x14ac:dyDescent="0.15">
      <c r="A33" s="228">
        <v>165</v>
      </c>
      <c r="B33" s="235">
        <f t="shared" si="1"/>
        <v>32.01</v>
      </c>
      <c r="D33">
        <v>0.04</v>
      </c>
    </row>
    <row r="34" spans="1:4" x14ac:dyDescent="0.15">
      <c r="A34" s="228">
        <v>170</v>
      </c>
      <c r="B34" s="235">
        <f t="shared" si="1"/>
        <v>32.04</v>
      </c>
      <c r="D34">
        <v>0.03</v>
      </c>
    </row>
    <row r="35" spans="1:4" x14ac:dyDescent="0.15">
      <c r="A35" s="228">
        <v>175</v>
      </c>
      <c r="B35" s="235">
        <f t="shared" si="1"/>
        <v>32.06</v>
      </c>
      <c r="D35">
        <v>0.02</v>
      </c>
    </row>
    <row r="36" spans="1:4" x14ac:dyDescent="0.15">
      <c r="A36" s="228">
        <v>180</v>
      </c>
      <c r="B36" s="236">
        <f>F24</f>
        <v>32.700000000000003</v>
      </c>
      <c r="C36" s="236">
        <f>B40-B36</f>
        <v>0.83999999999999631</v>
      </c>
      <c r="D36" s="236">
        <f>C36/4</f>
        <v>0.20999999999999908</v>
      </c>
    </row>
    <row r="37" spans="1:4" x14ac:dyDescent="0.15">
      <c r="A37" s="228">
        <v>195</v>
      </c>
      <c r="B37" s="235">
        <f t="shared" si="1"/>
        <v>32.770000000000003</v>
      </c>
      <c r="D37">
        <v>7.0000000000000007E-2</v>
      </c>
    </row>
    <row r="38" spans="1:4" x14ac:dyDescent="0.15">
      <c r="A38" s="228">
        <v>210</v>
      </c>
      <c r="B38" s="235">
        <f t="shared" si="1"/>
        <v>32.830000000000005</v>
      </c>
      <c r="D38">
        <v>0.06</v>
      </c>
    </row>
    <row r="39" spans="1:4" x14ac:dyDescent="0.15">
      <c r="A39" s="228">
        <v>225</v>
      </c>
      <c r="B39" s="235">
        <f t="shared" si="1"/>
        <v>32.880000000000003</v>
      </c>
      <c r="D39">
        <v>0.05</v>
      </c>
    </row>
    <row r="40" spans="1:4" x14ac:dyDescent="0.15">
      <c r="A40" s="230">
        <v>240</v>
      </c>
      <c r="B40" s="236">
        <f>F25</f>
        <v>33.54</v>
      </c>
      <c r="C40" s="236">
        <f>B46-B40</f>
        <v>5.6499999999999986</v>
      </c>
      <c r="D40" s="237">
        <f>C40/10</f>
        <v>0.56499999999999984</v>
      </c>
    </row>
    <row r="41" spans="1:4" x14ac:dyDescent="0.15">
      <c r="A41" s="228">
        <v>241</v>
      </c>
      <c r="B41" s="235">
        <f>B40+D41</f>
        <v>33.72</v>
      </c>
      <c r="D41">
        <v>0.18</v>
      </c>
    </row>
    <row r="42" spans="1:4" x14ac:dyDescent="0.15">
      <c r="A42" s="228">
        <v>242</v>
      </c>
      <c r="B42" s="235">
        <f>B41+D42</f>
        <v>33.879999999999995</v>
      </c>
      <c r="D42">
        <v>0.16</v>
      </c>
    </row>
    <row r="43" spans="1:4" x14ac:dyDescent="0.15">
      <c r="A43" s="228">
        <v>243</v>
      </c>
      <c r="B43" s="235">
        <f>B42+D43</f>
        <v>34.029999999999994</v>
      </c>
      <c r="D43">
        <v>0.15</v>
      </c>
    </row>
    <row r="44" spans="1:4" x14ac:dyDescent="0.15">
      <c r="A44" s="228">
        <v>244</v>
      </c>
      <c r="B44" s="235">
        <f>B43+D44</f>
        <v>34.169999999999995</v>
      </c>
      <c r="D44">
        <v>0.14000000000000001</v>
      </c>
    </row>
    <row r="45" spans="1:4" x14ac:dyDescent="0.15">
      <c r="A45" s="228">
        <v>245</v>
      </c>
      <c r="B45" s="235">
        <f>B44+D45</f>
        <v>34.299999999999997</v>
      </c>
      <c r="D45">
        <v>0.13</v>
      </c>
    </row>
    <row r="46" spans="1:4" x14ac:dyDescent="0.15">
      <c r="A46" s="228">
        <v>250</v>
      </c>
      <c r="B46" s="236">
        <f>F26</f>
        <v>39.19</v>
      </c>
      <c r="C46" s="236">
        <f>B48-B46</f>
        <v>0.95000000000000284</v>
      </c>
      <c r="D46" s="236">
        <f>C46/2</f>
        <v>0.47500000000000142</v>
      </c>
    </row>
    <row r="47" spans="1:4" x14ac:dyDescent="0.15">
      <c r="A47" s="228">
        <v>255</v>
      </c>
      <c r="B47" s="235">
        <f>B46+D47</f>
        <v>39.299999999999997</v>
      </c>
      <c r="D47">
        <v>0.11</v>
      </c>
    </row>
    <row r="48" spans="1:4" x14ac:dyDescent="0.15">
      <c r="A48" s="228">
        <v>260</v>
      </c>
      <c r="B48" s="236">
        <f>F27</f>
        <v>40.14</v>
      </c>
      <c r="C48" s="236">
        <f>B50-B48</f>
        <v>0.93999999999999773</v>
      </c>
      <c r="D48" s="236">
        <f>C48/2</f>
        <v>0.46999999999999886</v>
      </c>
    </row>
    <row r="49" spans="1:6" x14ac:dyDescent="0.15">
      <c r="A49" s="228">
        <v>265</v>
      </c>
      <c r="B49" s="235">
        <f>B48+D49</f>
        <v>40.25</v>
      </c>
      <c r="D49">
        <v>0.11</v>
      </c>
    </row>
    <row r="50" spans="1:6" x14ac:dyDescent="0.15">
      <c r="A50" s="228">
        <v>270</v>
      </c>
      <c r="B50" s="236">
        <f>F28</f>
        <v>41.08</v>
      </c>
      <c r="C50" s="236">
        <f>B56-B50</f>
        <v>0.94000000000000483</v>
      </c>
      <c r="D50" s="238">
        <f>C50/6</f>
        <v>0.15666666666666748</v>
      </c>
    </row>
    <row r="51" spans="1:6" x14ac:dyDescent="0.15">
      <c r="A51" s="228">
        <v>275</v>
      </c>
      <c r="B51" s="235">
        <f>B50+D51</f>
        <v>41.15</v>
      </c>
      <c r="D51">
        <v>7.0000000000000007E-2</v>
      </c>
    </row>
    <row r="52" spans="1:6" x14ac:dyDescent="0.15">
      <c r="A52" s="228">
        <v>280</v>
      </c>
      <c r="B52" s="235">
        <f>B51+D52</f>
        <v>41.199999999999996</v>
      </c>
      <c r="D52">
        <v>0.05</v>
      </c>
    </row>
    <row r="53" spans="1:6" x14ac:dyDescent="0.15">
      <c r="A53" s="228">
        <v>285</v>
      </c>
      <c r="B53" s="235">
        <f>B52+D53</f>
        <v>41.239999999999995</v>
      </c>
      <c r="D53">
        <v>0.04</v>
      </c>
    </row>
    <row r="54" spans="1:6" x14ac:dyDescent="0.15">
      <c r="A54" s="228">
        <v>290</v>
      </c>
      <c r="B54" s="235">
        <f>B53+D54</f>
        <v>41.269999999999996</v>
      </c>
      <c r="D54">
        <v>0.03</v>
      </c>
    </row>
    <row r="55" spans="1:6" x14ac:dyDescent="0.15">
      <c r="A55" s="228">
        <v>295</v>
      </c>
      <c r="B55" s="235">
        <f>B54+D55</f>
        <v>41.29</v>
      </c>
      <c r="D55">
        <v>0.02</v>
      </c>
    </row>
    <row r="56" spans="1:6" x14ac:dyDescent="0.15">
      <c r="A56" s="228">
        <v>300</v>
      </c>
      <c r="B56" s="236">
        <f>F29</f>
        <v>42.02</v>
      </c>
      <c r="C56" s="236">
        <f>B60-B56</f>
        <v>0.94999999999999574</v>
      </c>
      <c r="D56" s="236">
        <f>C56/4</f>
        <v>0.23749999999999893</v>
      </c>
    </row>
    <row r="57" spans="1:6" x14ac:dyDescent="0.15">
      <c r="A57" s="228">
        <v>315</v>
      </c>
      <c r="B57" s="235">
        <f>B56+D57</f>
        <v>42.1</v>
      </c>
      <c r="D57">
        <v>0.08</v>
      </c>
    </row>
    <row r="58" spans="1:6" x14ac:dyDescent="0.15">
      <c r="A58" s="228">
        <v>330</v>
      </c>
      <c r="B58" s="235">
        <f>B57+D58</f>
        <v>42.160000000000004</v>
      </c>
      <c r="D58">
        <v>0.06</v>
      </c>
    </row>
    <row r="59" spans="1:6" x14ac:dyDescent="0.15">
      <c r="A59" s="228">
        <v>345</v>
      </c>
      <c r="B59" s="235">
        <f>B58+D59</f>
        <v>42.21</v>
      </c>
      <c r="D59">
        <v>0.05</v>
      </c>
    </row>
    <row r="60" spans="1:6" x14ac:dyDescent="0.15">
      <c r="A60" s="230">
        <v>360</v>
      </c>
      <c r="B60" s="236">
        <f>F30</f>
        <v>42.97</v>
      </c>
      <c r="C60" s="236">
        <f>B66-B60</f>
        <v>6.3000000000000043</v>
      </c>
      <c r="D60" s="237">
        <f>C60/10</f>
        <v>0.63000000000000045</v>
      </c>
    </row>
    <row r="61" spans="1:6" x14ac:dyDescent="0.15">
      <c r="A61" s="228">
        <v>361</v>
      </c>
      <c r="B61" s="235">
        <f>B60+D61</f>
        <v>43.16</v>
      </c>
      <c r="D61">
        <v>0.19</v>
      </c>
    </row>
    <row r="62" spans="1:6" x14ac:dyDescent="0.15">
      <c r="A62" s="228">
        <v>362</v>
      </c>
      <c r="B62" s="235">
        <f>B61+D62</f>
        <v>43.33</v>
      </c>
      <c r="D62">
        <v>0.17</v>
      </c>
    </row>
    <row r="63" spans="1:6" x14ac:dyDescent="0.15">
      <c r="A63" s="228">
        <v>363</v>
      </c>
      <c r="B63" s="235">
        <f>B62+D63</f>
        <v>43.489999999999995</v>
      </c>
      <c r="D63">
        <v>0.16</v>
      </c>
      <c r="E63">
        <v>370</v>
      </c>
      <c r="F63">
        <f>단계양수시험!G42</f>
        <v>49.27</v>
      </c>
    </row>
    <row r="64" spans="1:6" x14ac:dyDescent="0.15">
      <c r="A64" s="228">
        <v>364</v>
      </c>
      <c r="B64" s="235">
        <f>B63+D64</f>
        <v>43.639999999999993</v>
      </c>
      <c r="D64">
        <v>0.15</v>
      </c>
      <c r="E64">
        <v>380</v>
      </c>
      <c r="F64">
        <f>단계양수시험!G43</f>
        <v>50.32</v>
      </c>
    </row>
    <row r="65" spans="1:6" x14ac:dyDescent="0.15">
      <c r="A65" s="228">
        <v>365</v>
      </c>
      <c r="B65" s="235">
        <f>B64+D65</f>
        <v>43.779999999999994</v>
      </c>
      <c r="D65">
        <v>0.14000000000000001</v>
      </c>
      <c r="E65">
        <v>390</v>
      </c>
      <c r="F65">
        <f>단계양수시험!G44</f>
        <v>51.37</v>
      </c>
    </row>
    <row r="66" spans="1:6" x14ac:dyDescent="0.15">
      <c r="A66" s="228">
        <v>370</v>
      </c>
      <c r="B66" s="236">
        <f>F63</f>
        <v>49.27</v>
      </c>
      <c r="C66" s="239">
        <f>B68-B66</f>
        <v>1.0499999999999972</v>
      </c>
      <c r="D66" s="236">
        <f>C66/2</f>
        <v>0.52499999999999858</v>
      </c>
      <c r="E66">
        <v>420</v>
      </c>
      <c r="F66">
        <f>단계양수시험!G45</f>
        <v>52.42</v>
      </c>
    </row>
    <row r="67" spans="1:6" x14ac:dyDescent="0.15">
      <c r="A67" s="228">
        <v>375</v>
      </c>
      <c r="B67" s="235">
        <f>B66+D67</f>
        <v>49.39</v>
      </c>
      <c r="D67">
        <v>0.12</v>
      </c>
      <c r="E67">
        <v>480</v>
      </c>
      <c r="F67">
        <f>단계양수시험!G46</f>
        <v>53.48</v>
      </c>
    </row>
    <row r="68" spans="1:6" x14ac:dyDescent="0.15">
      <c r="A68" s="228">
        <v>380</v>
      </c>
      <c r="B68" s="240">
        <f>F64</f>
        <v>50.32</v>
      </c>
      <c r="C68" s="236">
        <f>B70-B68</f>
        <v>1.0499999999999972</v>
      </c>
      <c r="D68" s="236">
        <f>C68/2</f>
        <v>0.52499999999999858</v>
      </c>
      <c r="E68">
        <v>490</v>
      </c>
      <c r="F68">
        <f>단계양수시험!G47</f>
        <v>59.89</v>
      </c>
    </row>
    <row r="69" spans="1:6" x14ac:dyDescent="0.15">
      <c r="A69" s="228">
        <v>385</v>
      </c>
      <c r="B69" s="235">
        <f>B68+D69</f>
        <v>50.44</v>
      </c>
      <c r="D69">
        <v>0.12</v>
      </c>
      <c r="E69">
        <v>500</v>
      </c>
      <c r="F69">
        <f>단계양수시험!G48</f>
        <v>62.3</v>
      </c>
    </row>
    <row r="70" spans="1:6" x14ac:dyDescent="0.15">
      <c r="A70" s="228">
        <v>390</v>
      </c>
      <c r="B70" s="240">
        <f>F65</f>
        <v>51.37</v>
      </c>
      <c r="C70" s="236">
        <f>B76-B70</f>
        <v>1.0500000000000043</v>
      </c>
      <c r="D70" s="238">
        <f>C70/6</f>
        <v>0.17500000000000071</v>
      </c>
      <c r="E70">
        <v>510</v>
      </c>
      <c r="F70">
        <f>단계양수시험!G49</f>
        <v>64.7</v>
      </c>
    </row>
    <row r="71" spans="1:6" x14ac:dyDescent="0.15">
      <c r="A71" s="228">
        <v>395</v>
      </c>
      <c r="B71" s="235">
        <f>B70+D71</f>
        <v>51.44</v>
      </c>
      <c r="D71">
        <v>7.0000000000000007E-2</v>
      </c>
      <c r="E71">
        <v>540</v>
      </c>
      <c r="F71">
        <f>단계양수시험!G50</f>
        <v>67.11</v>
      </c>
    </row>
    <row r="72" spans="1:6" x14ac:dyDescent="0.15">
      <c r="A72" s="228">
        <v>400</v>
      </c>
      <c r="B72" s="235">
        <f>B71+D72</f>
        <v>51.489999999999995</v>
      </c>
      <c r="D72">
        <v>0.05</v>
      </c>
      <c r="E72">
        <v>600</v>
      </c>
      <c r="F72">
        <f>단계양수시험!G51</f>
        <v>69.52</v>
      </c>
    </row>
    <row r="73" spans="1:6" x14ac:dyDescent="0.15">
      <c r="A73" s="228">
        <v>405</v>
      </c>
      <c r="B73" s="235">
        <f>B72+D73</f>
        <v>51.529999999999994</v>
      </c>
      <c r="D73">
        <v>0.04</v>
      </c>
    </row>
    <row r="74" spans="1:6" x14ac:dyDescent="0.15">
      <c r="A74" s="228">
        <v>410</v>
      </c>
      <c r="B74" s="235">
        <f>B73+D74</f>
        <v>51.559999999999995</v>
      </c>
      <c r="D74">
        <v>0.03</v>
      </c>
    </row>
    <row r="75" spans="1:6" x14ac:dyDescent="0.15">
      <c r="A75" s="228">
        <v>415</v>
      </c>
      <c r="B75" s="235">
        <f>B74+D75</f>
        <v>51.589999999999996</v>
      </c>
      <c r="D75">
        <v>0.03</v>
      </c>
    </row>
    <row r="76" spans="1:6" x14ac:dyDescent="0.15">
      <c r="A76" s="228">
        <v>420</v>
      </c>
      <c r="B76" s="240">
        <f>F66</f>
        <v>52.42</v>
      </c>
      <c r="C76" s="236">
        <f>B80-B76</f>
        <v>1.0599999999999952</v>
      </c>
      <c r="D76" s="236">
        <f>C76/4</f>
        <v>0.26499999999999879</v>
      </c>
    </row>
    <row r="77" spans="1:6" x14ac:dyDescent="0.15">
      <c r="A77" s="228">
        <v>435</v>
      </c>
      <c r="B77" s="235">
        <f>B76+D77</f>
        <v>52.510000000000005</v>
      </c>
      <c r="D77">
        <v>0.09</v>
      </c>
    </row>
    <row r="78" spans="1:6" x14ac:dyDescent="0.15">
      <c r="A78" s="228">
        <v>450</v>
      </c>
      <c r="B78" s="235">
        <f>B77+D78</f>
        <v>52.580000000000005</v>
      </c>
      <c r="D78">
        <v>7.0000000000000007E-2</v>
      </c>
    </row>
    <row r="79" spans="1:6" x14ac:dyDescent="0.15">
      <c r="A79" s="228">
        <v>465</v>
      </c>
      <c r="B79" s="235">
        <f>B78+D79</f>
        <v>52.63</v>
      </c>
      <c r="D79">
        <v>0.05</v>
      </c>
    </row>
    <row r="80" spans="1:6" x14ac:dyDescent="0.15">
      <c r="A80" s="230">
        <v>480</v>
      </c>
      <c r="B80" s="240">
        <f>F67</f>
        <v>53.48</v>
      </c>
      <c r="C80" s="236">
        <f>B86-B80</f>
        <v>6.4100000000000037</v>
      </c>
      <c r="D80" s="237">
        <f>C80/10</f>
        <v>0.64100000000000035</v>
      </c>
    </row>
    <row r="81" spans="1:4" x14ac:dyDescent="0.15">
      <c r="A81" s="228">
        <v>481</v>
      </c>
      <c r="B81" s="235">
        <f>B80+D81</f>
        <v>53.69</v>
      </c>
      <c r="D81">
        <v>0.21</v>
      </c>
    </row>
    <row r="82" spans="1:4" x14ac:dyDescent="0.15">
      <c r="A82" s="228">
        <v>482</v>
      </c>
      <c r="B82" s="235">
        <f>B81+D82</f>
        <v>53.879999999999995</v>
      </c>
      <c r="D82">
        <v>0.19</v>
      </c>
    </row>
    <row r="83" spans="1:4" x14ac:dyDescent="0.15">
      <c r="A83" s="228">
        <v>483</v>
      </c>
      <c r="B83" s="235">
        <f>B82+D83</f>
        <v>54.05</v>
      </c>
      <c r="D83">
        <v>0.17</v>
      </c>
    </row>
    <row r="84" spans="1:4" x14ac:dyDescent="0.15">
      <c r="A84" s="228">
        <v>484</v>
      </c>
      <c r="B84" s="235">
        <f>B83+D84</f>
        <v>54.209999999999994</v>
      </c>
      <c r="D84">
        <v>0.16</v>
      </c>
    </row>
    <row r="85" spans="1:4" x14ac:dyDescent="0.15">
      <c r="A85" s="228">
        <v>485</v>
      </c>
      <c r="B85" s="235">
        <f>B84+D85</f>
        <v>54.349999999999994</v>
      </c>
      <c r="D85">
        <v>0.14000000000000001</v>
      </c>
    </row>
    <row r="86" spans="1:4" x14ac:dyDescent="0.15">
      <c r="A86" s="228">
        <v>490</v>
      </c>
      <c r="B86" s="240">
        <f>F68</f>
        <v>59.89</v>
      </c>
      <c r="C86" s="236">
        <f>B88-B86</f>
        <v>2.4099999999999966</v>
      </c>
      <c r="D86" s="236">
        <f>C86/2</f>
        <v>1.2049999999999983</v>
      </c>
    </row>
    <row r="87" spans="1:4" x14ac:dyDescent="0.15">
      <c r="A87" s="228">
        <v>495</v>
      </c>
      <c r="B87" s="235">
        <f>B86+D87</f>
        <v>60.2</v>
      </c>
      <c r="D87">
        <v>0.31</v>
      </c>
    </row>
    <row r="88" spans="1:4" x14ac:dyDescent="0.15">
      <c r="A88" s="228">
        <v>500</v>
      </c>
      <c r="B88" s="240">
        <f>F69</f>
        <v>62.3</v>
      </c>
      <c r="C88" s="236">
        <f>B90-B88</f>
        <v>2.4000000000000057</v>
      </c>
      <c r="D88" s="236">
        <f>C88/2</f>
        <v>1.2000000000000028</v>
      </c>
    </row>
    <row r="89" spans="1:4" x14ac:dyDescent="0.15">
      <c r="A89" s="228">
        <v>505</v>
      </c>
      <c r="B89" s="235">
        <f>B88+D89</f>
        <v>62.599999999999994</v>
      </c>
      <c r="D89">
        <v>0.3</v>
      </c>
    </row>
    <row r="90" spans="1:4" x14ac:dyDescent="0.15">
      <c r="A90" s="228">
        <v>510</v>
      </c>
      <c r="B90" s="240">
        <f>F70</f>
        <v>64.7</v>
      </c>
      <c r="C90" s="236">
        <f>B96-B90</f>
        <v>2.4099999999999966</v>
      </c>
      <c r="D90" s="238">
        <f>C90/6</f>
        <v>0.40166666666666612</v>
      </c>
    </row>
    <row r="91" spans="1:4" x14ac:dyDescent="0.15">
      <c r="A91" s="228">
        <v>515</v>
      </c>
      <c r="B91" s="235">
        <f>B90+D91</f>
        <v>64.850000000000009</v>
      </c>
      <c r="D91">
        <v>0.15</v>
      </c>
    </row>
    <row r="92" spans="1:4" x14ac:dyDescent="0.15">
      <c r="A92" s="228">
        <v>520</v>
      </c>
      <c r="B92" s="235">
        <f>B91+D92</f>
        <v>64.98</v>
      </c>
      <c r="D92">
        <v>0.13</v>
      </c>
    </row>
    <row r="93" spans="1:4" x14ac:dyDescent="0.15">
      <c r="A93" s="228">
        <v>525</v>
      </c>
      <c r="B93" s="235">
        <f>B92+D93</f>
        <v>65.09</v>
      </c>
      <c r="D93">
        <v>0.11</v>
      </c>
    </row>
    <row r="94" spans="1:4" x14ac:dyDescent="0.15">
      <c r="A94" s="228">
        <v>530</v>
      </c>
      <c r="B94" s="235">
        <f>B93+D94</f>
        <v>65.17</v>
      </c>
      <c r="D94">
        <v>0.08</v>
      </c>
    </row>
    <row r="95" spans="1:4" x14ac:dyDescent="0.15">
      <c r="A95" s="228">
        <v>535</v>
      </c>
      <c r="B95" s="235">
        <f>B94+D95</f>
        <v>65.239999999999995</v>
      </c>
      <c r="D95">
        <v>7.0000000000000007E-2</v>
      </c>
    </row>
    <row r="96" spans="1:4" x14ac:dyDescent="0.15">
      <c r="A96" s="228">
        <v>540</v>
      </c>
      <c r="B96" s="240">
        <f>F71</f>
        <v>67.11</v>
      </c>
      <c r="C96" s="236">
        <f>B100-B96</f>
        <v>2.4099999999999966</v>
      </c>
      <c r="D96" s="236">
        <f>C96/4</f>
        <v>0.60249999999999915</v>
      </c>
    </row>
    <row r="97" spans="1:4" x14ac:dyDescent="0.15">
      <c r="A97" s="228">
        <v>555</v>
      </c>
      <c r="B97" s="235">
        <f>B96+D97</f>
        <v>67.3</v>
      </c>
      <c r="D97">
        <v>0.19</v>
      </c>
    </row>
    <row r="98" spans="1:4" x14ac:dyDescent="0.15">
      <c r="A98" s="228">
        <v>570</v>
      </c>
      <c r="B98" s="235">
        <f>B97+D98</f>
        <v>67.459999999999994</v>
      </c>
      <c r="D98">
        <v>0.16</v>
      </c>
    </row>
    <row r="99" spans="1:4" x14ac:dyDescent="0.15">
      <c r="A99" s="228">
        <v>585</v>
      </c>
      <c r="B99" s="235">
        <f>B98+D99</f>
        <v>67.599999999999994</v>
      </c>
      <c r="D99">
        <v>0.14000000000000001</v>
      </c>
    </row>
    <row r="100" spans="1:4" x14ac:dyDescent="0.15">
      <c r="A100" s="230">
        <v>600</v>
      </c>
      <c r="B100" s="203">
        <f>F72</f>
        <v>69.52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58.816666666666663</v>
      </c>
      <c r="F1" s="231"/>
      <c r="G1" s="231">
        <f>E1/E2</f>
        <v>0.87786069651741283</v>
      </c>
    </row>
    <row r="2" spans="1:19" x14ac:dyDescent="0.15">
      <c r="A2" s="47" t="s">
        <v>186</v>
      </c>
      <c r="B2" s="47" t="s">
        <v>187</v>
      </c>
      <c r="D2" s="20">
        <f>D19</f>
        <v>112</v>
      </c>
      <c r="E2" s="231">
        <f>M51/3</f>
        <v>67</v>
      </c>
      <c r="F2" s="275" t="s">
        <v>189</v>
      </c>
      <c r="G2" s="274" t="s">
        <v>222</v>
      </c>
    </row>
    <row r="3" spans="1:19" x14ac:dyDescent="0.15">
      <c r="A3" s="179">
        <f>B3+$M$48</f>
        <v>29.93</v>
      </c>
      <c r="B3" s="277">
        <f>B20</f>
        <v>25.15</v>
      </c>
      <c r="C3" s="19"/>
      <c r="D3" s="276">
        <f t="shared" ref="D3:D7" si="0">D20</f>
        <v>125</v>
      </c>
      <c r="E3" s="17">
        <f>D3/12</f>
        <v>10.416666666666666</v>
      </c>
      <c r="F3" s="21">
        <f>INT(B3/D3*1000)/1000</f>
        <v>0.20100000000000001</v>
      </c>
      <c r="G3" s="21">
        <f>1/F3</f>
        <v>4.9751243781094523</v>
      </c>
    </row>
    <row r="4" spans="1:19" x14ac:dyDescent="0.15">
      <c r="A4" s="179">
        <f>B4+$M$48</f>
        <v>38.32</v>
      </c>
      <c r="B4" s="19">
        <f>B21</f>
        <v>33.54</v>
      </c>
      <c r="C4" s="19"/>
      <c r="D4" s="20">
        <f t="shared" si="0"/>
        <v>159</v>
      </c>
      <c r="E4" s="17">
        <f>D4/12</f>
        <v>13.25</v>
      </c>
      <c r="F4" s="21">
        <f>INT(B4/D4*1000)/1000</f>
        <v>0.21</v>
      </c>
      <c r="G4" s="21">
        <f t="shared" ref="G4:G7" si="1">1/F4</f>
        <v>4.7619047619047619</v>
      </c>
    </row>
    <row r="5" spans="1:19" x14ac:dyDescent="0.15">
      <c r="A5" s="179">
        <f>B5+$M$48</f>
        <v>47.75</v>
      </c>
      <c r="B5" s="19">
        <f>B22</f>
        <v>42.97</v>
      </c>
      <c r="C5" s="19"/>
      <c r="D5" s="20">
        <f t="shared" si="0"/>
        <v>193.79999999999998</v>
      </c>
      <c r="E5" s="17">
        <f>D5/12</f>
        <v>16.149999999999999</v>
      </c>
      <c r="F5" s="21">
        <f>INT(B5/D5*1000)/1000</f>
        <v>0.221</v>
      </c>
      <c r="G5" s="21">
        <f t="shared" si="1"/>
        <v>4.5248868778280542</v>
      </c>
    </row>
    <row r="6" spans="1:19" x14ac:dyDescent="0.15">
      <c r="A6" s="179">
        <f>B6+$M$48</f>
        <v>58.26</v>
      </c>
      <c r="B6" s="277">
        <f>B23</f>
        <v>53.48</v>
      </c>
      <c r="C6" s="19"/>
      <c r="D6" s="17">
        <f t="shared" si="0"/>
        <v>228</v>
      </c>
      <c r="E6" s="17">
        <f>D6/12</f>
        <v>19</v>
      </c>
      <c r="F6" s="21">
        <f>INT(B6/D6*1000)/1000</f>
        <v>0.23400000000000001</v>
      </c>
      <c r="G6" s="21">
        <f t="shared" si="1"/>
        <v>4.2735042735042734</v>
      </c>
    </row>
    <row r="7" spans="1:19" x14ac:dyDescent="0.15">
      <c r="A7" s="179">
        <f>B7+$M$48</f>
        <v>74.3</v>
      </c>
      <c r="B7" s="19">
        <f>B24</f>
        <v>69.52</v>
      </c>
      <c r="C7" s="19"/>
      <c r="D7" s="20">
        <f t="shared" si="0"/>
        <v>262.2</v>
      </c>
      <c r="E7" s="17">
        <f>D7/12</f>
        <v>21.849999999999998</v>
      </c>
      <c r="F7" s="21">
        <f>INT(B7/D7*1000)/1000</f>
        <v>0.26500000000000001</v>
      </c>
      <c r="G7" s="21">
        <f t="shared" si="1"/>
        <v>3.773584905660377</v>
      </c>
    </row>
    <row r="8" spans="1:19" x14ac:dyDescent="0.15">
      <c r="B8" s="17" t="s">
        <v>0</v>
      </c>
      <c r="E8" s="488" t="s">
        <v>124</v>
      </c>
      <c r="F8" s="488"/>
      <c r="G8" s="488"/>
    </row>
    <row r="9" spans="1:19" x14ac:dyDescent="0.15">
      <c r="A9" s="273" t="s">
        <v>194</v>
      </c>
      <c r="B9" s="273" t="s">
        <v>195</v>
      </c>
      <c r="E9" s="86">
        <v>0.98</v>
      </c>
      <c r="F9" s="489" t="s">
        <v>114</v>
      </c>
      <c r="G9" s="489"/>
    </row>
    <row r="10" spans="1:19" x14ac:dyDescent="0.15">
      <c r="A10" s="272">
        <f>D20/B20</f>
        <v>4.9701789264413518</v>
      </c>
      <c r="B10" s="272">
        <f>B20/D20</f>
        <v>0.20119999999999999</v>
      </c>
      <c r="E10" s="86">
        <v>0.98</v>
      </c>
      <c r="F10" s="489" t="s">
        <v>115</v>
      </c>
      <c r="G10" s="489"/>
    </row>
    <row r="11" spans="1:19" x14ac:dyDescent="0.15">
      <c r="A11" s="272">
        <f t="shared" ref="A11:A14" si="2">D21/B21</f>
        <v>4.7406082289803217</v>
      </c>
      <c r="B11" s="272">
        <f t="shared" ref="B11:B14" si="3">B21/D21</f>
        <v>0.21094339622641509</v>
      </c>
      <c r="D11" s="17" t="s">
        <v>0</v>
      </c>
      <c r="E11" s="86">
        <v>0.98</v>
      </c>
      <c r="F11" s="489" t="s">
        <v>116</v>
      </c>
      <c r="G11" s="489"/>
    </row>
    <row r="12" spans="1:19" x14ac:dyDescent="0.15">
      <c r="A12" s="272">
        <f t="shared" si="2"/>
        <v>4.5101233418664179</v>
      </c>
      <c r="B12" s="272">
        <f t="shared" si="3"/>
        <v>0.22172342621259031</v>
      </c>
      <c r="E12" s="86">
        <v>1</v>
      </c>
      <c r="F12" s="489" t="s">
        <v>117</v>
      </c>
      <c r="G12" s="489"/>
    </row>
    <row r="13" spans="1:19" x14ac:dyDescent="0.15">
      <c r="A13" s="272">
        <f t="shared" si="2"/>
        <v>4.263275991024682</v>
      </c>
      <c r="B13" s="272">
        <f t="shared" si="3"/>
        <v>0.23456140350877192</v>
      </c>
      <c r="D13" s="17" t="s">
        <v>0</v>
      </c>
      <c r="E13" s="488" t="s">
        <v>123</v>
      </c>
      <c r="F13" s="488"/>
      <c r="G13" s="488"/>
    </row>
    <row r="14" spans="1:19" x14ac:dyDescent="0.15">
      <c r="A14" s="272">
        <f t="shared" si="2"/>
        <v>3.7715765247410817</v>
      </c>
      <c r="B14" s="272">
        <f t="shared" si="3"/>
        <v>0.26514111365369947</v>
      </c>
      <c r="E14" s="87">
        <v>1</v>
      </c>
      <c r="F14" s="489" t="s">
        <v>114</v>
      </c>
      <c r="G14" s="489"/>
    </row>
    <row r="15" spans="1:19" x14ac:dyDescent="0.15">
      <c r="E15" s="87">
        <v>1</v>
      </c>
      <c r="F15" s="489" t="s">
        <v>115</v>
      </c>
      <c r="G15" s="489"/>
    </row>
    <row r="16" spans="1:19" x14ac:dyDescent="0.15">
      <c r="B16" s="38" t="s">
        <v>121</v>
      </c>
      <c r="D16" s="77" t="s">
        <v>122</v>
      </c>
      <c r="E16" s="87">
        <v>1</v>
      </c>
      <c r="F16" s="489" t="s">
        <v>116</v>
      </c>
      <c r="G16" s="489"/>
      <c r="R16" s="18">
        <v>0.128</v>
      </c>
      <c r="S16" s="18">
        <f>ROUNDDOWN(R16,1)</f>
        <v>0.1</v>
      </c>
    </row>
    <row r="17" spans="1:21" x14ac:dyDescent="0.15">
      <c r="B17" s="82">
        <f>M52</f>
        <v>53.48</v>
      </c>
      <c r="D17" s="85">
        <f>M47</f>
        <v>228</v>
      </c>
      <c r="E17" s="87">
        <v>1</v>
      </c>
      <c r="F17" s="489" t="s">
        <v>117</v>
      </c>
      <c r="G17" s="489"/>
      <c r="P17" s="348"/>
      <c r="Q17" s="347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48"/>
    </row>
    <row r="19" spans="1:21" x14ac:dyDescent="0.15">
      <c r="B19" s="83"/>
      <c r="C19" s="19"/>
      <c r="D19" s="81">
        <f>INT(D20*0.9)</f>
        <v>112</v>
      </c>
      <c r="F19" s="19"/>
      <c r="G19" s="19"/>
    </row>
    <row r="20" spans="1:21" x14ac:dyDescent="0.15">
      <c r="A20" s="252" t="s">
        <v>188</v>
      </c>
      <c r="B20" s="407">
        <f>INT(B$17*C20*100)/100</f>
        <v>25.15</v>
      </c>
      <c r="C20" s="17">
        <f>0.48*E9</f>
        <v>0.47039999999999998</v>
      </c>
      <c r="D20" s="408">
        <f>INT(D$17*E20)</f>
        <v>125</v>
      </c>
      <c r="E20" s="406">
        <f>0.55*E14</f>
        <v>0.55000000000000004</v>
      </c>
      <c r="F20" s="21">
        <f>B20/D20</f>
        <v>0.20119999999999999</v>
      </c>
      <c r="G20" s="17">
        <f>F20-F19</f>
        <v>0.20119999999999999</v>
      </c>
    </row>
    <row r="21" spans="1:21" x14ac:dyDescent="0.15">
      <c r="A21" s="19">
        <f>B21-B20</f>
        <v>8.39</v>
      </c>
      <c r="B21" s="407">
        <f>INT(B$17*C21*100)/100</f>
        <v>33.54</v>
      </c>
      <c r="C21" s="17">
        <f>0.64*E10</f>
        <v>0.62719999999999998</v>
      </c>
      <c r="D21" s="408">
        <f>INT(D$17*E21)</f>
        <v>159</v>
      </c>
      <c r="E21" s="406">
        <f>0.7*E15</f>
        <v>0.7</v>
      </c>
      <c r="F21" s="21">
        <f>B21/D21</f>
        <v>0.21094339622641509</v>
      </c>
      <c r="G21" s="17">
        <f>F21-F20</f>
        <v>9.7433962264150964E-3</v>
      </c>
      <c r="N21" s="108" t="s">
        <v>135</v>
      </c>
      <c r="O21" s="463" t="s">
        <v>126</v>
      </c>
      <c r="P21" s="463"/>
      <c r="Q21" s="463" t="s">
        <v>129</v>
      </c>
      <c r="R21" s="463"/>
      <c r="S21" s="463" t="s">
        <v>131</v>
      </c>
      <c r="T21" s="463"/>
      <c r="U21" s="94" t="s">
        <v>132</v>
      </c>
    </row>
    <row r="22" spans="1:21" x14ac:dyDescent="0.15">
      <c r="A22" s="19">
        <f>B22-B21</f>
        <v>9.43</v>
      </c>
      <c r="B22" s="407">
        <f>INT(B$17*C22*100)/100</f>
        <v>42.97</v>
      </c>
      <c r="C22" s="17">
        <f>0.82*E11</f>
        <v>0.80359999999999998</v>
      </c>
      <c r="D22" s="409">
        <f>(D$17*E22)</f>
        <v>193.79999999999998</v>
      </c>
      <c r="E22" s="406">
        <f>0.85*E16</f>
        <v>0.85</v>
      </c>
      <c r="F22" s="21">
        <f>B22/D22</f>
        <v>0.22172342621259031</v>
      </c>
      <c r="G22" s="17">
        <f>F22-F21</f>
        <v>1.0780029986175221E-2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10.509999999999998</v>
      </c>
      <c r="B23" s="407">
        <f>INT(B$17*C23*100)/100</f>
        <v>53.48</v>
      </c>
      <c r="C23" s="17">
        <v>1</v>
      </c>
      <c r="D23" s="408">
        <f>D$17*E23</f>
        <v>228</v>
      </c>
      <c r="E23" s="406">
        <v>1</v>
      </c>
      <c r="F23" s="21">
        <f>B23/D23</f>
        <v>0.23456140350877192</v>
      </c>
      <c r="G23" s="17">
        <f>F23-F22</f>
        <v>1.2837977296181607E-2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16.04</v>
      </c>
      <c r="B24" s="407">
        <f>INT(B$17*C24*100)/100</f>
        <v>69.52</v>
      </c>
      <c r="C24" s="17">
        <f>1.3*E12</f>
        <v>1.3</v>
      </c>
      <c r="D24" s="408">
        <f>D$17*E24</f>
        <v>262.2</v>
      </c>
      <c r="E24" s="406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0.26514111365369947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61" t="s">
        <v>118</v>
      </c>
      <c r="B26" s="461"/>
      <c r="C26" s="79">
        <f>INT(M51*1)</f>
        <v>201</v>
      </c>
      <c r="F26" s="178">
        <f>M50/M51</f>
        <v>0.29900497512437807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61" t="s">
        <v>119</v>
      </c>
      <c r="B27" s="461"/>
      <c r="C27" s="80">
        <f>가채수량!B7</f>
        <v>206.70244756432984</v>
      </c>
      <c r="D27" s="19">
        <f>(C27/D6)*100</f>
        <v>90.658968229969233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3.2249999999999998E-4</v>
      </c>
      <c r="B31" s="32">
        <v>0.1602063</v>
      </c>
      <c r="D31" s="20">
        <f t="shared" ref="D31:D36" si="4">D19</f>
        <v>112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3.2249999999999998E-4</v>
      </c>
      <c r="B32" s="17">
        <f t="shared" si="5"/>
        <v>0.1602063</v>
      </c>
      <c r="D32" s="20">
        <f t="shared" si="4"/>
        <v>125</v>
      </c>
      <c r="F32" s="23">
        <f>B32*D32/(B32*D32+A32*D32*D32)*100</f>
        <v>79.895900035308415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3.2249999999999998E-4</v>
      </c>
      <c r="B33" s="17">
        <f t="shared" si="5"/>
        <v>0.1602063</v>
      </c>
      <c r="D33" s="20">
        <f t="shared" si="4"/>
        <v>159</v>
      </c>
      <c r="F33" s="23">
        <f>B33*D33/(B33*D33+A33*D33*D33)*100</f>
        <v>75.753461967299614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3.2249999999999998E-4</v>
      </c>
      <c r="B34" s="17">
        <f t="shared" si="5"/>
        <v>0.1602063</v>
      </c>
      <c r="D34" s="20">
        <f t="shared" si="4"/>
        <v>193.79999999999998</v>
      </c>
      <c r="F34" s="23">
        <f>B34*D34/(B34*D34+A34*D34*D34)*100</f>
        <v>71.935971420719994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3.2249999999999998E-4</v>
      </c>
      <c r="B35" s="17">
        <f>B34</f>
        <v>0.1602063</v>
      </c>
      <c r="D35" s="20">
        <f t="shared" si="4"/>
        <v>228</v>
      </c>
      <c r="F35" s="23">
        <f>B35*D35/(B35*D35+A35*D35*D35)*100</f>
        <v>68.54147173545573</v>
      </c>
      <c r="G35" s="23"/>
    </row>
    <row r="36" spans="1:21" x14ac:dyDescent="0.15">
      <c r="D36" s="20">
        <f t="shared" si="4"/>
        <v>262.2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74.031701289695945</v>
      </c>
      <c r="P37" s="18">
        <v>3.2249999999999998E-4</v>
      </c>
      <c r="Q37" s="18">
        <v>0.11</v>
      </c>
    </row>
    <row r="38" spans="1:21" x14ac:dyDescent="0.15">
      <c r="A38" s="46">
        <v>71.361999999999995</v>
      </c>
      <c r="B38" s="47">
        <v>0.11</v>
      </c>
      <c r="C38" s="47">
        <v>93.471999999999994</v>
      </c>
      <c r="E38" s="17" t="s">
        <v>33</v>
      </c>
      <c r="P38" s="18">
        <v>0.1602063</v>
      </c>
      <c r="Q38" s="18">
        <v>93.471999999999994</v>
      </c>
    </row>
    <row r="39" spans="1:21" x14ac:dyDescent="0.15">
      <c r="A39" s="24"/>
      <c r="B39" s="25" t="s">
        <v>34</v>
      </c>
      <c r="C39" s="19">
        <f>(C38-A38)/B38</f>
        <v>201</v>
      </c>
      <c r="D39" s="17">
        <f>C38-B38*M51</f>
        <v>71.361999999999995</v>
      </c>
    </row>
    <row r="40" spans="1:21" x14ac:dyDescent="0.15">
      <c r="A40" s="24" t="s">
        <v>35</v>
      </c>
      <c r="B40" s="25" t="s">
        <v>34</v>
      </c>
      <c r="C40" s="17">
        <f>INT(C39)</f>
        <v>201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3.6539999999999999</v>
      </c>
      <c r="C43" s="17" t="s">
        <v>85</v>
      </c>
      <c r="I43" s="26"/>
      <c r="Q43" s="353" t="s">
        <v>235</v>
      </c>
      <c r="R43" s="353" t="s">
        <v>236</v>
      </c>
      <c r="S43" s="353" t="s">
        <v>237</v>
      </c>
      <c r="T43" s="353" t="s">
        <v>222</v>
      </c>
      <c r="U43" s="353" t="s">
        <v>189</v>
      </c>
    </row>
    <row r="44" spans="1:21" ht="16.5" x14ac:dyDescent="0.3">
      <c r="A44" s="109">
        <f>B58</f>
        <v>2</v>
      </c>
      <c r="B44" s="22" t="s">
        <v>16</v>
      </c>
      <c r="H44" s="410" t="s">
        <v>191</v>
      </c>
      <c r="I44" s="474" t="s">
        <v>255</v>
      </c>
      <c r="J44" s="475"/>
      <c r="K44" s="476"/>
      <c r="L44" s="365" t="s">
        <v>59</v>
      </c>
      <c r="M44" s="366">
        <v>250</v>
      </c>
      <c r="N44" s="365" t="s">
        <v>185</v>
      </c>
      <c r="Q44" s="356">
        <v>130</v>
      </c>
      <c r="R44" s="391">
        <v>29.6</v>
      </c>
      <c r="S44" s="391">
        <v>21.78</v>
      </c>
      <c r="T44" s="346">
        <v>5.9880239520958076</v>
      </c>
      <c r="U44" s="18">
        <v>0.16700000000000001</v>
      </c>
    </row>
    <row r="45" spans="1:21" ht="16.5" x14ac:dyDescent="0.3">
      <c r="A45" s="32">
        <v>5.0000000000000001E-4</v>
      </c>
      <c r="B45" s="22" t="s">
        <v>19</v>
      </c>
      <c r="H45" s="410" t="s">
        <v>54</v>
      </c>
      <c r="I45" s="367" t="s">
        <v>270</v>
      </c>
      <c r="J45" s="368"/>
      <c r="K45" s="366"/>
      <c r="L45" s="365" t="s">
        <v>60</v>
      </c>
      <c r="M45" s="366">
        <v>80</v>
      </c>
      <c r="N45" s="366">
        <f>M44</f>
        <v>250</v>
      </c>
      <c r="Q45" s="356">
        <v>166</v>
      </c>
      <c r="R45" s="391">
        <v>36.86</v>
      </c>
      <c r="S45" s="391">
        <v>29.04</v>
      </c>
      <c r="T45" s="346">
        <v>5.7471264367816097</v>
      </c>
      <c r="U45" s="18">
        <v>0.17399999999999999</v>
      </c>
    </row>
    <row r="46" spans="1:21" ht="16.5" x14ac:dyDescent="0.3">
      <c r="A46" s="17">
        <f>B34</f>
        <v>0.1602063</v>
      </c>
      <c r="B46" s="22" t="s">
        <v>36</v>
      </c>
      <c r="C46" s="470" t="s">
        <v>29</v>
      </c>
      <c r="D46" s="470"/>
      <c r="H46" s="410" t="s">
        <v>55</v>
      </c>
      <c r="I46" s="366" t="s">
        <v>271</v>
      </c>
      <c r="J46" s="368"/>
      <c r="K46" s="366"/>
      <c r="L46" s="365" t="s">
        <v>61</v>
      </c>
      <c r="M46" s="369">
        <f>IF(I52&gt;M48, M45-I52,M45-M48)</f>
        <v>75</v>
      </c>
      <c r="N46" s="370"/>
      <c r="Q46" s="356">
        <v>202</v>
      </c>
      <c r="R46" s="391">
        <v>45.03</v>
      </c>
      <c r="S46" s="391">
        <v>37.21</v>
      </c>
      <c r="T46" s="346">
        <v>5.4644808743169397</v>
      </c>
      <c r="U46" s="18">
        <v>0.183</v>
      </c>
    </row>
    <row r="47" spans="1:21" ht="16.5" x14ac:dyDescent="0.3">
      <c r="A47" s="17">
        <f>120/1440</f>
        <v>8.3333333333333329E-2</v>
      </c>
      <c r="B47" s="22" t="s">
        <v>24</v>
      </c>
      <c r="C47" s="470" t="s">
        <v>28</v>
      </c>
      <c r="D47" s="470"/>
      <c r="H47" s="410" t="s">
        <v>56</v>
      </c>
      <c r="I47" s="366" t="s">
        <v>256</v>
      </c>
      <c r="J47" s="368"/>
      <c r="K47" s="366"/>
      <c r="L47" s="365" t="s">
        <v>62</v>
      </c>
      <c r="M47" s="371">
        <f>INT((M51*100)/M53)</f>
        <v>228</v>
      </c>
      <c r="N47" s="370"/>
      <c r="Q47" s="356">
        <v>238</v>
      </c>
      <c r="R47" s="391">
        <v>53.2</v>
      </c>
      <c r="S47" s="391">
        <v>45.38</v>
      </c>
      <c r="T47" s="346">
        <v>5.2631578947368425</v>
      </c>
      <c r="U47" s="18">
        <v>0.19</v>
      </c>
    </row>
    <row r="48" spans="1:21" ht="16.5" x14ac:dyDescent="0.3">
      <c r="B48" s="22"/>
      <c r="H48" s="410" t="s">
        <v>57</v>
      </c>
      <c r="I48" s="366">
        <v>5</v>
      </c>
      <c r="J48" s="473" t="s">
        <v>252</v>
      </c>
      <c r="K48" s="473"/>
      <c r="L48" s="372" t="s">
        <v>63</v>
      </c>
      <c r="M48" s="373">
        <v>4.78</v>
      </c>
      <c r="N48" s="370"/>
      <c r="Q48" s="356">
        <v>274</v>
      </c>
      <c r="R48" s="391">
        <v>66.81</v>
      </c>
      <c r="S48" s="391">
        <v>58.99</v>
      </c>
      <c r="T48" s="346">
        <v>4.6511627906976747</v>
      </c>
      <c r="U48" s="18">
        <v>0.215</v>
      </c>
    </row>
    <row r="49" spans="1:17" ht="16.5" x14ac:dyDescent="0.3">
      <c r="A49" s="25" t="s">
        <v>37</v>
      </c>
      <c r="B49" s="21">
        <f>INT(SQRT(B54)*1000)/1000</f>
        <v>3.6589999999999998</v>
      </c>
      <c r="C49" s="22" t="s">
        <v>38</v>
      </c>
      <c r="D49" s="27" t="s">
        <v>18</v>
      </c>
      <c r="H49" s="464" t="s">
        <v>58</v>
      </c>
      <c r="I49" s="472" t="str">
        <f>I45</f>
        <v>대우리 지구</v>
      </c>
      <c r="J49" s="472"/>
      <c r="K49" s="472"/>
      <c r="L49" s="365" t="s">
        <v>64</v>
      </c>
      <c r="M49" s="373">
        <v>64.88</v>
      </c>
      <c r="N49" s="370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65"/>
      <c r="I50" s="472"/>
      <c r="J50" s="472"/>
      <c r="K50" s="472"/>
      <c r="L50" s="365" t="s">
        <v>65</v>
      </c>
      <c r="M50" s="374">
        <f>M49-M48</f>
        <v>60.099999999999994</v>
      </c>
      <c r="N50" s="370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66"/>
      <c r="I51" s="467" t="s">
        <v>113</v>
      </c>
      <c r="J51" s="468"/>
      <c r="K51" s="469"/>
      <c r="L51" s="375" t="s">
        <v>106</v>
      </c>
      <c r="M51" s="394">
        <v>201</v>
      </c>
      <c r="N51" s="370"/>
      <c r="Q51" s="18">
        <v>130</v>
      </c>
    </row>
    <row r="52" spans="1:17" ht="16.5" x14ac:dyDescent="0.3">
      <c r="A52" s="28" t="s">
        <v>41</v>
      </c>
      <c r="B52" s="17">
        <f>INT(10^((INT(5.46*A44*A46*1000))/1000)*1000)/1000</f>
        <v>56.103999999999999</v>
      </c>
      <c r="C52" s="17">
        <f>INT(B52*B51*1000)/1000</f>
        <v>2.8000000000000001E-2</v>
      </c>
      <c r="H52" s="376" t="s">
        <v>96</v>
      </c>
      <c r="I52" s="377">
        <v>5</v>
      </c>
      <c r="J52" s="376" t="s">
        <v>97</v>
      </c>
      <c r="K52" s="377">
        <v>0</v>
      </c>
      <c r="L52" s="378" t="s">
        <v>66</v>
      </c>
      <c r="M52" s="369">
        <f>INT(M50*0.89*100)/100</f>
        <v>53.48</v>
      </c>
      <c r="N52" s="379"/>
      <c r="Q52" s="18">
        <v>166</v>
      </c>
    </row>
    <row r="53" spans="1:17" ht="16.5" x14ac:dyDescent="0.3">
      <c r="H53" s="370"/>
      <c r="I53" s="462" t="s">
        <v>120</v>
      </c>
      <c r="J53" s="462"/>
      <c r="K53" s="462"/>
      <c r="L53" s="462"/>
      <c r="M53" s="380">
        <v>88</v>
      </c>
      <c r="N53" s="370"/>
      <c r="Q53" s="18">
        <v>202</v>
      </c>
    </row>
    <row r="54" spans="1:17" ht="18.75" customHeight="1" x14ac:dyDescent="0.15">
      <c r="A54" s="25" t="s">
        <v>40</v>
      </c>
      <c r="B54" s="17">
        <f>INT(C50/C52*1000)/1000</f>
        <v>13.391999999999999</v>
      </c>
      <c r="H54" s="357" t="s">
        <v>238</v>
      </c>
      <c r="I54" s="387" t="s">
        <v>239</v>
      </c>
      <c r="Q54" s="18">
        <v>238</v>
      </c>
    </row>
    <row r="55" spans="1:17" x14ac:dyDescent="0.15">
      <c r="A55" s="25"/>
      <c r="Q55" s="18">
        <v>274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83" t="s">
        <v>76</v>
      </c>
      <c r="E57" s="483"/>
      <c r="F57" s="483" t="s">
        <v>53</v>
      </c>
      <c r="G57" s="485"/>
      <c r="H57" s="48" t="s">
        <v>176</v>
      </c>
      <c r="I57" s="232">
        <f>M50</f>
        <v>60.099999999999994</v>
      </c>
      <c r="J57" s="43" t="s">
        <v>67</v>
      </c>
      <c r="K57" s="48" t="s">
        <v>68</v>
      </c>
      <c r="L57" s="471" t="s">
        <v>73</v>
      </c>
      <c r="M57" s="471"/>
      <c r="Q57" s="18">
        <v>29.6</v>
      </c>
    </row>
    <row r="58" spans="1:17" x14ac:dyDescent="0.15">
      <c r="A58" s="38" t="s">
        <v>47</v>
      </c>
      <c r="B58" s="39">
        <v>2</v>
      </c>
      <c r="C58" s="38"/>
      <c r="D58" s="483">
        <v>0.22439999999999999</v>
      </c>
      <c r="E58" s="483"/>
      <c r="F58" s="483"/>
      <c r="G58" s="485"/>
      <c r="H58" s="48" t="s">
        <v>177</v>
      </c>
      <c r="I58" s="233">
        <f>C62/M46</f>
        <v>5.822666666666667E-2</v>
      </c>
      <c r="J58" s="49" t="s">
        <v>69</v>
      </c>
      <c r="K58" s="50">
        <f>INT((6*I57*I58*I60/I59)^0.5)</f>
        <v>210</v>
      </c>
      <c r="L58" s="48" t="s">
        <v>74</v>
      </c>
      <c r="M58" s="48" t="s">
        <v>75</v>
      </c>
      <c r="Q58" s="18">
        <v>36.86</v>
      </c>
    </row>
    <row r="59" spans="1:17" x14ac:dyDescent="0.15">
      <c r="A59" s="38" t="s">
        <v>48</v>
      </c>
      <c r="B59" s="39">
        <v>4.7770000000000001</v>
      </c>
      <c r="C59" s="482">
        <f>B59</f>
        <v>4.7770000000000001</v>
      </c>
      <c r="D59" s="486">
        <v>3.366E-4</v>
      </c>
      <c r="E59" s="487"/>
      <c r="F59" s="478">
        <f>INT((D59+D60)/1*10000000)/10000000</f>
        <v>3.366E-4</v>
      </c>
      <c r="G59" s="479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257</v>
      </c>
      <c r="L59" s="50"/>
      <c r="M59" s="50"/>
      <c r="Q59" s="18">
        <v>45.03</v>
      </c>
    </row>
    <row r="60" spans="1:17" x14ac:dyDescent="0.15">
      <c r="A60" s="38" t="s">
        <v>49</v>
      </c>
      <c r="B60" s="39"/>
      <c r="C60" s="482"/>
      <c r="D60" s="486"/>
      <c r="E60" s="487"/>
      <c r="F60" s="480"/>
      <c r="G60" s="481"/>
      <c r="H60" s="254">
        <f>장기양수시험!AE38</f>
        <v>1020</v>
      </c>
      <c r="I60" s="253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53.2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83"/>
      <c r="E61" s="483"/>
      <c r="F61" s="483"/>
      <c r="G61" s="485"/>
      <c r="H61" s="48" t="s">
        <v>16</v>
      </c>
      <c r="I61" s="43">
        <f>C62</f>
        <v>4.367</v>
      </c>
      <c r="J61" s="49" t="s">
        <v>72</v>
      </c>
      <c r="K61" s="50">
        <f>((K58+K59+K60)/3)</f>
        <v>203.59729975486292</v>
      </c>
      <c r="L61" s="52"/>
      <c r="M61" s="44"/>
      <c r="Q61" s="18">
        <v>66.81</v>
      </c>
    </row>
    <row r="62" spans="1:17" x14ac:dyDescent="0.15">
      <c r="A62" s="40" t="s">
        <v>51</v>
      </c>
      <c r="B62" s="40"/>
      <c r="C62" s="229">
        <f>INT((C58+C59+C61)*1000/2)/1000</f>
        <v>4.367</v>
      </c>
      <c r="D62" s="484"/>
      <c r="E62" s="484"/>
      <c r="F62" s="477">
        <f>F59</f>
        <v>3.366E-4</v>
      </c>
      <c r="G62" s="477"/>
      <c r="H62" s="49" t="s">
        <v>77</v>
      </c>
      <c r="I62" s="44">
        <v>70.33</v>
      </c>
      <c r="J62" s="49" t="s">
        <v>178</v>
      </c>
      <c r="K62" s="234">
        <f>MAX(K58:K60)</f>
        <v>257</v>
      </c>
      <c r="L62" s="52"/>
      <c r="M62" s="45"/>
    </row>
    <row r="63" spans="1:17" x14ac:dyDescent="0.15">
      <c r="Q63" s="18">
        <v>21.78</v>
      </c>
    </row>
    <row r="64" spans="1:17" x14ac:dyDescent="0.15">
      <c r="Q64" s="18">
        <v>29.04</v>
      </c>
    </row>
    <row r="65" spans="17:17" x14ac:dyDescent="0.15">
      <c r="Q65" s="18">
        <v>37.21</v>
      </c>
    </row>
    <row r="66" spans="17:17" x14ac:dyDescent="0.15">
      <c r="Q66" s="18">
        <v>45.38</v>
      </c>
    </row>
    <row r="67" spans="17:17" x14ac:dyDescent="0.15">
      <c r="Q67" s="18">
        <v>58.99</v>
      </c>
    </row>
    <row r="69" spans="17:17" x14ac:dyDescent="0.15">
      <c r="Q69" s="346">
        <v>5.9880239520958076</v>
      </c>
    </row>
    <row r="70" spans="17:17" x14ac:dyDescent="0.15">
      <c r="Q70" s="346">
        <v>5.7471264367816097</v>
      </c>
    </row>
    <row r="71" spans="17:17" x14ac:dyDescent="0.15">
      <c r="Q71" s="346">
        <v>5.4644808743169397</v>
      </c>
    </row>
    <row r="72" spans="17:17" x14ac:dyDescent="0.15">
      <c r="Q72" s="346">
        <v>5.2631578947368425</v>
      </c>
    </row>
    <row r="73" spans="17:17" x14ac:dyDescent="0.15">
      <c r="Q73" s="346">
        <v>4.6511627906976747</v>
      </c>
    </row>
    <row r="75" spans="17:17" x14ac:dyDescent="0.15">
      <c r="Q75" s="18">
        <v>0.16700000000000001</v>
      </c>
    </row>
    <row r="76" spans="17:17" x14ac:dyDescent="0.15">
      <c r="Q76" s="18">
        <v>0.17399999999999999</v>
      </c>
    </row>
    <row r="77" spans="17:17" x14ac:dyDescent="0.15">
      <c r="Q77" s="18">
        <v>0.183</v>
      </c>
    </row>
    <row r="78" spans="17:17" x14ac:dyDescent="0.15">
      <c r="Q78" s="18">
        <v>0.19</v>
      </c>
    </row>
    <row r="79" spans="17:17" x14ac:dyDescent="0.15">
      <c r="Q79" s="18">
        <v>0.215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2"/>
  <sheetViews>
    <sheetView workbookViewId="0"/>
  </sheetViews>
  <sheetFormatPr defaultRowHeight="18" customHeight="1" x14ac:dyDescent="0.15"/>
  <cols>
    <col min="1" max="2" width="11.88671875" style="388" customWidth="1"/>
    <col min="3" max="3" width="13.109375" style="388" customWidth="1"/>
    <col min="4" max="4" width="14.6640625" style="388" customWidth="1"/>
    <col min="5" max="5" width="10.5546875" style="388" customWidth="1"/>
    <col min="6" max="16384" width="8.88671875" style="388"/>
  </cols>
  <sheetData>
    <row r="3" spans="3:6" ht="18" customHeight="1" x14ac:dyDescent="0.15">
      <c r="C3" s="389" t="s">
        <v>57</v>
      </c>
      <c r="D3" s="389" t="s">
        <v>238</v>
      </c>
      <c r="E3" s="389" t="s">
        <v>245</v>
      </c>
      <c r="F3" s="389" t="s">
        <v>59</v>
      </c>
    </row>
    <row r="4" spans="3:6" ht="18" customHeight="1" x14ac:dyDescent="0.15">
      <c r="C4" s="388">
        <v>1</v>
      </c>
      <c r="D4" s="390" t="s">
        <v>240</v>
      </c>
      <c r="E4" s="388" t="s">
        <v>239</v>
      </c>
      <c r="F4" s="388">
        <v>150</v>
      </c>
    </row>
    <row r="5" spans="3:6" ht="18" customHeight="1" x14ac:dyDescent="0.15">
      <c r="C5" s="388">
        <v>2</v>
      </c>
      <c r="D5" s="388" t="s">
        <v>241</v>
      </c>
      <c r="E5" s="388" t="s">
        <v>246</v>
      </c>
      <c r="F5" s="388">
        <v>200</v>
      </c>
    </row>
    <row r="6" spans="3:6" ht="18" customHeight="1" x14ac:dyDescent="0.15">
      <c r="C6" s="388">
        <v>3</v>
      </c>
      <c r="D6" s="388" t="s">
        <v>242</v>
      </c>
      <c r="E6" s="388" t="s">
        <v>247</v>
      </c>
      <c r="F6" s="388">
        <v>250</v>
      </c>
    </row>
    <row r="7" spans="3:6" ht="18" customHeight="1" x14ac:dyDescent="0.15">
      <c r="C7" s="388">
        <v>5</v>
      </c>
      <c r="D7" s="388" t="s">
        <v>243</v>
      </c>
      <c r="E7" s="388" t="s">
        <v>248</v>
      </c>
    </row>
    <row r="8" spans="3:6" ht="18" customHeight="1" x14ac:dyDescent="0.15">
      <c r="C8" s="388">
        <v>7.5</v>
      </c>
      <c r="D8" s="388" t="s">
        <v>244</v>
      </c>
      <c r="E8" s="388" t="s">
        <v>249</v>
      </c>
    </row>
    <row r="9" spans="3:6" ht="18" customHeight="1" x14ac:dyDescent="0.15">
      <c r="C9" s="388">
        <v>10</v>
      </c>
      <c r="D9" s="390" t="s">
        <v>253</v>
      </c>
      <c r="E9" s="388" t="s">
        <v>254</v>
      </c>
    </row>
    <row r="10" spans="3:6" ht="18" customHeight="1" x14ac:dyDescent="0.15">
      <c r="C10" s="388">
        <v>20</v>
      </c>
    </row>
    <row r="11" spans="3:6" ht="18" customHeight="1" x14ac:dyDescent="0.15">
      <c r="C11" s="388">
        <v>25</v>
      </c>
    </row>
    <row r="12" spans="3:6" ht="18" customHeight="1" x14ac:dyDescent="0.15">
      <c r="C12" s="388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29" bestFit="1" customWidth="1"/>
    <col min="2" max="2" width="7.5546875" style="330" bestFit="1" customWidth="1"/>
    <col min="3" max="16384" width="8.88671875" style="330"/>
  </cols>
  <sheetData>
    <row r="1" spans="1:2" ht="20.100000000000001" customHeight="1" x14ac:dyDescent="0.15"/>
    <row r="2" spans="1:2" ht="20.100000000000001" customHeight="1" x14ac:dyDescent="0.15">
      <c r="A2" s="329" t="s">
        <v>107</v>
      </c>
      <c r="B2" s="331">
        <f>단계양수시험!B12</f>
        <v>125</v>
      </c>
    </row>
    <row r="3" spans="1:2" ht="20.100000000000001" customHeight="1" x14ac:dyDescent="0.15">
      <c r="A3" s="332" t="s">
        <v>108</v>
      </c>
      <c r="B3" s="333">
        <f>단계양수시험!G31</f>
        <v>25.15</v>
      </c>
    </row>
    <row r="4" spans="1:2" ht="20.100000000000001" customHeight="1" x14ac:dyDescent="0.15">
      <c r="A4" s="332" t="s">
        <v>109</v>
      </c>
      <c r="B4" s="330">
        <f>단계양수시험!G46</f>
        <v>53.48</v>
      </c>
    </row>
    <row r="5" spans="1:2" ht="20.100000000000001" customHeight="1" x14ac:dyDescent="0.15">
      <c r="A5" s="334" t="s">
        <v>110</v>
      </c>
      <c r="B5" s="330">
        <f>2/3</f>
        <v>0.66666666666666663</v>
      </c>
    </row>
    <row r="6" spans="1:2" ht="20.100000000000001" customHeight="1" x14ac:dyDescent="0.15">
      <c r="A6" s="332"/>
    </row>
    <row r="7" spans="1:2" ht="20.100000000000001" customHeight="1" x14ac:dyDescent="0.15">
      <c r="A7" s="332" t="s">
        <v>111</v>
      </c>
      <c r="B7" s="330">
        <f>B2*(B4/B3)^(2/3)</f>
        <v>206.70244756432984</v>
      </c>
    </row>
    <row r="8" spans="1:2" ht="20.100000000000001" customHeight="1" x14ac:dyDescent="0.15">
      <c r="A8" s="332" t="s">
        <v>112</v>
      </c>
      <c r="B8" s="330">
        <f>INT(B7)</f>
        <v>206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tabSelected="1" topLeftCell="A10" zoomScaleNormal="100" workbookViewId="0">
      <selection activeCell="H18" sqref="H18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0"/>
      <c r="B1" s="280" t="str">
        <f>입력표!I45</f>
        <v>대우리 지구</v>
      </c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  <c r="O1" s="280"/>
    </row>
    <row r="2" spans="1:15" ht="22.7" customHeight="1" x14ac:dyDescent="0.15">
      <c r="A2" s="280"/>
      <c r="B2" s="280"/>
      <c r="C2" s="280"/>
      <c r="D2" s="280"/>
      <c r="E2" s="280"/>
      <c r="F2" s="280"/>
      <c r="G2" s="280"/>
      <c r="H2" s="280"/>
      <c r="I2" s="280"/>
      <c r="J2" s="280"/>
      <c r="K2" s="358"/>
      <c r="L2" s="358"/>
      <c r="M2" s="358"/>
      <c r="N2" s="358"/>
      <c r="O2" s="280"/>
    </row>
    <row r="3" spans="1:15" ht="22.7" customHeight="1" thickBot="1" x14ac:dyDescent="0.2">
      <c r="A3" s="280"/>
      <c r="B3" s="282" t="str">
        <f>입력표!J48</f>
        <v>공  번 : W - 1</v>
      </c>
      <c r="C3" s="283" t="str">
        <f>입력표!I46</f>
        <v>충청남도 논산시 상월면 대우리 산 17-4</v>
      </c>
      <c r="D3" s="280"/>
      <c r="E3" s="280"/>
      <c r="F3" s="280"/>
      <c r="G3" s="280"/>
      <c r="H3" s="280"/>
      <c r="I3" s="280"/>
      <c r="J3" s="280"/>
      <c r="K3" s="358"/>
      <c r="L3" s="361"/>
      <c r="M3" s="362"/>
      <c r="N3" s="359"/>
      <c r="O3" s="280"/>
    </row>
    <row r="4" spans="1:15" ht="22.7" customHeight="1" thickBot="1" x14ac:dyDescent="0.2">
      <c r="A4" s="280"/>
      <c r="B4" s="281" t="s">
        <v>199</v>
      </c>
      <c r="C4" s="284" t="s">
        <v>200</v>
      </c>
      <c r="D4" s="284" t="s">
        <v>16</v>
      </c>
      <c r="E4" s="284" t="s">
        <v>226</v>
      </c>
      <c r="F4" s="284" t="s">
        <v>19</v>
      </c>
      <c r="G4" s="285" t="s">
        <v>196</v>
      </c>
      <c r="H4" s="280"/>
      <c r="I4" s="286" t="s">
        <v>227</v>
      </c>
      <c r="J4" s="280"/>
      <c r="K4" s="358"/>
      <c r="L4" s="361"/>
      <c r="M4" s="361"/>
      <c r="N4" s="358"/>
      <c r="O4" s="280"/>
    </row>
    <row r="5" spans="1:15" ht="22.7" customHeight="1" x14ac:dyDescent="0.15">
      <c r="A5" s="280"/>
      <c r="B5" s="342">
        <f>장기양수시험!G10</f>
        <v>4.3876869192927144</v>
      </c>
      <c r="C5" s="287">
        <f>장기양수시험!B10</f>
        <v>201</v>
      </c>
      <c r="D5" s="352">
        <v>1.9450000000000001</v>
      </c>
      <c r="E5" s="350">
        <f>입력표!M44/2000</f>
        <v>0.125</v>
      </c>
      <c r="F5" s="288">
        <v>5.0000000000000001E-4</v>
      </c>
      <c r="G5" s="289">
        <f>PI()</f>
        <v>3.1415926535897931</v>
      </c>
      <c r="H5" s="280"/>
      <c r="I5" s="349">
        <f>입력표!M48</f>
        <v>4.78</v>
      </c>
      <c r="J5" s="280"/>
      <c r="K5" s="358"/>
      <c r="L5" s="361"/>
      <c r="M5" s="361"/>
      <c r="N5" s="358"/>
      <c r="O5" s="280"/>
    </row>
    <row r="6" spans="1:15" ht="22.7" customHeight="1" x14ac:dyDescent="0.15">
      <c r="A6" s="280"/>
      <c r="B6" s="290"/>
      <c r="C6" s="291"/>
      <c r="D6" s="292"/>
      <c r="E6" s="291"/>
      <c r="F6" s="291"/>
      <c r="G6" s="293"/>
      <c r="H6" s="280"/>
      <c r="I6" s="294" t="s">
        <v>64</v>
      </c>
      <c r="J6" s="280"/>
      <c r="K6" s="358"/>
      <c r="L6" s="361"/>
      <c r="M6" s="361"/>
      <c r="N6" s="358"/>
      <c r="O6" s="280"/>
    </row>
    <row r="7" spans="1:15" ht="22.7" customHeight="1" x14ac:dyDescent="0.15">
      <c r="A7" s="280"/>
      <c r="B7" s="295" t="s">
        <v>201</v>
      </c>
      <c r="C7" s="296">
        <f>B5/(C5/(2*G5*D5))</f>
        <v>0.2667712647686511</v>
      </c>
      <c r="D7" s="297" t="s">
        <v>202</v>
      </c>
      <c r="E7" s="296">
        <f>1.15*LOG((2.25*D5*(1/1440))/(F5*E5^2))</f>
        <v>2.9784420415245636</v>
      </c>
      <c r="F7" s="297" t="s">
        <v>197</v>
      </c>
      <c r="G7" s="402">
        <f>C7-E7</f>
        <v>-2.7116707767559127</v>
      </c>
      <c r="H7" s="280"/>
      <c r="I7" s="349">
        <f>입력표!M49</f>
        <v>64.88</v>
      </c>
      <c r="J7" s="280"/>
      <c r="K7" s="358"/>
      <c r="L7" s="361"/>
      <c r="M7" s="363"/>
      <c r="N7" s="358"/>
      <c r="O7" s="280"/>
    </row>
    <row r="8" spans="1:15" ht="22.7" customHeight="1" x14ac:dyDescent="0.15">
      <c r="A8" s="280"/>
      <c r="B8" s="290"/>
      <c r="C8" s="291"/>
      <c r="D8" s="291"/>
      <c r="E8" s="291"/>
      <c r="F8" s="291"/>
      <c r="G8" s="293"/>
      <c r="H8" s="280"/>
      <c r="I8" s="294" t="s">
        <v>223</v>
      </c>
      <c r="J8" s="280"/>
      <c r="K8" s="358"/>
      <c r="L8" s="361"/>
      <c r="M8" s="363"/>
      <c r="N8" s="358"/>
      <c r="O8" s="280"/>
    </row>
    <row r="9" spans="1:15" ht="22.7" customHeight="1" thickBot="1" x14ac:dyDescent="0.2">
      <c r="A9" s="280"/>
      <c r="B9" s="298" t="s">
        <v>198</v>
      </c>
      <c r="C9" s="403">
        <f>E5*EXP(-1*G7)</f>
        <v>1.8818008834781128</v>
      </c>
      <c r="D9" s="299"/>
      <c r="E9" s="299"/>
      <c r="F9" s="299"/>
      <c r="G9" s="300"/>
      <c r="H9" s="280"/>
      <c r="I9" s="301">
        <f>입력표!M45</f>
        <v>80</v>
      </c>
      <c r="J9" s="280"/>
      <c r="K9" s="358"/>
      <c r="L9" s="361"/>
      <c r="M9" s="361"/>
      <c r="N9" s="360"/>
      <c r="O9" s="280"/>
    </row>
    <row r="10" spans="1:15" ht="22.7" customHeight="1" x14ac:dyDescent="0.15">
      <c r="A10" s="280"/>
      <c r="B10" s="280"/>
      <c r="C10" s="280"/>
      <c r="D10" s="280"/>
      <c r="E10" s="280"/>
      <c r="F10" s="280"/>
      <c r="G10" s="280"/>
      <c r="H10" s="280"/>
      <c r="I10" s="294" t="s">
        <v>203</v>
      </c>
      <c r="J10" s="280"/>
      <c r="K10" s="280"/>
      <c r="L10" s="280"/>
      <c r="M10" s="280"/>
      <c r="N10" s="280"/>
      <c r="O10" s="280"/>
    </row>
    <row r="11" spans="1:15" ht="22.7" customHeight="1" thickBot="1" x14ac:dyDescent="0.2">
      <c r="A11" s="280"/>
      <c r="B11" s="280" t="s">
        <v>233</v>
      </c>
      <c r="C11" s="351">
        <f>장기양수시험!F101</f>
        <v>7.0486886295027293</v>
      </c>
      <c r="D11" s="280"/>
      <c r="E11" s="280"/>
      <c r="F11" s="280"/>
      <c r="G11" s="280"/>
      <c r="H11" s="280"/>
      <c r="I11" s="302">
        <f>입력표!I52</f>
        <v>5</v>
      </c>
      <c r="J11" s="280"/>
      <c r="K11" s="280"/>
      <c r="L11" s="280"/>
      <c r="M11" s="280"/>
      <c r="N11" s="280"/>
      <c r="O11" s="280"/>
    </row>
    <row r="12" spans="1:15" ht="22.7" customHeight="1" x14ac:dyDescent="0.15">
      <c r="A12" s="280"/>
      <c r="B12" s="280" t="s">
        <v>234</v>
      </c>
      <c r="C12" s="351">
        <f>I7-C11</f>
        <v>57.831311370497268</v>
      </c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</row>
    <row r="13" spans="1:15" ht="22.7" customHeight="1" thickBot="1" x14ac:dyDescent="0.2">
      <c r="A13" s="280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</row>
    <row r="14" spans="1:15" ht="22.7" customHeight="1" x14ac:dyDescent="0.15">
      <c r="A14" s="280"/>
      <c r="B14" s="303" t="s">
        <v>204</v>
      </c>
      <c r="C14" s="404">
        <f>ROUND(SQRT(6*B17*E17*H17/I17),1)</f>
        <v>102.4</v>
      </c>
      <c r="D14" s="304"/>
      <c r="E14" s="305" t="s">
        <v>205</v>
      </c>
      <c r="F14" s="306">
        <f>D5</f>
        <v>1.9450000000000001</v>
      </c>
      <c r="G14" s="305" t="s">
        <v>206</v>
      </c>
      <c r="H14" s="355">
        <v>1.887</v>
      </c>
      <c r="I14" s="307"/>
      <c r="J14" s="280"/>
      <c r="K14" s="280"/>
      <c r="L14" s="280"/>
      <c r="M14" s="280"/>
      <c r="N14" s="280"/>
      <c r="O14" s="280"/>
    </row>
    <row r="15" spans="1:15" ht="22.7" customHeight="1" x14ac:dyDescent="0.15">
      <c r="A15" s="280"/>
      <c r="B15" s="290"/>
      <c r="C15" s="291"/>
      <c r="D15" s="291"/>
      <c r="E15" s="291"/>
      <c r="F15" s="291"/>
      <c r="G15" s="291"/>
      <c r="H15" s="291"/>
      <c r="I15" s="293"/>
      <c r="J15" s="280"/>
      <c r="K15" s="280"/>
      <c r="L15" s="280"/>
      <c r="M15" s="280"/>
      <c r="N15" s="280">
        <v>138</v>
      </c>
      <c r="O15" s="280"/>
    </row>
    <row r="16" spans="1:15" ht="22.7" customHeight="1" x14ac:dyDescent="0.15">
      <c r="A16" s="280"/>
      <c r="B16" s="308" t="s">
        <v>228</v>
      </c>
      <c r="C16" s="297" t="s">
        <v>229</v>
      </c>
      <c r="D16" s="297" t="s">
        <v>230</v>
      </c>
      <c r="E16" s="297" t="s">
        <v>177</v>
      </c>
      <c r="F16" s="297" t="s">
        <v>209</v>
      </c>
      <c r="G16" s="297" t="s">
        <v>225</v>
      </c>
      <c r="H16" s="297" t="s">
        <v>224</v>
      </c>
      <c r="I16" s="309" t="s">
        <v>19</v>
      </c>
      <c r="J16" s="280"/>
      <c r="K16" s="280"/>
      <c r="L16" s="280"/>
      <c r="M16" s="280"/>
      <c r="N16" s="280"/>
      <c r="O16" s="280"/>
    </row>
    <row r="17" spans="1:15" ht="22.7" customHeight="1" thickBot="1" x14ac:dyDescent="0.2">
      <c r="A17" s="280"/>
      <c r="B17" s="344">
        <f>I7-I5</f>
        <v>60.099999999999994</v>
      </c>
      <c r="C17" s="339">
        <f>I9-IF(I5&gt;I11,I5,I11)</f>
        <v>75</v>
      </c>
      <c r="D17" s="341">
        <f>(F14+H14)/2</f>
        <v>1.9159999999999999</v>
      </c>
      <c r="E17" s="310">
        <f>INT(D17/C17*100000)/100000</f>
        <v>2.554E-2</v>
      </c>
      <c r="F17" s="311">
        <v>1440</v>
      </c>
      <c r="G17" s="460">
        <v>1020</v>
      </c>
      <c r="H17" s="459">
        <f>INT(G17/F17*10000)/10000</f>
        <v>0.70830000000000004</v>
      </c>
      <c r="I17" s="340">
        <v>6.2250000000000001E-4</v>
      </c>
      <c r="J17" s="280"/>
      <c r="K17" s="280"/>
      <c r="L17" s="280"/>
      <c r="M17" s="280"/>
      <c r="N17" s="280"/>
      <c r="O17" s="280"/>
    </row>
    <row r="18" spans="1:15" ht="22.7" customHeight="1" thickBot="1" x14ac:dyDescent="0.2">
      <c r="A18" s="280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</row>
    <row r="19" spans="1:15" ht="22.7" customHeight="1" x14ac:dyDescent="0.15">
      <c r="A19" s="280"/>
      <c r="B19" s="312" t="s">
        <v>211</v>
      </c>
      <c r="C19" s="405">
        <f>ROUND(3*SQRT(B22*E22*H22/I22),1)</f>
        <v>125.4</v>
      </c>
      <c r="D19" s="313"/>
      <c r="E19" s="313"/>
      <c r="F19" s="313"/>
      <c r="G19" s="313"/>
      <c r="H19" s="313"/>
      <c r="I19" s="314"/>
      <c r="J19" s="280"/>
      <c r="K19" s="280"/>
      <c r="L19" s="280"/>
      <c r="M19" s="280"/>
      <c r="N19" s="280"/>
      <c r="O19" s="280"/>
    </row>
    <row r="20" spans="1:15" ht="22.7" customHeight="1" x14ac:dyDescent="0.15">
      <c r="A20" s="280"/>
      <c r="B20" s="315"/>
      <c r="C20" s="316"/>
      <c r="D20" s="316"/>
      <c r="E20" s="316"/>
      <c r="F20" s="316"/>
      <c r="G20" s="316"/>
      <c r="H20" s="316"/>
      <c r="I20" s="317"/>
      <c r="J20" s="280"/>
      <c r="K20" s="280"/>
      <c r="L20" s="280"/>
      <c r="M20" s="280"/>
      <c r="N20" s="280"/>
      <c r="O20" s="280"/>
    </row>
    <row r="21" spans="1:15" ht="22.7" customHeight="1" x14ac:dyDescent="0.15">
      <c r="A21" s="280"/>
      <c r="B21" s="318" t="s">
        <v>207</v>
      </c>
      <c r="C21" s="319" t="s">
        <v>61</v>
      </c>
      <c r="D21" s="319" t="s">
        <v>208</v>
      </c>
      <c r="E21" s="319" t="s">
        <v>212</v>
      </c>
      <c r="F21" s="319" t="s">
        <v>209</v>
      </c>
      <c r="G21" s="319" t="s">
        <v>210</v>
      </c>
      <c r="H21" s="319" t="s">
        <v>24</v>
      </c>
      <c r="I21" s="320" t="s">
        <v>19</v>
      </c>
      <c r="J21" s="280"/>
      <c r="K21" s="280"/>
      <c r="L21" s="280"/>
      <c r="M21" s="280"/>
      <c r="N21" s="280"/>
      <c r="O21" s="280"/>
    </row>
    <row r="22" spans="1:15" ht="22.7" customHeight="1" thickBot="1" x14ac:dyDescent="0.2">
      <c r="A22" s="280"/>
      <c r="B22" s="321">
        <f t="shared" ref="B22:I22" si="0">B17</f>
        <v>60.099999999999994</v>
      </c>
      <c r="C22" s="343">
        <f t="shared" si="0"/>
        <v>75</v>
      </c>
      <c r="D22" s="322">
        <f t="shared" si="0"/>
        <v>1.9159999999999999</v>
      </c>
      <c r="E22" s="345">
        <f t="shared" si="0"/>
        <v>2.554E-2</v>
      </c>
      <c r="F22" s="322">
        <f t="shared" si="0"/>
        <v>1440</v>
      </c>
      <c r="G22" s="322">
        <f>G17</f>
        <v>1020</v>
      </c>
      <c r="H22" s="343">
        <f t="shared" si="0"/>
        <v>0.70830000000000004</v>
      </c>
      <c r="I22" s="323">
        <f t="shared" si="0"/>
        <v>6.2250000000000001E-4</v>
      </c>
      <c r="J22" s="280"/>
      <c r="K22" s="280"/>
      <c r="L22" s="280"/>
      <c r="M22" s="280"/>
      <c r="N22" s="280"/>
      <c r="O22" s="280"/>
    </row>
    <row r="23" spans="1:15" ht="22.7" customHeight="1" thickBot="1" x14ac:dyDescent="0.2">
      <c r="A23" s="280"/>
      <c r="B23" s="280"/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0"/>
      <c r="N23" s="280"/>
      <c r="O23" s="280"/>
    </row>
    <row r="24" spans="1:15" ht="22.7" customHeight="1" x14ac:dyDescent="0.15">
      <c r="A24" s="280"/>
      <c r="B24" s="303" t="s">
        <v>213</v>
      </c>
      <c r="C24" s="404">
        <f>ROUND(SQRT((2.25*D27*H27)/I27),1)</f>
        <v>70</v>
      </c>
      <c r="D24" s="304"/>
      <c r="E24" s="304"/>
      <c r="F24" s="304"/>
      <c r="G24" s="304"/>
      <c r="H24" s="304"/>
      <c r="I24" s="324"/>
      <c r="J24" s="280"/>
      <c r="K24" s="280"/>
      <c r="L24" s="280"/>
      <c r="M24" s="280"/>
      <c r="N24" s="280"/>
      <c r="O24" s="280"/>
    </row>
    <row r="25" spans="1:15" ht="22.7" customHeight="1" x14ac:dyDescent="0.15">
      <c r="A25" s="280"/>
      <c r="B25" s="290"/>
      <c r="C25" s="291"/>
      <c r="D25" s="291"/>
      <c r="E25" s="291"/>
      <c r="F25" s="291"/>
      <c r="G25" s="291"/>
      <c r="H25" s="291"/>
      <c r="I25" s="293"/>
      <c r="J25" s="280"/>
      <c r="K25" s="280"/>
      <c r="L25" s="280"/>
      <c r="M25" s="280"/>
      <c r="N25" s="280"/>
      <c r="O25" s="280"/>
    </row>
    <row r="26" spans="1:15" ht="22.7" customHeight="1" x14ac:dyDescent="0.15">
      <c r="A26" s="280"/>
      <c r="B26" s="308" t="s">
        <v>207</v>
      </c>
      <c r="C26" s="297" t="s">
        <v>214</v>
      </c>
      <c r="D26" s="297" t="s">
        <v>215</v>
      </c>
      <c r="E26" s="297" t="s">
        <v>212</v>
      </c>
      <c r="F26" s="297" t="s">
        <v>209</v>
      </c>
      <c r="G26" s="297" t="s">
        <v>216</v>
      </c>
      <c r="H26" s="297" t="s">
        <v>24</v>
      </c>
      <c r="I26" s="309" t="s">
        <v>217</v>
      </c>
      <c r="J26" s="280"/>
      <c r="K26" s="280"/>
      <c r="L26" s="280"/>
      <c r="M26" s="280"/>
      <c r="N26" s="280"/>
      <c r="O26" s="280"/>
    </row>
    <row r="27" spans="1:15" ht="22.7" customHeight="1" thickBot="1" x14ac:dyDescent="0.2">
      <c r="A27" s="280"/>
      <c r="B27" s="325">
        <f t="shared" ref="B27:I27" si="1">B22</f>
        <v>60.099999999999994</v>
      </c>
      <c r="C27" s="311">
        <f t="shared" si="1"/>
        <v>75</v>
      </c>
      <c r="D27" s="459">
        <f t="shared" si="1"/>
        <v>1.9159999999999999</v>
      </c>
      <c r="E27" s="310">
        <f t="shared" si="1"/>
        <v>2.554E-2</v>
      </c>
      <c r="F27" s="311">
        <f t="shared" si="1"/>
        <v>1440</v>
      </c>
      <c r="G27" s="311">
        <f t="shared" si="1"/>
        <v>1020</v>
      </c>
      <c r="H27" s="460">
        <f>INT(G17/F17*10000)/10000</f>
        <v>0.70830000000000004</v>
      </c>
      <c r="I27" s="326">
        <f t="shared" si="1"/>
        <v>6.2250000000000001E-4</v>
      </c>
      <c r="J27" s="280"/>
      <c r="K27" s="280"/>
      <c r="L27" s="280"/>
      <c r="M27" s="280"/>
      <c r="N27" s="280"/>
      <c r="O27" s="280"/>
    </row>
    <row r="28" spans="1:15" ht="22.7" customHeight="1" x14ac:dyDescent="0.15">
      <c r="A28" s="280"/>
      <c r="B28" s="280"/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0"/>
      <c r="N28" s="280"/>
      <c r="O28" s="280"/>
    </row>
    <row r="29" spans="1:15" ht="22.7" customHeight="1" x14ac:dyDescent="0.15">
      <c r="A29" s="280"/>
      <c r="B29" s="327" t="s">
        <v>218</v>
      </c>
      <c r="C29" s="328">
        <f>D17</f>
        <v>1.9159999999999999</v>
      </c>
      <c r="D29" s="335">
        <f>(C29/C17)*(100/86400)</f>
        <v>2.9567901234567897E-5</v>
      </c>
      <c r="E29" s="280" t="s">
        <v>219</v>
      </c>
      <c r="F29" s="280"/>
      <c r="G29" s="280"/>
      <c r="H29" s="280"/>
      <c r="I29" s="280"/>
      <c r="J29" s="280" t="s">
        <v>18</v>
      </c>
      <c r="K29" s="280"/>
      <c r="L29" s="280"/>
      <c r="M29" s="280"/>
      <c r="N29" s="280"/>
      <c r="O29" s="280"/>
    </row>
    <row r="30" spans="1:15" ht="22.7" customHeight="1" x14ac:dyDescent="0.15">
      <c r="A30" s="280"/>
      <c r="B30" s="327" t="s">
        <v>220</v>
      </c>
      <c r="C30" s="280">
        <f>I22</f>
        <v>6.2250000000000001E-4</v>
      </c>
      <c r="D30" s="280">
        <f>C29/C17*100/86400</f>
        <v>2.9567901234567897E-5</v>
      </c>
      <c r="E30" s="280"/>
      <c r="F30" s="280"/>
      <c r="G30" s="280"/>
      <c r="H30" s="280"/>
      <c r="I30" s="280"/>
      <c r="J30" s="280"/>
      <c r="K30" s="280"/>
      <c r="L30" s="280"/>
      <c r="M30" s="280"/>
      <c r="N30" s="280"/>
      <c r="O30" s="280"/>
    </row>
    <row r="31" spans="1:15" ht="22.7" customHeight="1" x14ac:dyDescent="0.15">
      <c r="A31" s="280"/>
      <c r="B31" s="327" t="s">
        <v>221</v>
      </c>
      <c r="C31" s="354">
        <f>(C14+C19+C24)/3</f>
        <v>99.266666666666666</v>
      </c>
      <c r="D31" s="280"/>
      <c r="E31" s="280"/>
      <c r="F31" s="280"/>
      <c r="G31" s="280"/>
      <c r="H31" s="280"/>
      <c r="I31" s="280"/>
      <c r="J31" s="280"/>
      <c r="K31" s="280"/>
      <c r="L31" s="280"/>
      <c r="M31" s="280"/>
      <c r="N31" s="280"/>
      <c r="O31" s="280"/>
    </row>
    <row r="32" spans="1:15" ht="22.7" customHeight="1" x14ac:dyDescent="0.15">
      <c r="A32" s="280"/>
      <c r="F32" s="280"/>
      <c r="G32" s="280"/>
      <c r="H32" s="280"/>
      <c r="I32" s="280"/>
      <c r="J32" s="280"/>
      <c r="K32" s="280"/>
      <c r="L32" s="280"/>
      <c r="M32" s="280"/>
      <c r="N32" s="280"/>
      <c r="O32" s="280"/>
    </row>
    <row r="33" spans="1:15" ht="22.7" customHeight="1" x14ac:dyDescent="0.15">
      <c r="A33" s="280"/>
      <c r="B33" s="280"/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0"/>
      <c r="N33" s="280"/>
      <c r="O33" s="280"/>
    </row>
    <row r="34" spans="1:15" ht="22.7" customHeight="1" x14ac:dyDescent="0.15">
      <c r="A34" s="280"/>
      <c r="D34" s="280"/>
      <c r="E34" s="280"/>
      <c r="F34" s="280"/>
      <c r="G34" s="280"/>
      <c r="H34" s="280"/>
      <c r="I34" s="280"/>
      <c r="J34" s="280"/>
      <c r="K34" s="280"/>
      <c r="L34" s="280"/>
      <c r="M34" s="280"/>
      <c r="N34" s="280"/>
      <c r="O34" s="280"/>
    </row>
    <row r="35" spans="1:15" ht="22.7" customHeight="1" x14ac:dyDescent="0.15">
      <c r="A35" s="280"/>
      <c r="B35" s="280"/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0"/>
      <c r="N35" s="280"/>
      <c r="O35" s="280"/>
    </row>
    <row r="36" spans="1:15" ht="22.7" customHeight="1" x14ac:dyDescent="0.15">
      <c r="A36" s="280"/>
      <c r="B36" s="280"/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0"/>
      <c r="N36" s="280"/>
      <c r="O36" s="280"/>
    </row>
    <row r="37" spans="1:15" ht="22.7" customHeight="1" x14ac:dyDescent="0.15">
      <c r="A37" s="280"/>
      <c r="B37" s="280"/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0"/>
      <c r="N37" s="280"/>
      <c r="O37" s="280"/>
    </row>
    <row r="38" spans="1:15" ht="22.7" customHeight="1" x14ac:dyDescent="0.15">
      <c r="A38" s="280"/>
      <c r="B38" s="280"/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0"/>
      <c r="N38" s="280"/>
      <c r="O38" s="280"/>
    </row>
    <row r="39" spans="1:15" ht="22.7" customHeight="1" x14ac:dyDescent="0.15">
      <c r="A39" s="280"/>
      <c r="B39" s="280"/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0"/>
      <c r="N39" s="280"/>
      <c r="O39" s="280"/>
    </row>
    <row r="40" spans="1:15" ht="22.7" customHeight="1" x14ac:dyDescent="0.15">
      <c r="A40" s="280"/>
      <c r="B40" s="280"/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0"/>
      <c r="N40" s="280"/>
      <c r="O40" s="280"/>
    </row>
    <row r="41" spans="1:15" ht="22.7" customHeight="1" x14ac:dyDescent="0.15">
      <c r="A41" s="280"/>
      <c r="B41" s="280"/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0"/>
      <c r="N41" s="280"/>
      <c r="O41" s="280"/>
    </row>
    <row r="42" spans="1:15" ht="16.5" x14ac:dyDescent="0.15">
      <c r="A42" s="280"/>
      <c r="B42" s="280"/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0"/>
      <c r="N42" s="280"/>
      <c r="O42" s="280"/>
    </row>
    <row r="43" spans="1:15" ht="16.5" x14ac:dyDescent="0.15">
      <c r="A43" s="280"/>
      <c r="B43" s="280"/>
      <c r="C43" s="280"/>
      <c r="D43" s="280"/>
      <c r="E43" s="280"/>
      <c r="F43" s="280"/>
      <c r="G43" s="280"/>
      <c r="H43" s="280"/>
      <c r="I43" s="280"/>
      <c r="J43" s="280"/>
      <c r="K43" s="280"/>
      <c r="L43" s="280"/>
      <c r="M43" s="280"/>
      <c r="N43" s="280"/>
      <c r="O43" s="280"/>
    </row>
    <row r="44" spans="1:15" ht="16.5" x14ac:dyDescent="0.15">
      <c r="A44" s="280"/>
      <c r="B44" s="280"/>
      <c r="C44" s="280"/>
      <c r="D44" s="280"/>
      <c r="E44" s="280"/>
      <c r="F44" s="280"/>
      <c r="G44" s="280"/>
      <c r="H44" s="280"/>
      <c r="I44" s="280"/>
      <c r="J44" s="280"/>
      <c r="K44" s="280"/>
      <c r="L44" s="280"/>
      <c r="M44" s="280"/>
      <c r="N44" s="280"/>
      <c r="O44" s="280"/>
    </row>
    <row r="45" spans="1:15" ht="16.5" x14ac:dyDescent="0.15">
      <c r="A45" s="280"/>
      <c r="B45" s="280"/>
      <c r="C45" s="280"/>
      <c r="D45" s="280"/>
      <c r="E45" s="280"/>
      <c r="F45" s="280"/>
      <c r="G45" s="280"/>
      <c r="H45" s="280"/>
      <c r="I45" s="280"/>
      <c r="J45" s="280"/>
      <c r="K45" s="280"/>
      <c r="L45" s="280"/>
      <c r="M45" s="280"/>
      <c r="N45" s="280"/>
      <c r="O45" s="280"/>
    </row>
    <row r="46" spans="1:15" ht="16.5" x14ac:dyDescent="0.15">
      <c r="A46" s="280"/>
      <c r="B46" s="280"/>
      <c r="C46" s="280"/>
      <c r="D46" s="280"/>
      <c r="E46" s="280"/>
      <c r="F46" s="280"/>
      <c r="G46" s="280"/>
      <c r="H46" s="280"/>
      <c r="I46" s="280"/>
      <c r="J46" s="280"/>
      <c r="K46" s="280"/>
      <c r="L46" s="280"/>
      <c r="M46" s="280"/>
      <c r="N46" s="280"/>
      <c r="O46" s="280"/>
    </row>
    <row r="47" spans="1:15" ht="16.5" x14ac:dyDescent="0.15">
      <c r="A47" s="280"/>
      <c r="B47" s="280"/>
      <c r="C47" s="280"/>
      <c r="D47" s="280"/>
      <c r="E47" s="280"/>
      <c r="F47" s="280"/>
      <c r="G47" s="280"/>
      <c r="H47" s="280"/>
      <c r="I47" s="280"/>
      <c r="J47" s="280"/>
      <c r="K47" s="280"/>
      <c r="L47" s="280"/>
      <c r="M47" s="280"/>
      <c r="N47" s="280"/>
      <c r="O47" s="280"/>
    </row>
    <row r="48" spans="1:15" ht="16.5" x14ac:dyDescent="0.15">
      <c r="A48" s="280"/>
      <c r="B48" s="280"/>
      <c r="C48" s="280"/>
      <c r="D48" s="280"/>
      <c r="E48" s="280"/>
      <c r="F48" s="280"/>
      <c r="G48" s="280"/>
      <c r="H48" s="280"/>
      <c r="I48" s="280"/>
      <c r="J48" s="280"/>
      <c r="K48" s="280"/>
      <c r="L48" s="280"/>
      <c r="M48" s="280"/>
      <c r="N48" s="280"/>
      <c r="O48" s="280"/>
    </row>
    <row r="49" spans="1:15" ht="16.5" x14ac:dyDescent="0.15">
      <c r="A49" s="280"/>
      <c r="B49" s="280"/>
      <c r="C49" s="280"/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</row>
    <row r="50" spans="1:15" ht="16.5" x14ac:dyDescent="0.15">
      <c r="A50" s="280"/>
      <c r="B50" s="280"/>
      <c r="C50" s="280"/>
      <c r="D50" s="280"/>
      <c r="E50" s="280"/>
      <c r="F50" s="280"/>
      <c r="G50" s="280"/>
      <c r="H50" s="280"/>
      <c r="I50" s="280"/>
      <c r="J50" s="280"/>
      <c r="K50" s="280"/>
      <c r="L50" s="280"/>
      <c r="M50" s="280"/>
      <c r="N50" s="280"/>
      <c r="O50" s="280"/>
    </row>
    <row r="51" spans="1:15" ht="16.5" x14ac:dyDescent="0.15">
      <c r="A51" s="280"/>
      <c r="B51" s="280"/>
      <c r="C51" s="280"/>
      <c r="D51" s="280"/>
      <c r="E51" s="280"/>
      <c r="F51" s="280"/>
      <c r="G51" s="280"/>
      <c r="H51" s="280"/>
      <c r="I51" s="280"/>
      <c r="J51" s="280"/>
      <c r="K51" s="280"/>
      <c r="L51" s="280"/>
      <c r="M51" s="280"/>
      <c r="N51" s="280"/>
      <c r="O51" s="280"/>
    </row>
    <row r="52" spans="1:15" ht="16.5" x14ac:dyDescent="0.15">
      <c r="A52" s="280"/>
      <c r="B52" s="280"/>
      <c r="C52" s="280"/>
      <c r="D52" s="280"/>
      <c r="E52" s="280"/>
      <c r="F52" s="280"/>
      <c r="G52" s="280"/>
      <c r="H52" s="280"/>
      <c r="I52" s="280"/>
      <c r="J52" s="280"/>
      <c r="K52" s="280"/>
      <c r="L52" s="280"/>
      <c r="M52" s="280"/>
      <c r="N52" s="280"/>
      <c r="O52" s="280"/>
    </row>
    <row r="53" spans="1:15" ht="16.5" x14ac:dyDescent="0.15">
      <c r="A53" s="280"/>
      <c r="B53" s="280"/>
      <c r="C53" s="280"/>
      <c r="D53" s="280"/>
      <c r="E53" s="280"/>
      <c r="F53" s="280"/>
      <c r="G53" s="280"/>
      <c r="H53" s="280"/>
      <c r="I53" s="280"/>
      <c r="J53" s="280"/>
      <c r="K53" s="280"/>
      <c r="L53" s="280"/>
      <c r="M53" s="280"/>
      <c r="N53" s="280"/>
      <c r="O53" s="280"/>
    </row>
    <row r="54" spans="1:15" ht="16.5" x14ac:dyDescent="0.15">
      <c r="A54" s="280"/>
      <c r="B54" s="280"/>
      <c r="C54" s="280"/>
      <c r="D54" s="280"/>
      <c r="E54" s="280"/>
      <c r="F54" s="280"/>
      <c r="G54" s="280"/>
      <c r="H54" s="280"/>
      <c r="I54" s="280"/>
      <c r="J54" s="280"/>
      <c r="K54" s="280"/>
      <c r="L54" s="280"/>
      <c r="M54" s="280"/>
      <c r="N54" s="280"/>
      <c r="O54" s="280"/>
    </row>
    <row r="55" spans="1:15" ht="16.5" x14ac:dyDescent="0.15">
      <c r="A55" s="280"/>
      <c r="B55" s="280"/>
      <c r="C55" s="280"/>
      <c r="D55" s="280"/>
      <c r="E55" s="280"/>
      <c r="F55" s="280"/>
      <c r="G55" s="280"/>
      <c r="H55" s="280"/>
      <c r="I55" s="280"/>
      <c r="J55" s="280"/>
      <c r="K55" s="280"/>
      <c r="L55" s="280"/>
      <c r="M55" s="280"/>
      <c r="N55" s="280"/>
      <c r="O55" s="280"/>
    </row>
    <row r="56" spans="1:15" ht="16.5" x14ac:dyDescent="0.15">
      <c r="A56" s="280"/>
      <c r="B56" s="280"/>
      <c r="C56" s="280"/>
      <c r="D56" s="280"/>
      <c r="E56" s="280"/>
      <c r="F56" s="280"/>
      <c r="G56" s="280"/>
      <c r="H56" s="280"/>
      <c r="I56" s="280"/>
      <c r="J56" s="280"/>
      <c r="K56" s="280"/>
      <c r="L56" s="280"/>
      <c r="M56" s="280"/>
      <c r="N56" s="280"/>
      <c r="O56" s="280"/>
    </row>
    <row r="57" spans="1:15" ht="16.5" x14ac:dyDescent="0.15">
      <c r="A57" s="280"/>
      <c r="B57" s="280"/>
      <c r="C57" s="280"/>
      <c r="D57" s="280"/>
      <c r="E57" s="280"/>
      <c r="F57" s="280"/>
      <c r="G57" s="280"/>
      <c r="H57" s="280"/>
      <c r="I57" s="280"/>
      <c r="J57" s="280"/>
      <c r="K57" s="280"/>
      <c r="L57" s="280"/>
      <c r="M57" s="280"/>
      <c r="N57" s="280"/>
      <c r="O57" s="280"/>
    </row>
    <row r="58" spans="1:15" ht="16.5" x14ac:dyDescent="0.15">
      <c r="A58" s="280"/>
      <c r="B58" s="280"/>
      <c r="C58" s="280"/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</row>
    <row r="59" spans="1:15" ht="16.5" x14ac:dyDescent="0.15">
      <c r="A59" s="280"/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</row>
    <row r="60" spans="1:15" ht="16.5" x14ac:dyDescent="0.15">
      <c r="A60" s="280"/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</row>
    <row r="61" spans="1:15" ht="16.5" x14ac:dyDescent="0.15">
      <c r="A61" s="280"/>
      <c r="B61" s="280"/>
      <c r="C61" s="280"/>
      <c r="D61" s="280"/>
      <c r="E61" s="280"/>
      <c r="F61" s="280"/>
      <c r="G61" s="280"/>
      <c r="H61" s="280"/>
      <c r="I61" s="280"/>
      <c r="J61" s="280"/>
      <c r="K61" s="280"/>
      <c r="L61" s="280"/>
      <c r="M61" s="280"/>
      <c r="N61" s="280"/>
      <c r="O61" s="280"/>
    </row>
    <row r="62" spans="1:15" ht="16.5" x14ac:dyDescent="0.15">
      <c r="A62" s="280"/>
      <c r="B62" s="280"/>
      <c r="C62" s="280"/>
      <c r="D62" s="280"/>
      <c r="E62" s="280"/>
      <c r="F62" s="280"/>
      <c r="G62" s="280"/>
      <c r="H62" s="280"/>
      <c r="I62" s="280"/>
      <c r="J62" s="280"/>
      <c r="K62" s="280"/>
      <c r="L62" s="280"/>
      <c r="M62" s="280"/>
      <c r="N62" s="280"/>
      <c r="O62" s="280"/>
    </row>
    <row r="63" spans="1:15" ht="16.5" x14ac:dyDescent="0.15">
      <c r="A63" s="280"/>
      <c r="B63" s="280"/>
      <c r="C63" s="280"/>
      <c r="D63" s="280"/>
      <c r="E63" s="280"/>
      <c r="F63" s="280"/>
      <c r="G63" s="280"/>
      <c r="H63" s="280"/>
      <c r="I63" s="280"/>
      <c r="J63" s="280"/>
      <c r="K63" s="280"/>
      <c r="L63" s="280"/>
      <c r="M63" s="280"/>
      <c r="N63" s="280"/>
      <c r="O63" s="280"/>
    </row>
    <row r="64" spans="1:15" ht="16.5" x14ac:dyDescent="0.15">
      <c r="A64" s="280"/>
      <c r="B64" s="280"/>
      <c r="C64" s="280"/>
      <c r="D64" s="280"/>
      <c r="E64" s="280"/>
      <c r="F64" s="280"/>
      <c r="G64" s="280"/>
      <c r="H64" s="280"/>
      <c r="I64" s="280"/>
      <c r="J64" s="280"/>
      <c r="K64" s="280"/>
      <c r="L64" s="280"/>
      <c r="M64" s="280"/>
      <c r="N64" s="280"/>
      <c r="O64" s="280"/>
    </row>
    <row r="65" spans="1:15" ht="16.5" x14ac:dyDescent="0.15">
      <c r="A65" s="280"/>
      <c r="B65" s="280"/>
      <c r="C65" s="280"/>
      <c r="D65" s="280"/>
      <c r="E65" s="280"/>
      <c r="F65" s="280"/>
      <c r="G65" s="280"/>
      <c r="H65" s="280"/>
      <c r="I65" s="280"/>
      <c r="J65" s="280"/>
      <c r="K65" s="280"/>
      <c r="L65" s="280"/>
      <c r="M65" s="280"/>
      <c r="N65" s="280"/>
      <c r="O65" s="280"/>
    </row>
    <row r="66" spans="1:15" ht="16.5" x14ac:dyDescent="0.15">
      <c r="A66" s="280"/>
      <c r="B66" s="280"/>
      <c r="C66" s="280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</row>
    <row r="67" spans="1:15" ht="16.5" x14ac:dyDescent="0.15">
      <c r="A67" s="280"/>
      <c r="B67" s="280"/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</row>
    <row r="68" spans="1:15" ht="16.5" x14ac:dyDescent="0.15">
      <c r="A68" s="280"/>
      <c r="B68" s="280"/>
      <c r="C68" s="280"/>
      <c r="D68" s="280"/>
      <c r="E68" s="280"/>
      <c r="F68" s="280"/>
      <c r="G68" s="280"/>
      <c r="H68" s="280"/>
      <c r="I68" s="280"/>
      <c r="J68" s="280"/>
      <c r="K68" s="280"/>
      <c r="L68" s="280"/>
      <c r="M68" s="280"/>
      <c r="N68" s="280"/>
      <c r="O68" s="280"/>
    </row>
    <row r="69" spans="1:15" ht="16.5" x14ac:dyDescent="0.15">
      <c r="A69" s="280"/>
      <c r="B69" s="280"/>
      <c r="C69" s="280"/>
      <c r="D69" s="280"/>
      <c r="E69" s="280"/>
      <c r="F69" s="280"/>
      <c r="G69" s="280"/>
      <c r="H69" s="280"/>
      <c r="I69" s="280"/>
      <c r="J69" s="280"/>
      <c r="K69" s="280"/>
      <c r="L69" s="280"/>
      <c r="M69" s="280"/>
      <c r="N69" s="280"/>
      <c r="O69" s="280"/>
    </row>
    <row r="70" spans="1:15" ht="16.5" x14ac:dyDescent="0.15">
      <c r="A70" s="280"/>
      <c r="B70" s="280"/>
      <c r="C70" s="280"/>
      <c r="D70" s="280"/>
      <c r="E70" s="280"/>
      <c r="F70" s="280"/>
      <c r="G70" s="280"/>
      <c r="H70" s="280"/>
      <c r="I70" s="280"/>
      <c r="J70" s="280"/>
      <c r="K70" s="280"/>
      <c r="L70" s="280"/>
      <c r="M70" s="280"/>
      <c r="N70" s="280"/>
      <c r="O70" s="280"/>
    </row>
    <row r="71" spans="1:15" ht="16.5" x14ac:dyDescent="0.15">
      <c r="A71" s="280"/>
      <c r="B71" s="280"/>
      <c r="C71" s="280"/>
      <c r="D71" s="280"/>
      <c r="E71" s="280"/>
      <c r="F71" s="280"/>
      <c r="G71" s="280"/>
      <c r="H71" s="280"/>
      <c r="I71" s="280"/>
      <c r="J71" s="280"/>
      <c r="K71" s="280"/>
      <c r="L71" s="280"/>
      <c r="M71" s="280"/>
      <c r="N71" s="280"/>
      <c r="O71" s="280"/>
    </row>
    <row r="72" spans="1:15" ht="16.5" x14ac:dyDescent="0.15">
      <c r="A72" s="280"/>
      <c r="B72" s="280"/>
      <c r="C72" s="280"/>
      <c r="D72" s="280"/>
      <c r="E72" s="280"/>
      <c r="F72" s="280"/>
      <c r="G72" s="280"/>
      <c r="H72" s="280"/>
      <c r="I72" s="280"/>
      <c r="J72" s="280"/>
      <c r="K72" s="280"/>
      <c r="L72" s="280"/>
      <c r="M72" s="280"/>
      <c r="N72" s="280"/>
      <c r="O72" s="280"/>
    </row>
    <row r="73" spans="1:15" ht="16.5" x14ac:dyDescent="0.15">
      <c r="A73" s="280"/>
      <c r="B73" s="280"/>
      <c r="C73" s="280"/>
      <c r="D73" s="280"/>
      <c r="E73" s="280"/>
      <c r="F73" s="280"/>
      <c r="G73" s="280"/>
      <c r="H73" s="280"/>
      <c r="I73" s="280"/>
      <c r="J73" s="280"/>
      <c r="K73" s="280"/>
      <c r="L73" s="280"/>
      <c r="M73" s="280"/>
      <c r="N73" s="280"/>
      <c r="O73" s="280"/>
    </row>
    <row r="74" spans="1:15" ht="16.5" x14ac:dyDescent="0.15">
      <c r="A74" s="280"/>
      <c r="B74" s="280"/>
      <c r="C74" s="280"/>
      <c r="D74" s="280"/>
      <c r="E74" s="280"/>
      <c r="F74" s="280"/>
      <c r="G74" s="280"/>
      <c r="H74" s="280"/>
      <c r="I74" s="280"/>
      <c r="J74" s="280"/>
      <c r="K74" s="280"/>
      <c r="L74" s="280"/>
      <c r="M74" s="280"/>
      <c r="N74" s="280"/>
      <c r="O74" s="280"/>
    </row>
    <row r="75" spans="1:15" ht="16.5" x14ac:dyDescent="0.15">
      <c r="A75" s="280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</row>
    <row r="76" spans="1:15" ht="16.5" x14ac:dyDescent="0.15">
      <c r="A76" s="280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</row>
    <row r="77" spans="1:15" ht="16.5" x14ac:dyDescent="0.15">
      <c r="A77" s="280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</row>
    <row r="78" spans="1:15" ht="16.5" x14ac:dyDescent="0.15">
      <c r="A78" s="280"/>
      <c r="B78" s="280"/>
      <c r="C78" s="280"/>
      <c r="D78" s="280"/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</row>
    <row r="79" spans="1:15" ht="16.5" x14ac:dyDescent="0.15">
      <c r="A79" s="280"/>
      <c r="B79" s="280"/>
      <c r="C79" s="280"/>
      <c r="D79" s="280"/>
      <c r="E79" s="280"/>
      <c r="F79" s="280"/>
      <c r="G79" s="280"/>
      <c r="H79" s="280"/>
      <c r="I79" s="280"/>
      <c r="J79" s="280"/>
      <c r="K79" s="280"/>
      <c r="L79" s="280"/>
      <c r="M79" s="280"/>
      <c r="N79" s="280"/>
      <c r="O79" s="280"/>
    </row>
    <row r="80" spans="1:15" ht="16.5" x14ac:dyDescent="0.15">
      <c r="A80" s="280"/>
      <c r="B80" s="280"/>
      <c r="C80" s="280"/>
      <c r="D80" s="280"/>
      <c r="E80" s="280"/>
      <c r="F80" s="280"/>
      <c r="G80" s="280"/>
      <c r="H80" s="280"/>
      <c r="I80" s="280"/>
      <c r="J80" s="280"/>
      <c r="K80" s="280"/>
      <c r="L80" s="280"/>
      <c r="M80" s="280"/>
      <c r="N80" s="280"/>
      <c r="O80" s="280"/>
    </row>
    <row r="81" spans="1:15" ht="16.5" x14ac:dyDescent="0.15">
      <c r="A81" s="280"/>
      <c r="B81" s="280"/>
      <c r="C81" s="280"/>
      <c r="D81" s="280"/>
      <c r="E81" s="280"/>
      <c r="F81" s="280"/>
      <c r="G81" s="280"/>
      <c r="H81" s="280"/>
      <c r="I81" s="280"/>
      <c r="J81" s="280"/>
      <c r="K81" s="280"/>
      <c r="L81" s="280"/>
      <c r="M81" s="280"/>
      <c r="N81" s="280"/>
      <c r="O81" s="280"/>
    </row>
    <row r="82" spans="1:15" ht="16.5" x14ac:dyDescent="0.15">
      <c r="A82" s="280"/>
      <c r="B82" s="280"/>
      <c r="C82" s="280"/>
      <c r="D82" s="280"/>
      <c r="E82" s="280"/>
      <c r="F82" s="280"/>
      <c r="G82" s="280"/>
      <c r="H82" s="280"/>
      <c r="I82" s="280"/>
      <c r="J82" s="280"/>
      <c r="K82" s="280"/>
      <c r="L82" s="280"/>
      <c r="M82" s="280"/>
      <c r="N82" s="280"/>
      <c r="O82" s="280"/>
    </row>
    <row r="83" spans="1:15" ht="16.5" x14ac:dyDescent="0.15">
      <c r="A83" s="280"/>
      <c r="B83" s="280"/>
      <c r="C83" s="280"/>
      <c r="D83" s="280"/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</row>
    <row r="84" spans="1:15" ht="16.5" x14ac:dyDescent="0.15">
      <c r="A84" s="280"/>
      <c r="B84" s="280"/>
      <c r="C84" s="280"/>
      <c r="D84" s="280"/>
      <c r="E84" s="280"/>
      <c r="F84" s="280"/>
      <c r="G84" s="280"/>
      <c r="H84" s="280"/>
      <c r="I84" s="280"/>
      <c r="J84" s="280"/>
      <c r="K84" s="280"/>
      <c r="L84" s="280"/>
      <c r="M84" s="280"/>
      <c r="N84" s="280"/>
      <c r="O84" s="280"/>
    </row>
    <row r="85" spans="1:15" ht="16.5" x14ac:dyDescent="0.15">
      <c r="A85" s="280"/>
      <c r="B85" s="280"/>
      <c r="C85" s="280"/>
      <c r="D85" s="280"/>
      <c r="E85" s="280"/>
      <c r="F85" s="280"/>
      <c r="G85" s="280"/>
      <c r="H85" s="280"/>
      <c r="I85" s="280"/>
      <c r="J85" s="280"/>
      <c r="K85" s="280"/>
      <c r="L85" s="280"/>
      <c r="M85" s="280"/>
      <c r="N85" s="280"/>
      <c r="O85" s="280"/>
    </row>
    <row r="86" spans="1:15" ht="16.5" x14ac:dyDescent="0.15">
      <c r="A86" s="280"/>
      <c r="B86" s="280"/>
      <c r="C86" s="280"/>
      <c r="D86" s="280"/>
      <c r="E86" s="280"/>
      <c r="F86" s="280"/>
      <c r="G86" s="280"/>
      <c r="H86" s="280"/>
      <c r="I86" s="280"/>
      <c r="J86" s="280"/>
      <c r="K86" s="280"/>
      <c r="L86" s="280"/>
      <c r="M86" s="280"/>
      <c r="N86" s="280"/>
      <c r="O86" s="280"/>
    </row>
    <row r="87" spans="1:15" ht="16.5" x14ac:dyDescent="0.15">
      <c r="A87" s="280"/>
      <c r="B87" s="280"/>
      <c r="C87" s="280"/>
      <c r="D87" s="280"/>
      <c r="E87" s="280"/>
      <c r="F87" s="280"/>
      <c r="G87" s="280"/>
      <c r="H87" s="280"/>
      <c r="I87" s="280"/>
      <c r="J87" s="280"/>
      <c r="K87" s="280"/>
      <c r="L87" s="280"/>
      <c r="M87" s="280"/>
      <c r="N87" s="280"/>
      <c r="O87" s="280"/>
    </row>
    <row r="88" spans="1:15" ht="16.5" x14ac:dyDescent="0.15">
      <c r="A88" s="280"/>
      <c r="B88" s="280"/>
      <c r="C88" s="280"/>
      <c r="D88" s="280"/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</row>
    <row r="89" spans="1:15" ht="16.5" x14ac:dyDescent="0.15">
      <c r="A89" s="280"/>
      <c r="B89" s="280"/>
      <c r="C89" s="280"/>
      <c r="D89" s="280"/>
      <c r="E89" s="280"/>
      <c r="F89" s="280"/>
      <c r="G89" s="280"/>
      <c r="H89" s="280"/>
      <c r="I89" s="280"/>
      <c r="J89" s="280"/>
      <c r="K89" s="280"/>
      <c r="L89" s="280"/>
      <c r="M89" s="280"/>
      <c r="N89" s="280"/>
      <c r="O89" s="280"/>
    </row>
    <row r="90" spans="1:15" ht="16.5" x14ac:dyDescent="0.15">
      <c r="A90" s="280"/>
      <c r="B90" s="280"/>
      <c r="C90" s="280"/>
      <c r="D90" s="280"/>
      <c r="E90" s="280"/>
      <c r="F90" s="280"/>
      <c r="G90" s="280"/>
      <c r="H90" s="280"/>
      <c r="I90" s="280"/>
      <c r="J90" s="280"/>
      <c r="K90" s="280"/>
      <c r="L90" s="280"/>
      <c r="M90" s="280"/>
      <c r="N90" s="280"/>
      <c r="O90" s="280"/>
    </row>
    <row r="91" spans="1:15" ht="16.5" x14ac:dyDescent="0.15">
      <c r="A91" s="280"/>
      <c r="B91" s="280"/>
      <c r="C91" s="280"/>
      <c r="D91" s="280"/>
      <c r="E91" s="280"/>
      <c r="F91" s="280"/>
      <c r="G91" s="280"/>
      <c r="H91" s="280"/>
      <c r="I91" s="280"/>
      <c r="J91" s="280"/>
      <c r="K91" s="280"/>
      <c r="L91" s="280"/>
      <c r="M91" s="280"/>
      <c r="N91" s="280"/>
      <c r="O91" s="280"/>
    </row>
    <row r="92" spans="1:15" ht="16.5" x14ac:dyDescent="0.15">
      <c r="A92" s="280"/>
      <c r="B92" s="280"/>
      <c r="C92" s="280"/>
      <c r="D92" s="280"/>
      <c r="E92" s="280"/>
      <c r="F92" s="280"/>
      <c r="G92" s="280"/>
      <c r="H92" s="280"/>
      <c r="I92" s="280"/>
      <c r="J92" s="280"/>
      <c r="K92" s="280"/>
      <c r="L92" s="280"/>
      <c r="M92" s="280"/>
      <c r="N92" s="280"/>
      <c r="O92" s="280"/>
    </row>
    <row r="93" spans="1:15" ht="16.5" x14ac:dyDescent="0.15">
      <c r="A93" s="280"/>
      <c r="B93" s="280"/>
      <c r="C93" s="280"/>
      <c r="D93" s="280"/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</row>
    <row r="94" spans="1:15" ht="16.5" x14ac:dyDescent="0.15">
      <c r="A94" s="280"/>
      <c r="B94" s="280"/>
      <c r="C94" s="280"/>
      <c r="D94" s="280"/>
      <c r="E94" s="280"/>
      <c r="F94" s="280"/>
      <c r="G94" s="280"/>
      <c r="H94" s="280"/>
      <c r="I94" s="280"/>
      <c r="J94" s="280"/>
      <c r="K94" s="280"/>
      <c r="L94" s="280"/>
      <c r="M94" s="280"/>
      <c r="N94" s="280"/>
      <c r="O94" s="280"/>
    </row>
    <row r="95" spans="1:15" ht="16.5" x14ac:dyDescent="0.15">
      <c r="A95" s="280"/>
      <c r="B95" s="280"/>
      <c r="C95" s="280"/>
      <c r="D95" s="280"/>
      <c r="E95" s="280"/>
      <c r="F95" s="280"/>
      <c r="G95" s="280"/>
      <c r="H95" s="280"/>
      <c r="I95" s="280"/>
      <c r="J95" s="280"/>
      <c r="K95" s="280"/>
      <c r="L95" s="280"/>
      <c r="M95" s="280"/>
      <c r="N95" s="280"/>
      <c r="O95" s="280"/>
    </row>
    <row r="96" spans="1:15" ht="16.5" x14ac:dyDescent="0.15">
      <c r="A96" s="280"/>
      <c r="B96" s="280"/>
      <c r="C96" s="280"/>
      <c r="D96" s="280"/>
      <c r="E96" s="280"/>
      <c r="F96" s="280"/>
      <c r="G96" s="280"/>
      <c r="H96" s="280"/>
      <c r="I96" s="280"/>
      <c r="J96" s="280"/>
      <c r="K96" s="280"/>
      <c r="L96" s="280"/>
      <c r="M96" s="280"/>
      <c r="N96" s="280"/>
      <c r="O96" s="280"/>
    </row>
    <row r="97" spans="1:15" ht="16.5" x14ac:dyDescent="0.15">
      <c r="A97" s="280"/>
      <c r="B97" s="280"/>
      <c r="C97" s="280"/>
      <c r="D97" s="280"/>
      <c r="E97" s="280"/>
      <c r="F97" s="280"/>
      <c r="G97" s="280"/>
      <c r="H97" s="280"/>
      <c r="I97" s="280"/>
      <c r="J97" s="280"/>
      <c r="K97" s="280"/>
      <c r="L97" s="280"/>
      <c r="M97" s="280"/>
      <c r="N97" s="280"/>
      <c r="O97" s="280"/>
    </row>
    <row r="98" spans="1:15" ht="16.5" x14ac:dyDescent="0.15">
      <c r="A98" s="280"/>
      <c r="B98" s="280"/>
      <c r="C98" s="280"/>
      <c r="D98" s="280"/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</row>
    <row r="99" spans="1:15" ht="16.5" x14ac:dyDescent="0.15">
      <c r="A99" s="280"/>
      <c r="B99" s="280"/>
      <c r="C99" s="280"/>
      <c r="D99" s="280"/>
      <c r="E99" s="280"/>
      <c r="F99" s="280"/>
      <c r="G99" s="280"/>
      <c r="H99" s="280"/>
      <c r="I99" s="280"/>
      <c r="J99" s="280"/>
      <c r="K99" s="280"/>
      <c r="L99" s="280"/>
      <c r="M99" s="280"/>
      <c r="N99" s="280"/>
      <c r="O99" s="280"/>
    </row>
    <row r="100" spans="1:15" ht="16.5" x14ac:dyDescent="0.15">
      <c r="A100" s="280"/>
      <c r="B100" s="280"/>
      <c r="C100" s="280"/>
      <c r="D100" s="280"/>
      <c r="E100" s="280"/>
      <c r="F100" s="280"/>
      <c r="G100" s="280"/>
      <c r="H100" s="280"/>
      <c r="I100" s="280"/>
      <c r="J100" s="280"/>
      <c r="K100" s="280"/>
      <c r="L100" s="280"/>
      <c r="M100" s="280"/>
      <c r="N100" s="280"/>
      <c r="O100" s="280"/>
    </row>
    <row r="101" spans="1:15" ht="16.5" x14ac:dyDescent="0.15">
      <c r="A101" s="280"/>
      <c r="B101" s="280"/>
      <c r="C101" s="280"/>
      <c r="D101" s="280"/>
      <c r="E101" s="280"/>
      <c r="F101" s="280"/>
      <c r="G101" s="280"/>
      <c r="H101" s="280"/>
      <c r="I101" s="280"/>
      <c r="J101" s="280"/>
      <c r="K101" s="280"/>
      <c r="L101" s="280"/>
      <c r="M101" s="280"/>
      <c r="N101" s="280"/>
      <c r="O101" s="280"/>
    </row>
    <row r="102" spans="1:15" ht="16.5" x14ac:dyDescent="0.15">
      <c r="A102" s="280"/>
      <c r="B102" s="280"/>
      <c r="C102" s="280"/>
      <c r="D102" s="280"/>
      <c r="E102" s="280"/>
      <c r="F102" s="280"/>
      <c r="G102" s="280"/>
      <c r="H102" s="280"/>
      <c r="I102" s="280"/>
      <c r="J102" s="280"/>
      <c r="K102" s="280"/>
      <c r="L102" s="280"/>
      <c r="M102" s="280"/>
      <c r="N102" s="280"/>
      <c r="O102" s="280"/>
    </row>
    <row r="103" spans="1:15" ht="16.5" x14ac:dyDescent="0.15">
      <c r="A103" s="280"/>
      <c r="B103" s="280"/>
      <c r="C103" s="280"/>
      <c r="D103" s="280"/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</row>
    <row r="104" spans="1:15" ht="16.5" x14ac:dyDescent="0.15">
      <c r="A104" s="280"/>
      <c r="B104" s="280"/>
      <c r="C104" s="280"/>
      <c r="D104" s="280"/>
      <c r="E104" s="280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</row>
    <row r="105" spans="1:15" ht="16.5" x14ac:dyDescent="0.15">
      <c r="A105" s="280"/>
      <c r="B105" s="280"/>
      <c r="C105" s="280"/>
      <c r="D105" s="280"/>
      <c r="E105" s="280"/>
      <c r="F105" s="280"/>
      <c r="G105" s="280"/>
      <c r="H105" s="280"/>
      <c r="I105" s="280"/>
      <c r="J105" s="280"/>
      <c r="K105" s="280"/>
      <c r="L105" s="280"/>
      <c r="M105" s="280"/>
      <c r="N105" s="280"/>
      <c r="O105" s="280"/>
    </row>
    <row r="106" spans="1:15" ht="16.5" x14ac:dyDescent="0.15">
      <c r="A106" s="280"/>
      <c r="B106" s="280"/>
      <c r="C106" s="280"/>
      <c r="D106" s="280"/>
      <c r="E106" s="280"/>
      <c r="F106" s="280"/>
      <c r="G106" s="280"/>
      <c r="H106" s="280"/>
      <c r="I106" s="280"/>
      <c r="J106" s="280"/>
      <c r="K106" s="280"/>
      <c r="L106" s="280"/>
      <c r="M106" s="280"/>
      <c r="N106" s="280"/>
      <c r="O106" s="280"/>
    </row>
    <row r="107" spans="1:15" ht="16.5" x14ac:dyDescent="0.15">
      <c r="A107" s="280"/>
      <c r="B107" s="280"/>
      <c r="C107" s="280"/>
      <c r="D107" s="280"/>
      <c r="E107" s="280"/>
      <c r="F107" s="280"/>
      <c r="G107" s="280"/>
      <c r="H107" s="280"/>
      <c r="I107" s="280"/>
      <c r="J107" s="280"/>
      <c r="K107" s="280"/>
      <c r="L107" s="280"/>
      <c r="M107" s="280"/>
      <c r="N107" s="280"/>
      <c r="O107" s="280"/>
    </row>
    <row r="108" spans="1:15" ht="16.5" x14ac:dyDescent="0.15">
      <c r="A108" s="280"/>
      <c r="B108" s="280"/>
      <c r="C108" s="280"/>
      <c r="D108" s="280"/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</row>
    <row r="109" spans="1:15" ht="16.5" x14ac:dyDescent="0.15">
      <c r="A109" s="280"/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</row>
    <row r="110" spans="1:15" ht="16.5" x14ac:dyDescent="0.15">
      <c r="A110" s="280"/>
      <c r="B110" s="280"/>
      <c r="C110" s="280"/>
      <c r="D110" s="280"/>
      <c r="E110" s="280"/>
      <c r="F110" s="280"/>
      <c r="G110" s="280"/>
      <c r="H110" s="280"/>
      <c r="I110" s="280"/>
      <c r="J110" s="280"/>
      <c r="K110" s="280"/>
      <c r="L110" s="280"/>
      <c r="M110" s="280"/>
      <c r="N110" s="280"/>
      <c r="O110" s="280"/>
    </row>
    <row r="111" spans="1:15" ht="16.5" x14ac:dyDescent="0.15">
      <c r="A111" s="280"/>
      <c r="B111" s="280"/>
      <c r="C111" s="280"/>
      <c r="D111" s="280"/>
      <c r="E111" s="280"/>
      <c r="F111" s="280"/>
      <c r="G111" s="280"/>
      <c r="H111" s="280"/>
      <c r="I111" s="280"/>
      <c r="J111" s="280"/>
      <c r="K111" s="280"/>
      <c r="L111" s="280"/>
      <c r="M111" s="280"/>
      <c r="N111" s="280"/>
      <c r="O111" s="280"/>
    </row>
    <row r="112" spans="1:15" ht="16.5" x14ac:dyDescent="0.15">
      <c r="A112" s="280"/>
      <c r="B112" s="280"/>
      <c r="C112" s="280"/>
      <c r="D112" s="280"/>
      <c r="E112" s="280"/>
      <c r="F112" s="280"/>
      <c r="G112" s="280"/>
      <c r="H112" s="280"/>
      <c r="I112" s="280"/>
      <c r="J112" s="280"/>
      <c r="K112" s="280"/>
      <c r="L112" s="280"/>
      <c r="M112" s="280"/>
      <c r="N112" s="280"/>
      <c r="O112" s="280"/>
    </row>
    <row r="113" spans="1:15" ht="16.5" x14ac:dyDescent="0.15">
      <c r="A113" s="280"/>
      <c r="B113" s="280"/>
      <c r="C113" s="280"/>
      <c r="D113" s="280"/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</row>
    <row r="114" spans="1:15" ht="16.5" x14ac:dyDescent="0.15">
      <c r="A114" s="280"/>
      <c r="B114" s="280"/>
      <c r="C114" s="280"/>
      <c r="D114" s="280"/>
      <c r="E114" s="280"/>
      <c r="F114" s="280"/>
      <c r="G114" s="280"/>
      <c r="H114" s="280"/>
      <c r="I114" s="280"/>
      <c r="J114" s="280"/>
      <c r="K114" s="280"/>
      <c r="L114" s="280"/>
      <c r="M114" s="280"/>
      <c r="N114" s="280"/>
      <c r="O114" s="280"/>
    </row>
    <row r="115" spans="1:15" ht="16.5" x14ac:dyDescent="0.15">
      <c r="A115" s="280"/>
      <c r="B115" s="280"/>
      <c r="C115" s="280"/>
      <c r="D115" s="280"/>
      <c r="E115" s="280"/>
      <c r="F115" s="280"/>
      <c r="G115" s="280"/>
      <c r="H115" s="280"/>
      <c r="I115" s="280"/>
      <c r="J115" s="280"/>
      <c r="K115" s="280"/>
      <c r="L115" s="280"/>
      <c r="M115" s="280"/>
      <c r="N115" s="280"/>
      <c r="O115" s="280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98" t="s">
        <v>192</v>
      </c>
      <c r="B4" s="498"/>
      <c r="C4" s="205" t="str">
        <f>입력표!I44</f>
        <v>상월숙진외 농업용관정 영향조사</v>
      </c>
      <c r="D4" s="206"/>
      <c r="E4" s="206"/>
      <c r="F4" s="206"/>
      <c r="G4" s="206"/>
      <c r="H4" s="207"/>
      <c r="I4" s="208"/>
      <c r="P4" s="3">
        <v>1</v>
      </c>
      <c r="Q4" s="64">
        <v>-1.4047567749023449</v>
      </c>
      <c r="R4" s="14">
        <f>B12</f>
        <v>125</v>
      </c>
      <c r="S4" s="3">
        <f>$R$4</f>
        <v>125</v>
      </c>
      <c r="T4" s="364">
        <v>1.9697437977187959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30.145965162816609</v>
      </c>
      <c r="Z4" s="13">
        <f>Z22</f>
        <v>29.145601353258904</v>
      </c>
      <c r="AA4" s="10">
        <f>$Z$4</f>
        <v>29.145601353258904</v>
      </c>
      <c r="AB4" s="10">
        <f>X4</f>
        <v>1</v>
      </c>
      <c r="AC4" s="10">
        <f>Y4-AA4</f>
        <v>1.0003638095577045</v>
      </c>
      <c r="AD4" s="78">
        <f>INT((AC4-AE4)*100)/100</f>
        <v>2.4</v>
      </c>
      <c r="AE4" s="6">
        <f>Q4</f>
        <v>-1.4047567749023449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98" t="s">
        <v>45</v>
      </c>
      <c r="B5" s="498"/>
      <c r="C5" s="209" t="str">
        <f>입력표!I45</f>
        <v>대우리 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125</v>
      </c>
      <c r="T5" s="3">
        <f>$T4</f>
        <v>1.9697437977187959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33.642420746722472</v>
      </c>
      <c r="AA5" s="10">
        <f t="shared" ref="AA5:AA23" si="5">$Z$4</f>
        <v>29.145601353258904</v>
      </c>
      <c r="AB5" s="10">
        <f t="shared" ref="AB5:AB43" si="6">X5</f>
        <v>2</v>
      </c>
      <c r="AC5" s="10">
        <f t="shared" ref="AC5:AC43" si="7">Y5-AA5</f>
        <v>4.4968193934635678</v>
      </c>
      <c r="AD5" s="78">
        <f t="shared" ref="AD5:AD16" si="8">INT((AC5-AE5)*100)/100</f>
        <v>4.49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98" t="s">
        <v>46</v>
      </c>
      <c r="B6" s="498"/>
      <c r="C6" s="213" t="str">
        <f>입력표!I46</f>
        <v>충청남도 논산시 상월면 대우리 산 17-4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125</v>
      </c>
      <c r="T6" s="3">
        <f t="shared" ref="T6:T51" si="10">$T5</f>
        <v>1.9697437977187959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35.687716148744492</v>
      </c>
      <c r="AA6" s="10">
        <f t="shared" si="5"/>
        <v>29.145601353258904</v>
      </c>
      <c r="AB6" s="10">
        <f t="shared" si="6"/>
        <v>3</v>
      </c>
      <c r="AC6" s="10">
        <f t="shared" si="7"/>
        <v>6.5421147954855883</v>
      </c>
      <c r="AD6" s="78">
        <f t="shared" si="8"/>
        <v>6.54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98" t="s">
        <v>165</v>
      </c>
      <c r="B7" s="498"/>
      <c r="C7" s="214" t="str">
        <f>입력표!I47</f>
        <v>(주)동해엔지니어링</v>
      </c>
      <c r="D7" s="215"/>
      <c r="E7" s="206"/>
      <c r="F7" s="216"/>
      <c r="G7" s="217" t="str">
        <f>입력표!I49</f>
        <v>대우리 지구</v>
      </c>
      <c r="H7" s="218"/>
      <c r="I7" s="219"/>
      <c r="P7" s="3">
        <v>4</v>
      </c>
      <c r="Q7" s="64"/>
      <c r="S7" s="3">
        <f t="shared" si="3"/>
        <v>125</v>
      </c>
      <c r="T7" s="3">
        <f t="shared" si="10"/>
        <v>1.9697437977187959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37.138876330628335</v>
      </c>
      <c r="AA7" s="10">
        <f t="shared" si="5"/>
        <v>29.145601353258904</v>
      </c>
      <c r="AB7" s="10">
        <f t="shared" si="6"/>
        <v>4</v>
      </c>
      <c r="AC7" s="10">
        <f t="shared" si="7"/>
        <v>7.9932749773694312</v>
      </c>
      <c r="AD7" s="78">
        <f t="shared" si="8"/>
        <v>7.99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499">
        <f>입력표!I48</f>
        <v>5</v>
      </c>
      <c r="D8" s="500"/>
      <c r="E8" s="501"/>
      <c r="F8" s="221" t="s">
        <v>6</v>
      </c>
      <c r="G8" s="217" t="str">
        <f>G7</f>
        <v>대우리 지구</v>
      </c>
      <c r="H8" s="218"/>
      <c r="I8" s="222"/>
      <c r="K8" s="399"/>
      <c r="P8" s="3">
        <v>5</v>
      </c>
      <c r="Q8" s="64"/>
      <c r="S8" s="3">
        <f t="shared" si="3"/>
        <v>125</v>
      </c>
      <c r="T8" s="3">
        <f t="shared" si="10"/>
        <v>1.9697437977187959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38.264483615613429</v>
      </c>
      <c r="AA8" s="10">
        <f t="shared" si="5"/>
        <v>29.145601353258904</v>
      </c>
      <c r="AB8" s="10">
        <f t="shared" si="6"/>
        <v>5</v>
      </c>
      <c r="AC8" s="10">
        <f t="shared" si="7"/>
        <v>9.1188822623545249</v>
      </c>
      <c r="AD8" s="78">
        <f t="shared" si="8"/>
        <v>9.11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02">
        <f>입력표!M44</f>
        <v>250</v>
      </c>
      <c r="E9" s="502"/>
      <c r="F9" s="204" t="s">
        <v>8</v>
      </c>
      <c r="G9" s="492">
        <f>입력표!M45</f>
        <v>80</v>
      </c>
      <c r="H9" s="492"/>
      <c r="I9" s="204"/>
      <c r="P9" s="3">
        <v>10</v>
      </c>
      <c r="Q9" s="64"/>
      <c r="S9" s="3">
        <f t="shared" si="3"/>
        <v>125</v>
      </c>
      <c r="T9" s="3">
        <f t="shared" si="10"/>
        <v>1.9697437977187959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41.760939199519292</v>
      </c>
      <c r="AA9" s="10">
        <f t="shared" si="5"/>
        <v>29.145601353258904</v>
      </c>
      <c r="AB9" s="10">
        <f t="shared" si="6"/>
        <v>10</v>
      </c>
      <c r="AC9" s="10">
        <f t="shared" si="7"/>
        <v>12.615337846260388</v>
      </c>
      <c r="AD9" s="78">
        <f t="shared" si="8"/>
        <v>12.61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495">
        <f>입력표!M48</f>
        <v>4.78</v>
      </c>
      <c r="E10" s="496"/>
      <c r="F10" s="224" t="s">
        <v>0</v>
      </c>
      <c r="G10" s="493" t="s">
        <v>0</v>
      </c>
      <c r="H10" s="493"/>
      <c r="I10" s="212"/>
      <c r="P10" s="3">
        <v>15</v>
      </c>
      <c r="Q10" s="64"/>
      <c r="S10" s="3">
        <f t="shared" si="3"/>
        <v>125</v>
      </c>
      <c r="T10" s="3">
        <f t="shared" si="10"/>
        <v>1.9697437977187959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43.806234601541306</v>
      </c>
      <c r="AA10" s="10">
        <f t="shared" si="5"/>
        <v>29.145601353258904</v>
      </c>
      <c r="AB10" s="10">
        <f t="shared" si="6"/>
        <v>15</v>
      </c>
      <c r="AC10" s="10">
        <f t="shared" si="7"/>
        <v>14.660633248282402</v>
      </c>
      <c r="AD10" s="78">
        <f t="shared" si="8"/>
        <v>14.66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497" t="s">
        <v>172</v>
      </c>
      <c r="E11" s="497"/>
      <c r="F11" s="225" t="s">
        <v>173</v>
      </c>
      <c r="G11" s="494" t="s">
        <v>174</v>
      </c>
      <c r="H11" s="494"/>
      <c r="I11" s="204" t="s">
        <v>164</v>
      </c>
      <c r="J11" s="398">
        <f>G12-J13</f>
        <v>0.30999999999999961</v>
      </c>
      <c r="P11" s="3">
        <v>20</v>
      </c>
      <c r="Q11" s="64"/>
      <c r="S11" s="3">
        <f t="shared" si="3"/>
        <v>125</v>
      </c>
      <c r="T11" s="3">
        <f t="shared" si="10"/>
        <v>1.9697437977187959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45.257394783425156</v>
      </c>
      <c r="AA11" s="10">
        <f t="shared" si="5"/>
        <v>29.145601353258904</v>
      </c>
      <c r="AB11" s="10">
        <f t="shared" si="6"/>
        <v>20</v>
      </c>
      <c r="AC11" s="10">
        <f t="shared" si="7"/>
        <v>16.111793430166252</v>
      </c>
      <c r="AD11" s="78">
        <f t="shared" si="8"/>
        <v>16.11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125</v>
      </c>
      <c r="C12" s="201">
        <v>0.41736111111111113</v>
      </c>
      <c r="D12" s="491">
        <v>1</v>
      </c>
      <c r="E12" s="491"/>
      <c r="F12" s="202">
        <f>G12+$D$10</f>
        <v>7.18</v>
      </c>
      <c r="G12" s="490">
        <f>AD4</f>
        <v>2.4</v>
      </c>
      <c r="H12" s="490"/>
      <c r="I12" s="204" t="s">
        <v>12</v>
      </c>
      <c r="J12" s="8"/>
      <c r="P12" s="3">
        <v>25</v>
      </c>
      <c r="Q12" s="64"/>
      <c r="S12" s="3">
        <f t="shared" si="3"/>
        <v>125</v>
      </c>
      <c r="T12" s="3">
        <f t="shared" si="10"/>
        <v>1.9697437977187959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46.383002068410242</v>
      </c>
      <c r="AA12" s="10">
        <f t="shared" si="5"/>
        <v>29.145601353258904</v>
      </c>
      <c r="AB12" s="10">
        <f t="shared" si="6"/>
        <v>25</v>
      </c>
      <c r="AC12" s="10">
        <f t="shared" si="7"/>
        <v>17.237400715151338</v>
      </c>
      <c r="AD12" s="78">
        <f t="shared" si="8"/>
        <v>17.23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491">
        <v>2</v>
      </c>
      <c r="E13" s="491"/>
      <c r="F13" s="202">
        <f t="shared" ref="F13:F28" si="13">G13+$D$10</f>
        <v>9.27</v>
      </c>
      <c r="G13" s="490">
        <f t="shared" ref="G13:G51" si="14">AD5</f>
        <v>4.49</v>
      </c>
      <c r="H13" s="490"/>
      <c r="I13" s="203"/>
      <c r="J13" s="8">
        <f>G13-G12</f>
        <v>2.0900000000000003</v>
      </c>
      <c r="P13" s="3">
        <v>30</v>
      </c>
      <c r="Q13" s="64"/>
      <c r="S13" s="3">
        <f t="shared" si="3"/>
        <v>125</v>
      </c>
      <c r="T13" s="3">
        <f t="shared" si="10"/>
        <v>1.9697437977187959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47.302690185447176</v>
      </c>
      <c r="AA13" s="10">
        <f t="shared" si="5"/>
        <v>29.145601353258904</v>
      </c>
      <c r="AB13" s="10">
        <f t="shared" si="6"/>
        <v>30</v>
      </c>
      <c r="AC13" s="10">
        <f t="shared" si="7"/>
        <v>18.157088832188272</v>
      </c>
      <c r="AD13" s="78">
        <f t="shared" si="8"/>
        <v>18.149999999999999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491">
        <v>3</v>
      </c>
      <c r="E14" s="491"/>
      <c r="F14" s="202">
        <f t="shared" si="13"/>
        <v>11.32</v>
      </c>
      <c r="G14" s="490">
        <f t="shared" si="14"/>
        <v>6.54</v>
      </c>
      <c r="H14" s="490"/>
      <c r="I14" s="203"/>
      <c r="J14" s="8">
        <f t="shared" ref="J14:J51" si="15">G14-G13</f>
        <v>2.0499999999999998</v>
      </c>
      <c r="Q14" s="64"/>
      <c r="S14" s="3">
        <f t="shared" si="3"/>
        <v>125</v>
      </c>
      <c r="T14" s="3">
        <f t="shared" si="10"/>
        <v>1.9697437977187959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48.080275408847342</v>
      </c>
      <c r="AA14" s="10">
        <f t="shared" si="5"/>
        <v>29.145601353258904</v>
      </c>
      <c r="AB14" s="10">
        <f t="shared" si="6"/>
        <v>35</v>
      </c>
      <c r="AC14" s="10">
        <f t="shared" si="7"/>
        <v>18.934674055588438</v>
      </c>
      <c r="AD14" s="78">
        <f t="shared" si="8"/>
        <v>18.93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491">
        <v>4</v>
      </c>
      <c r="E15" s="491"/>
      <c r="F15" s="202">
        <f t="shared" si="13"/>
        <v>12.77</v>
      </c>
      <c r="G15" s="490">
        <f t="shared" si="14"/>
        <v>7.99</v>
      </c>
      <c r="H15" s="490"/>
      <c r="I15" s="203"/>
      <c r="J15" s="8">
        <f t="shared" si="15"/>
        <v>1.4500000000000002</v>
      </c>
      <c r="Q15" s="64"/>
      <c r="S15" s="3">
        <f t="shared" si="3"/>
        <v>125</v>
      </c>
      <c r="T15" s="3">
        <f t="shared" si="10"/>
        <v>1.9697437977187959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48.753850367331012</v>
      </c>
      <c r="AA15" s="10">
        <f t="shared" si="5"/>
        <v>29.145601353258904</v>
      </c>
      <c r="AB15" s="10">
        <f t="shared" si="6"/>
        <v>40</v>
      </c>
      <c r="AC15" s="10">
        <f t="shared" si="7"/>
        <v>19.608249014072108</v>
      </c>
      <c r="AD15" s="78">
        <f t="shared" si="8"/>
        <v>19.600000000000001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491">
        <v>5</v>
      </c>
      <c r="E16" s="491"/>
      <c r="F16" s="202">
        <f t="shared" si="13"/>
        <v>13.89</v>
      </c>
      <c r="G16" s="490">
        <f t="shared" si="14"/>
        <v>9.11</v>
      </c>
      <c r="H16" s="490"/>
      <c r="I16" s="203"/>
      <c r="J16" s="8">
        <f t="shared" si="15"/>
        <v>1.1199999999999992</v>
      </c>
      <c r="L16" s="11" t="s">
        <v>94</v>
      </c>
      <c r="M16" s="11" t="s">
        <v>95</v>
      </c>
      <c r="S16" s="3">
        <f t="shared" si="3"/>
        <v>125</v>
      </c>
      <c r="T16" s="3">
        <f t="shared" si="10"/>
        <v>1.9697437977187959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49.347985587469203</v>
      </c>
      <c r="AA16" s="10">
        <f t="shared" si="5"/>
        <v>29.145601353258904</v>
      </c>
      <c r="AB16" s="10">
        <f t="shared" si="6"/>
        <v>45</v>
      </c>
      <c r="AC16" s="10">
        <f t="shared" si="7"/>
        <v>20.202384234210299</v>
      </c>
      <c r="AD16" s="78">
        <f t="shared" si="8"/>
        <v>20.2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491">
        <v>10</v>
      </c>
      <c r="E17" s="491"/>
      <c r="F17" s="202">
        <f t="shared" si="13"/>
        <v>17.39</v>
      </c>
      <c r="G17" s="490">
        <f t="shared" si="14"/>
        <v>12.61</v>
      </c>
      <c r="H17" s="490"/>
      <c r="I17" s="203"/>
      <c r="J17" s="8">
        <f t="shared" si="15"/>
        <v>3.5</v>
      </c>
      <c r="K17" s="29">
        <f>D12</f>
        <v>1</v>
      </c>
      <c r="L17" s="3">
        <f>INT(B12/1440*10000)/10000</f>
        <v>8.6800000000000002E-2</v>
      </c>
      <c r="M17" s="3">
        <f>K17*L17</f>
        <v>8.6800000000000002E-2</v>
      </c>
      <c r="N17" s="3">
        <f>INT((8*2.54/2/100)^2*3.14159*100000)/100000</f>
        <v>3.2419999999999997E-2</v>
      </c>
      <c r="O17" s="3">
        <f>INT(M17/N17*100)/100</f>
        <v>2.67</v>
      </c>
      <c r="P17" s="13">
        <f>INT((G12-O17)*100)/100</f>
        <v>-0.27</v>
      </c>
      <c r="S17" s="3">
        <f t="shared" si="3"/>
        <v>125</v>
      </c>
      <c r="T17" s="3">
        <f t="shared" si="10"/>
        <v>1.9697437977187959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49.879457652316106</v>
      </c>
      <c r="AA17" s="10">
        <f t="shared" si="5"/>
        <v>29.145601353258904</v>
      </c>
      <c r="AB17" s="10">
        <f t="shared" si="6"/>
        <v>50</v>
      </c>
      <c r="AC17" s="10">
        <f t="shared" si="7"/>
        <v>20.733856299057202</v>
      </c>
      <c r="AD17" s="78">
        <f t="shared" ref="AD17:AD22" si="16">INT(AC17*100)/100</f>
        <v>20.73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491">
        <v>15</v>
      </c>
      <c r="E18" s="491"/>
      <c r="F18" s="202">
        <f t="shared" si="13"/>
        <v>19.440000000000001</v>
      </c>
      <c r="G18" s="490">
        <f t="shared" si="14"/>
        <v>14.66</v>
      </c>
      <c r="H18" s="490"/>
      <c r="I18" s="203"/>
      <c r="J18" s="8">
        <f t="shared" si="15"/>
        <v>2.0500000000000007</v>
      </c>
      <c r="K18" s="29">
        <f>D13</f>
        <v>2</v>
      </c>
      <c r="L18" s="3">
        <f>L17</f>
        <v>8.6800000000000002E-2</v>
      </c>
      <c r="M18" s="3">
        <f t="shared" ref="M18:M32" si="17">K18*L18</f>
        <v>0.1736</v>
      </c>
      <c r="N18" s="3">
        <f>N17</f>
        <v>3.2419999999999997E-2</v>
      </c>
      <c r="O18" s="3">
        <f>INT(M18/N18*100)/100</f>
        <v>5.35</v>
      </c>
      <c r="P18" s="13">
        <f>INT((G13-O18)*100*0.98)/100</f>
        <v>-0.85</v>
      </c>
      <c r="S18" s="3">
        <f t="shared" si="3"/>
        <v>125</v>
      </c>
      <c r="T18" s="3">
        <f t="shared" si="10"/>
        <v>1.9697437977187959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50.360232615738305</v>
      </c>
      <c r="AA18" s="10">
        <f t="shared" si="5"/>
        <v>29.145601353258904</v>
      </c>
      <c r="AB18" s="10">
        <f t="shared" si="6"/>
        <v>55</v>
      </c>
      <c r="AC18" s="10">
        <f t="shared" si="7"/>
        <v>21.214631262479401</v>
      </c>
      <c r="AD18" s="78">
        <f t="shared" si="16"/>
        <v>21.21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491">
        <v>20</v>
      </c>
      <c r="E19" s="491"/>
      <c r="F19" s="202">
        <f t="shared" si="13"/>
        <v>20.89</v>
      </c>
      <c r="G19" s="490">
        <f t="shared" si="14"/>
        <v>16.11</v>
      </c>
      <c r="H19" s="490"/>
      <c r="I19" s="203"/>
      <c r="J19" s="8">
        <f t="shared" si="15"/>
        <v>1.4499999999999993</v>
      </c>
      <c r="K19" s="29">
        <f t="shared" ref="K19:K32" si="18">D14</f>
        <v>3</v>
      </c>
      <c r="L19" s="3">
        <f>L18</f>
        <v>8.6800000000000002E-2</v>
      </c>
      <c r="M19" s="3">
        <f t="shared" si="17"/>
        <v>0.26040000000000002</v>
      </c>
      <c r="N19" s="3">
        <f t="shared" ref="N19:N32" si="19">N18</f>
        <v>3.2419999999999997E-2</v>
      </c>
      <c r="O19" s="3">
        <f>INT(M19/N19*100)/100</f>
        <v>8.0299999999999994</v>
      </c>
      <c r="P19" s="13">
        <f>INT((G14-O19)*100*0.95)/100</f>
        <v>-1.42</v>
      </c>
      <c r="S19" s="3">
        <f t="shared" si="3"/>
        <v>125</v>
      </c>
      <c r="T19" s="3">
        <f t="shared" si="10"/>
        <v>1.9697437977187959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50.799145769353039</v>
      </c>
      <c r="AA19" s="10">
        <f t="shared" si="5"/>
        <v>29.145601353258904</v>
      </c>
      <c r="AB19" s="10">
        <f t="shared" si="6"/>
        <v>60</v>
      </c>
      <c r="AC19" s="10">
        <f t="shared" si="7"/>
        <v>21.653544416094135</v>
      </c>
      <c r="AD19" s="78">
        <f t="shared" si="16"/>
        <v>21.65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491">
        <v>25</v>
      </c>
      <c r="E20" s="491"/>
      <c r="F20" s="202">
        <f t="shared" si="13"/>
        <v>22.01</v>
      </c>
      <c r="G20" s="490">
        <f t="shared" si="14"/>
        <v>17.23</v>
      </c>
      <c r="H20" s="490"/>
      <c r="I20" s="203"/>
      <c r="J20" s="8">
        <f t="shared" si="15"/>
        <v>1.120000000000001</v>
      </c>
      <c r="K20" s="29">
        <f t="shared" si="18"/>
        <v>4</v>
      </c>
      <c r="L20" s="3">
        <f>L19</f>
        <v>8.6800000000000002E-2</v>
      </c>
      <c r="M20" s="3">
        <f t="shared" si="17"/>
        <v>0.34720000000000001</v>
      </c>
      <c r="N20" s="3">
        <f t="shared" si="19"/>
        <v>3.2419999999999997E-2</v>
      </c>
      <c r="O20" s="3">
        <f>INT(M20/N20*100)/100</f>
        <v>10.7</v>
      </c>
      <c r="P20" s="13">
        <f>INT((G15-O20)*100*0.91)/100</f>
        <v>-2.4700000000000002</v>
      </c>
      <c r="S20" s="3">
        <f t="shared" si="3"/>
        <v>125</v>
      </c>
      <c r="T20" s="3">
        <f t="shared" si="10"/>
        <v>1.9697437977187959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51.924753054338133</v>
      </c>
      <c r="AA20" s="10">
        <f t="shared" si="5"/>
        <v>29.145601353258904</v>
      </c>
      <c r="AB20" s="10">
        <f t="shared" si="6"/>
        <v>75</v>
      </c>
      <c r="AC20" s="10">
        <f t="shared" si="7"/>
        <v>22.779151701079229</v>
      </c>
      <c r="AD20" s="78">
        <f t="shared" si="16"/>
        <v>22.77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491">
        <v>30</v>
      </c>
      <c r="E21" s="491"/>
      <c r="F21" s="202">
        <f t="shared" si="13"/>
        <v>22.93</v>
      </c>
      <c r="G21" s="490">
        <f t="shared" si="14"/>
        <v>18.149999999999999</v>
      </c>
      <c r="H21" s="490"/>
      <c r="I21" s="203"/>
      <c r="J21" s="8">
        <f t="shared" si="15"/>
        <v>0.91999999999999815</v>
      </c>
      <c r="K21" s="29">
        <f t="shared" si="18"/>
        <v>5</v>
      </c>
      <c r="L21" s="29">
        <f>L20</f>
        <v>8.6800000000000002E-2</v>
      </c>
      <c r="M21" s="3">
        <f t="shared" si="17"/>
        <v>0.434</v>
      </c>
      <c r="N21" s="3">
        <f t="shared" si="19"/>
        <v>3.2419999999999997E-2</v>
      </c>
      <c r="O21" s="29">
        <f>INT(M21/N21*100)/100</f>
        <v>13.38</v>
      </c>
      <c r="P21" s="13">
        <f>INT((G16-O21)*100*0.86)/100</f>
        <v>-3.68</v>
      </c>
      <c r="S21" s="3">
        <f t="shared" si="3"/>
        <v>125</v>
      </c>
      <c r="T21" s="3">
        <f t="shared" si="10"/>
        <v>1.9697437977187959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52.844441171375053</v>
      </c>
      <c r="AA21" s="10">
        <f t="shared" si="5"/>
        <v>29.145601353258904</v>
      </c>
      <c r="AB21" s="10">
        <f t="shared" si="6"/>
        <v>90</v>
      </c>
      <c r="AC21" s="10">
        <f t="shared" si="7"/>
        <v>23.698839818116149</v>
      </c>
      <c r="AD21" s="78">
        <f t="shared" si="16"/>
        <v>23.69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491">
        <v>35</v>
      </c>
      <c r="E22" s="491"/>
      <c r="F22" s="202">
        <f t="shared" si="13"/>
        <v>23.71</v>
      </c>
      <c r="G22" s="490">
        <f t="shared" si="14"/>
        <v>18.93</v>
      </c>
      <c r="H22" s="490"/>
      <c r="I22" s="204"/>
      <c r="J22" s="8">
        <f t="shared" si="15"/>
        <v>0.78000000000000114</v>
      </c>
      <c r="K22" s="29">
        <f t="shared" si="18"/>
        <v>10</v>
      </c>
      <c r="L22" s="29">
        <f t="shared" ref="L22:L32" si="20">L21</f>
        <v>8.6800000000000002E-2</v>
      </c>
      <c r="M22" s="3">
        <f t="shared" si="17"/>
        <v>0.86799999999999999</v>
      </c>
      <c r="N22" s="3">
        <f t="shared" si="19"/>
        <v>3.2419999999999997E-2</v>
      </c>
      <c r="O22" s="29">
        <f t="shared" ref="O22:O30" si="21">INT(M22/N22*100)/100</f>
        <v>26.77</v>
      </c>
      <c r="P22" s="13">
        <f>INT((G17-O22)*100*0.8)/100</f>
        <v>-11.33</v>
      </c>
      <c r="S22" s="3">
        <f t="shared" si="3"/>
        <v>125</v>
      </c>
      <c r="T22" s="3">
        <f t="shared" si="10"/>
        <v>1.9697437977187959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53.622026394775233</v>
      </c>
      <c r="Z22" s="10">
        <f>Y23-Z23</f>
        <v>29.145601353258904</v>
      </c>
      <c r="AA22" s="10">
        <f t="shared" si="5"/>
        <v>29.145601353258904</v>
      </c>
      <c r="AB22" s="10">
        <f t="shared" si="6"/>
        <v>105</v>
      </c>
      <c r="AC22" s="10">
        <f t="shared" si="7"/>
        <v>24.476425041516329</v>
      </c>
      <c r="AD22" s="78">
        <f t="shared" si="16"/>
        <v>24.47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491">
        <v>40</v>
      </c>
      <c r="E23" s="491"/>
      <c r="F23" s="202">
        <f t="shared" si="13"/>
        <v>24.380000000000003</v>
      </c>
      <c r="G23" s="490">
        <f t="shared" si="14"/>
        <v>19.600000000000001</v>
      </c>
      <c r="H23" s="490"/>
      <c r="I23" s="204"/>
      <c r="J23" s="8">
        <f t="shared" si="15"/>
        <v>0.67000000000000171</v>
      </c>
      <c r="K23" s="29">
        <f t="shared" si="18"/>
        <v>15</v>
      </c>
      <c r="L23" s="29">
        <f t="shared" si="20"/>
        <v>8.6800000000000002E-2</v>
      </c>
      <c r="M23" s="3">
        <f t="shared" si="17"/>
        <v>1.302</v>
      </c>
      <c r="N23" s="3">
        <f t="shared" si="19"/>
        <v>3.2419999999999997E-2</v>
      </c>
      <c r="O23" s="29">
        <f t="shared" si="21"/>
        <v>40.159999999999997</v>
      </c>
      <c r="P23" s="13">
        <f t="shared" ref="P23:P32" si="22">INT((G18-O23)*100)/100</f>
        <v>-25.5</v>
      </c>
      <c r="S23" s="3">
        <f t="shared" si="3"/>
        <v>125</v>
      </c>
      <c r="T23" s="3">
        <f t="shared" si="10"/>
        <v>1.9697437977187959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54.295601353258903</v>
      </c>
      <c r="Z23" s="10">
        <f>입력표!B20</f>
        <v>25.15</v>
      </c>
      <c r="AA23" s="10">
        <f t="shared" si="5"/>
        <v>29.145601353258904</v>
      </c>
      <c r="AB23" s="10">
        <f t="shared" si="6"/>
        <v>120</v>
      </c>
      <c r="AC23" s="10">
        <f t="shared" si="7"/>
        <v>25.15</v>
      </c>
      <c r="AD23" s="78">
        <f>INT((AC$3+AE23)*100)/100</f>
        <v>25.15</v>
      </c>
      <c r="AE23" s="10">
        <f>AG$23*AF23</f>
        <v>25.15</v>
      </c>
      <c r="AF23" s="10">
        <v>1</v>
      </c>
      <c r="AG23" s="10">
        <f>AC23-AC3</f>
        <v>25.15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491">
        <v>45</v>
      </c>
      <c r="E24" s="491"/>
      <c r="F24" s="202">
        <f t="shared" si="13"/>
        <v>24.98</v>
      </c>
      <c r="G24" s="490">
        <f t="shared" si="14"/>
        <v>20.2</v>
      </c>
      <c r="H24" s="490"/>
      <c r="I24" s="204"/>
      <c r="J24" s="8">
        <f t="shared" si="15"/>
        <v>0.59999999999999787</v>
      </c>
      <c r="K24" s="29">
        <f t="shared" si="18"/>
        <v>20</v>
      </c>
      <c r="L24" s="29">
        <f t="shared" si="20"/>
        <v>8.6800000000000002E-2</v>
      </c>
      <c r="M24" s="3">
        <f t="shared" si="17"/>
        <v>1.736</v>
      </c>
      <c r="N24" s="3">
        <f t="shared" si="19"/>
        <v>3.2419999999999997E-2</v>
      </c>
      <c r="O24" s="29">
        <f t="shared" si="21"/>
        <v>53.54</v>
      </c>
      <c r="P24" s="13">
        <f t="shared" si="22"/>
        <v>-37.43</v>
      </c>
      <c r="R24" s="14">
        <f>B32</f>
        <v>159</v>
      </c>
      <c r="S24" s="3">
        <f>$R$24</f>
        <v>159</v>
      </c>
      <c r="T24" s="3">
        <f t="shared" si="10"/>
        <v>1.9697437977187959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69.577588864579184</v>
      </c>
      <c r="Z24" s="10">
        <f>Z27</f>
        <v>39.971496424073571</v>
      </c>
      <c r="AA24" s="10">
        <f>$Z$24</f>
        <v>39.971496424073571</v>
      </c>
      <c r="AB24" s="10">
        <f t="shared" si="6"/>
        <v>130</v>
      </c>
      <c r="AC24" s="10">
        <f t="shared" si="7"/>
        <v>29.606092440505613</v>
      </c>
      <c r="AD24" s="78">
        <f>INT((AC$23+AE24)*100)/100</f>
        <v>30.18</v>
      </c>
      <c r="AE24" s="10">
        <f>AF24*AG$28</f>
        <v>5.0339999999999998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491">
        <v>50</v>
      </c>
      <c r="E25" s="491"/>
      <c r="F25" s="202">
        <f t="shared" si="13"/>
        <v>25.51</v>
      </c>
      <c r="G25" s="490">
        <f t="shared" si="14"/>
        <v>20.73</v>
      </c>
      <c r="H25" s="490"/>
      <c r="I25" s="204"/>
      <c r="J25" s="8">
        <f t="shared" si="15"/>
        <v>0.53000000000000114</v>
      </c>
      <c r="K25" s="29">
        <f t="shared" si="18"/>
        <v>25</v>
      </c>
      <c r="L25" s="29">
        <f t="shared" si="20"/>
        <v>8.6800000000000002E-2</v>
      </c>
      <c r="M25" s="3">
        <f t="shared" si="17"/>
        <v>2.17</v>
      </c>
      <c r="N25" s="3">
        <f t="shared" si="19"/>
        <v>3.2419999999999997E-2</v>
      </c>
      <c r="O25" s="29">
        <f t="shared" si="21"/>
        <v>66.930000000000007</v>
      </c>
      <c r="P25" s="13">
        <f t="shared" si="22"/>
        <v>-49.7</v>
      </c>
      <c r="S25" s="3">
        <f>$R$24</f>
        <v>159</v>
      </c>
      <c r="T25" s="3">
        <f t="shared" si="10"/>
        <v>1.9697437977187959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70.053093325510332</v>
      </c>
      <c r="AA25" s="10">
        <f>$Z$24</f>
        <v>39.971496424073571</v>
      </c>
      <c r="AB25" s="10">
        <f t="shared" si="6"/>
        <v>140</v>
      </c>
      <c r="AC25" s="10">
        <f t="shared" si="7"/>
        <v>30.081596901436761</v>
      </c>
      <c r="AD25" s="78">
        <f>INT((AC$23+AE25)*100)/100</f>
        <v>31.02</v>
      </c>
      <c r="AE25" s="10">
        <f>AF25*AG$28</f>
        <v>5.8730000000000002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491">
        <v>55</v>
      </c>
      <c r="E26" s="491"/>
      <c r="F26" s="202">
        <f t="shared" si="13"/>
        <v>25.990000000000002</v>
      </c>
      <c r="G26" s="490">
        <f t="shared" si="14"/>
        <v>21.21</v>
      </c>
      <c r="H26" s="490"/>
      <c r="I26" s="204"/>
      <c r="J26" s="8">
        <f t="shared" si="15"/>
        <v>0.48000000000000043</v>
      </c>
      <c r="K26" s="29">
        <f t="shared" si="18"/>
        <v>30</v>
      </c>
      <c r="L26" s="29">
        <f t="shared" si="20"/>
        <v>8.6800000000000002E-2</v>
      </c>
      <c r="M26" s="3">
        <f t="shared" si="17"/>
        <v>2.6040000000000001</v>
      </c>
      <c r="N26" s="3">
        <f t="shared" si="19"/>
        <v>3.2419999999999997E-2</v>
      </c>
      <c r="O26" s="3">
        <f t="shared" si="21"/>
        <v>80.319999999999993</v>
      </c>
      <c r="P26" s="13">
        <f t="shared" si="22"/>
        <v>-62.17</v>
      </c>
      <c r="S26" s="3">
        <f>$R$24</f>
        <v>159</v>
      </c>
      <c r="T26" s="3">
        <f t="shared" si="10"/>
        <v>1.9697437977187959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70.49577738784636</v>
      </c>
      <c r="AA26" s="10">
        <f>$Z$24</f>
        <v>39.971496424073571</v>
      </c>
      <c r="AB26" s="10">
        <f t="shared" si="6"/>
        <v>150</v>
      </c>
      <c r="AC26" s="10">
        <f t="shared" si="7"/>
        <v>30.524280963772789</v>
      </c>
      <c r="AD26" s="78">
        <f>INT((AC$23+AE26)*100)/100</f>
        <v>31.86</v>
      </c>
      <c r="AE26" s="10">
        <f>AF26*AG$28</f>
        <v>6.7120000000000006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491">
        <v>60</v>
      </c>
      <c r="E27" s="491"/>
      <c r="F27" s="202">
        <f t="shared" si="13"/>
        <v>26.43</v>
      </c>
      <c r="G27" s="490">
        <f t="shared" si="14"/>
        <v>21.65</v>
      </c>
      <c r="H27" s="490"/>
      <c r="I27" s="204"/>
      <c r="J27" s="8">
        <f t="shared" si="15"/>
        <v>0.43999999999999773</v>
      </c>
      <c r="K27" s="29">
        <f t="shared" si="18"/>
        <v>35</v>
      </c>
      <c r="L27" s="29">
        <f t="shared" si="20"/>
        <v>8.6800000000000002E-2</v>
      </c>
      <c r="M27" s="3">
        <f t="shared" si="17"/>
        <v>3.0380000000000003</v>
      </c>
      <c r="N27" s="3">
        <f t="shared" si="19"/>
        <v>3.2419999999999997E-2</v>
      </c>
      <c r="O27" s="3">
        <f t="shared" si="21"/>
        <v>93.7</v>
      </c>
      <c r="P27" s="13">
        <f t="shared" si="22"/>
        <v>-74.77</v>
      </c>
      <c r="S27" s="3">
        <f>$R$24</f>
        <v>159</v>
      </c>
      <c r="T27" s="3">
        <f t="shared" si="10"/>
        <v>1.9697437977187959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71.665620672717324</v>
      </c>
      <c r="Z27" s="10">
        <f>Y28-Z28</f>
        <v>39.971496424073571</v>
      </c>
      <c r="AA27" s="10">
        <f>$Z$24</f>
        <v>39.971496424073571</v>
      </c>
      <c r="AB27" s="10">
        <f t="shared" si="6"/>
        <v>180</v>
      </c>
      <c r="AC27" s="10">
        <f t="shared" si="7"/>
        <v>31.694124248643753</v>
      </c>
      <c r="AD27" s="78">
        <f>INT((AC$23+AE27)*100)/100</f>
        <v>32.700000000000003</v>
      </c>
      <c r="AE27" s="10">
        <f>AF27*AG$28</f>
        <v>7.551000000000001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491">
        <v>75</v>
      </c>
      <c r="E28" s="491"/>
      <c r="F28" s="202">
        <f t="shared" si="13"/>
        <v>27.55</v>
      </c>
      <c r="G28" s="490">
        <f t="shared" si="14"/>
        <v>22.77</v>
      </c>
      <c r="H28" s="490"/>
      <c r="I28" s="204"/>
      <c r="J28" s="8">
        <f t="shared" si="15"/>
        <v>1.120000000000001</v>
      </c>
      <c r="K28" s="29">
        <f t="shared" si="18"/>
        <v>40</v>
      </c>
      <c r="L28" s="29">
        <f t="shared" si="20"/>
        <v>8.6800000000000002E-2</v>
      </c>
      <c r="M28" s="3">
        <f t="shared" si="17"/>
        <v>3.472</v>
      </c>
      <c r="N28" s="3">
        <f t="shared" si="19"/>
        <v>3.2419999999999997E-2</v>
      </c>
      <c r="O28" s="3">
        <f t="shared" si="21"/>
        <v>107.09</v>
      </c>
      <c r="P28" s="13">
        <f t="shared" si="22"/>
        <v>-87.49</v>
      </c>
      <c r="S28" s="3">
        <f>$R$24</f>
        <v>159</v>
      </c>
      <c r="T28" s="3">
        <f t="shared" si="10"/>
        <v>1.9697437977187959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73.51149642407357</v>
      </c>
      <c r="Z28" s="10">
        <f>입력표!B21</f>
        <v>33.54</v>
      </c>
      <c r="AA28" s="10">
        <f>$Z$24</f>
        <v>39.971496424073571</v>
      </c>
      <c r="AB28" s="10">
        <f t="shared" si="6"/>
        <v>240</v>
      </c>
      <c r="AC28" s="10">
        <f t="shared" si="7"/>
        <v>33.54</v>
      </c>
      <c r="AD28" s="78">
        <f>INT((AC$23+AE28)*100)/100</f>
        <v>33.54</v>
      </c>
      <c r="AE28" s="10">
        <f>AF28*AG$28</f>
        <v>8.39</v>
      </c>
      <c r="AF28" s="10">
        <v>1</v>
      </c>
      <c r="AG28" s="10">
        <f>AC28-AC23</f>
        <v>8.39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491">
        <v>90</v>
      </c>
      <c r="E29" s="491"/>
      <c r="F29" s="202">
        <f t="shared" ref="F29:F44" si="24">G29+$D$10</f>
        <v>28.470000000000002</v>
      </c>
      <c r="G29" s="490">
        <f t="shared" si="14"/>
        <v>23.69</v>
      </c>
      <c r="H29" s="490"/>
      <c r="I29" s="204"/>
      <c r="J29" s="8">
        <f t="shared" si="15"/>
        <v>0.92000000000000171</v>
      </c>
      <c r="K29" s="29">
        <f t="shared" si="18"/>
        <v>45</v>
      </c>
      <c r="L29" s="29">
        <f t="shared" si="20"/>
        <v>8.6800000000000002E-2</v>
      </c>
      <c r="M29" s="3">
        <f t="shared" si="17"/>
        <v>3.9060000000000001</v>
      </c>
      <c r="N29" s="3">
        <f t="shared" si="19"/>
        <v>3.2419999999999997E-2</v>
      </c>
      <c r="O29" s="3">
        <f t="shared" si="21"/>
        <v>120.48</v>
      </c>
      <c r="P29" s="13">
        <f t="shared" si="22"/>
        <v>-100.28</v>
      </c>
      <c r="R29" s="14">
        <f>B37</f>
        <v>193.79999999999998</v>
      </c>
      <c r="S29" s="3">
        <f>$R$29</f>
        <v>193.79999999999998</v>
      </c>
      <c r="T29" s="3">
        <f t="shared" si="10"/>
        <v>1.9697437977187959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89.92006215336707</v>
      </c>
      <c r="Z29" s="10">
        <f>Z32</f>
        <v>49.801831066675177</v>
      </c>
      <c r="AA29" s="10">
        <f>$Z$29</f>
        <v>49.801831066675177</v>
      </c>
      <c r="AB29" s="10">
        <f t="shared" si="6"/>
        <v>250</v>
      </c>
      <c r="AC29" s="10">
        <f t="shared" si="7"/>
        <v>40.118231086691893</v>
      </c>
      <c r="AD29" s="78">
        <f>INT((AC$28+AE29)*100)/100</f>
        <v>39.19</v>
      </c>
      <c r="AE29" s="10">
        <f>AF29*AG$33</f>
        <v>5.6579999999999995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491">
        <v>105</v>
      </c>
      <c r="E30" s="491"/>
      <c r="F30" s="202">
        <f t="shared" si="24"/>
        <v>29.25</v>
      </c>
      <c r="G30" s="490">
        <f t="shared" si="14"/>
        <v>24.47</v>
      </c>
      <c r="H30" s="490"/>
      <c r="I30" s="204"/>
      <c r="J30" s="8">
        <f t="shared" si="15"/>
        <v>0.77999999999999758</v>
      </c>
      <c r="K30" s="29">
        <f t="shared" si="18"/>
        <v>50</v>
      </c>
      <c r="L30" s="29">
        <f t="shared" si="20"/>
        <v>8.6800000000000002E-2</v>
      </c>
      <c r="M30" s="3">
        <f t="shared" si="17"/>
        <v>4.34</v>
      </c>
      <c r="N30" s="3">
        <f t="shared" si="19"/>
        <v>3.2419999999999997E-2</v>
      </c>
      <c r="O30" s="3">
        <f t="shared" si="21"/>
        <v>133.86000000000001</v>
      </c>
      <c r="P30" s="13">
        <f t="shared" si="22"/>
        <v>-113.13</v>
      </c>
      <c r="R30" s="3" t="s">
        <v>23</v>
      </c>
      <c r="S30" s="3">
        <f>$R$29</f>
        <v>193.79999999999998</v>
      </c>
      <c r="T30" s="3">
        <f t="shared" si="10"/>
        <v>1.9697437977187959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90.226796070340768</v>
      </c>
      <c r="AA30" s="10">
        <f>$Z$29</f>
        <v>49.801831066675177</v>
      </c>
      <c r="AB30" s="10">
        <f t="shared" si="6"/>
        <v>260</v>
      </c>
      <c r="AC30" s="10">
        <f t="shared" si="7"/>
        <v>40.424965003665591</v>
      </c>
      <c r="AD30" s="78">
        <f>INT((AC$28+AE30)*100)/100</f>
        <v>40.14</v>
      </c>
      <c r="AE30" s="10">
        <f>AF30*AG$33</f>
        <v>6.6009999999999991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491">
        <v>120</v>
      </c>
      <c r="E31" s="491"/>
      <c r="F31" s="202">
        <f t="shared" si="24"/>
        <v>29.93</v>
      </c>
      <c r="G31" s="490">
        <f t="shared" si="14"/>
        <v>25.15</v>
      </c>
      <c r="H31" s="490"/>
      <c r="I31" s="204"/>
      <c r="J31" s="8">
        <f t="shared" si="15"/>
        <v>0.67999999999999972</v>
      </c>
      <c r="K31" s="29">
        <f t="shared" si="18"/>
        <v>55</v>
      </c>
      <c r="L31" s="29">
        <f t="shared" si="20"/>
        <v>8.6800000000000002E-2</v>
      </c>
      <c r="M31" s="3">
        <f t="shared" si="17"/>
        <v>4.774</v>
      </c>
      <c r="N31" s="3">
        <f t="shared" si="19"/>
        <v>3.2419999999999997E-2</v>
      </c>
      <c r="O31" s="3">
        <f>INT(M31/N31*100)/100</f>
        <v>147.25</v>
      </c>
      <c r="P31" s="13">
        <f t="shared" si="22"/>
        <v>-126.04</v>
      </c>
      <c r="S31" s="3">
        <f>$R$29</f>
        <v>193.79999999999998</v>
      </c>
      <c r="T31" s="3">
        <f t="shared" si="10"/>
        <v>1.9697437977187959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90.521952320682473</v>
      </c>
      <c r="AA31" s="10">
        <f>$Z$29</f>
        <v>49.801831066675177</v>
      </c>
      <c r="AB31" s="10">
        <f t="shared" si="6"/>
        <v>270</v>
      </c>
      <c r="AC31" s="10">
        <f t="shared" si="7"/>
        <v>40.720121254007296</v>
      </c>
      <c r="AD31" s="78">
        <f>INT((AC$28+AE31)*100)/100</f>
        <v>41.08</v>
      </c>
      <c r="AE31" s="10">
        <f>AF31*AG$33</f>
        <v>7.5440000000000005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159</v>
      </c>
      <c r="C32" s="201">
        <v>0.50694444444444442</v>
      </c>
      <c r="D32" s="491">
        <v>130</v>
      </c>
      <c r="E32" s="491"/>
      <c r="F32" s="202">
        <f t="shared" si="24"/>
        <v>34.96</v>
      </c>
      <c r="G32" s="490">
        <f t="shared" si="14"/>
        <v>30.18</v>
      </c>
      <c r="H32" s="490"/>
      <c r="I32" s="204"/>
      <c r="J32" s="8">
        <f t="shared" si="15"/>
        <v>5.0300000000000011</v>
      </c>
      <c r="K32" s="29">
        <f t="shared" si="18"/>
        <v>60</v>
      </c>
      <c r="L32" s="29">
        <f t="shared" si="20"/>
        <v>8.6800000000000002E-2</v>
      </c>
      <c r="M32" s="3">
        <f t="shared" si="17"/>
        <v>5.2080000000000002</v>
      </c>
      <c r="N32" s="3">
        <f t="shared" si="19"/>
        <v>3.2419999999999997E-2</v>
      </c>
      <c r="O32" s="3">
        <f>INT(M32/N32*100)/100</f>
        <v>160.63999999999999</v>
      </c>
      <c r="P32" s="13">
        <f t="shared" si="22"/>
        <v>-138.99</v>
      </c>
      <c r="S32" s="3">
        <f>$R$29</f>
        <v>193.79999999999998</v>
      </c>
      <c r="T32" s="3">
        <f t="shared" si="10"/>
        <v>1.9697437977187959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91.34594661002113</v>
      </c>
      <c r="Z32" s="10">
        <f>Y33-Z33</f>
        <v>49.801831066675177</v>
      </c>
      <c r="AA32" s="10">
        <f>$Z$29</f>
        <v>49.801831066675177</v>
      </c>
      <c r="AB32" s="10">
        <f t="shared" si="6"/>
        <v>300</v>
      </c>
      <c r="AC32" s="10">
        <f t="shared" si="7"/>
        <v>41.544115543345953</v>
      </c>
      <c r="AD32" s="78">
        <f>INT((AC$28+AE32)*100)/100</f>
        <v>42.02</v>
      </c>
      <c r="AE32" s="10">
        <f>AF32*AG$33</f>
        <v>8.4870000000000001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491">
        <v>140</v>
      </c>
      <c r="E33" s="491"/>
      <c r="F33" s="202">
        <f t="shared" si="24"/>
        <v>35.799999999999997</v>
      </c>
      <c r="G33" s="490">
        <f t="shared" si="14"/>
        <v>31.02</v>
      </c>
      <c r="H33" s="490"/>
      <c r="I33" s="204"/>
      <c r="J33" s="8">
        <f t="shared" si="15"/>
        <v>0.83999999999999986</v>
      </c>
      <c r="L33" s="7" t="s">
        <v>23</v>
      </c>
      <c r="P33" s="13"/>
      <c r="S33" s="3">
        <f>$R$29</f>
        <v>193.79999999999998</v>
      </c>
      <c r="T33" s="3">
        <f t="shared" si="10"/>
        <v>1.9697437977187959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92.771831066675176</v>
      </c>
      <c r="Z33" s="10">
        <f>입력표!B22</f>
        <v>42.97</v>
      </c>
      <c r="AA33" s="10">
        <f>$Z$29</f>
        <v>49.801831066675177</v>
      </c>
      <c r="AB33" s="10">
        <f t="shared" si="6"/>
        <v>360</v>
      </c>
      <c r="AC33" s="10">
        <f t="shared" si="7"/>
        <v>42.97</v>
      </c>
      <c r="AD33" s="78">
        <f>INT((AC$28+AE33)*100)/100</f>
        <v>42.97</v>
      </c>
      <c r="AE33" s="10">
        <f>AF33*AG$33</f>
        <v>9.43</v>
      </c>
      <c r="AF33" s="10">
        <v>1</v>
      </c>
      <c r="AG33" s="10">
        <f>AC33-AC28</f>
        <v>9.43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491">
        <v>150</v>
      </c>
      <c r="E34" s="491"/>
      <c r="F34" s="202">
        <f t="shared" si="24"/>
        <v>36.64</v>
      </c>
      <c r="G34" s="490">
        <f t="shared" si="14"/>
        <v>31.86</v>
      </c>
      <c r="H34" s="490"/>
      <c r="I34" s="204"/>
      <c r="J34" s="8">
        <f t="shared" si="15"/>
        <v>0.83999999999999986</v>
      </c>
      <c r="L34" s="7" t="s">
        <v>23</v>
      </c>
      <c r="R34" s="3">
        <f>B42</f>
        <v>228</v>
      </c>
      <c r="S34" s="3">
        <f>$R$34</f>
        <v>228</v>
      </c>
      <c r="T34" s="3">
        <f t="shared" si="10"/>
        <v>1.9697437977187959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109.39542419217855</v>
      </c>
      <c r="Z34" s="10">
        <f>Z37</f>
        <v>58.310246838432811</v>
      </c>
      <c r="AA34" s="10">
        <f>$Z$34</f>
        <v>58.310246838432811</v>
      </c>
      <c r="AB34" s="10">
        <f t="shared" si="6"/>
        <v>370</v>
      </c>
      <c r="AC34" s="10">
        <f t="shared" si="7"/>
        <v>51.085177353745742</v>
      </c>
      <c r="AD34" s="78">
        <f>INT((AC$33+AE34)*100)/100</f>
        <v>49.27</v>
      </c>
      <c r="AE34" s="10">
        <f>AG$38*AF34</f>
        <v>6.3059999999999983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491">
        <v>180</v>
      </c>
      <c r="E35" s="491"/>
      <c r="F35" s="202">
        <f t="shared" si="24"/>
        <v>37.480000000000004</v>
      </c>
      <c r="G35" s="490">
        <f t="shared" si="14"/>
        <v>32.700000000000003</v>
      </c>
      <c r="H35" s="490"/>
      <c r="I35" s="204"/>
      <c r="J35" s="8">
        <f t="shared" si="15"/>
        <v>0.84000000000000341</v>
      </c>
      <c r="L35" s="7" t="s">
        <v>23</v>
      </c>
      <c r="S35" s="3">
        <f>$R$34</f>
        <v>228</v>
      </c>
      <c r="T35" s="3">
        <f t="shared" si="10"/>
        <v>1.9697437977187959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109.64079441588615</v>
      </c>
      <c r="AA35" s="10">
        <f>$Z$34</f>
        <v>58.310246838432811</v>
      </c>
      <c r="AB35" s="10">
        <f t="shared" si="6"/>
        <v>380</v>
      </c>
      <c r="AC35" s="10">
        <f t="shared" si="7"/>
        <v>51.330547577453338</v>
      </c>
      <c r="AD35" s="78">
        <f>INT((AC$33+AE35)*100)/100</f>
        <v>50.32</v>
      </c>
      <c r="AE35" s="10">
        <f>AG$38*AF35</f>
        <v>7.3569999999999984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491">
        <v>240</v>
      </c>
      <c r="E36" s="491"/>
      <c r="F36" s="202">
        <f t="shared" si="24"/>
        <v>38.32</v>
      </c>
      <c r="G36" s="490">
        <f t="shared" si="14"/>
        <v>33.54</v>
      </c>
      <c r="H36" s="490"/>
      <c r="I36" s="204"/>
      <c r="J36" s="8">
        <f t="shared" si="15"/>
        <v>0.83999999999999631</v>
      </c>
      <c r="L36" s="7" t="s">
        <v>23</v>
      </c>
      <c r="S36" s="3">
        <f>$R$34</f>
        <v>228</v>
      </c>
      <c r="T36" s="3">
        <f t="shared" si="10"/>
        <v>1.9697437977187959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109.87979066074791</v>
      </c>
      <c r="AA36" s="10">
        <f>$Z$34</f>
        <v>58.310246838432811</v>
      </c>
      <c r="AB36" s="10">
        <f t="shared" si="6"/>
        <v>390</v>
      </c>
      <c r="AC36" s="10">
        <f t="shared" si="7"/>
        <v>51.569543822315104</v>
      </c>
      <c r="AD36" s="78">
        <f>INT((AC$33+AE36)*100)/100</f>
        <v>51.37</v>
      </c>
      <c r="AE36" s="10">
        <f>AG$38*AF36</f>
        <v>8.4079999999999995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193.79999999999998</v>
      </c>
      <c r="C37" s="201">
        <v>0.59027777777777779</v>
      </c>
      <c r="D37" s="491">
        <v>250</v>
      </c>
      <c r="E37" s="491"/>
      <c r="F37" s="202">
        <f t="shared" si="24"/>
        <v>43.97</v>
      </c>
      <c r="G37" s="490">
        <f t="shared" si="14"/>
        <v>39.19</v>
      </c>
      <c r="H37" s="490"/>
      <c r="I37" s="204"/>
      <c r="J37" s="8">
        <f t="shared" si="15"/>
        <v>5.6499999999999986</v>
      </c>
      <c r="L37" s="7" t="s">
        <v>23</v>
      </c>
      <c r="S37" s="3">
        <f>$R$34</f>
        <v>228</v>
      </c>
      <c r="T37" s="3">
        <f t="shared" si="10"/>
        <v>1.9697437977187959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110.56164611415861</v>
      </c>
      <c r="Z37" s="10">
        <f>Y38-Z38</f>
        <v>58.310246838432811</v>
      </c>
      <c r="AA37" s="10">
        <f>$Z$34</f>
        <v>58.310246838432811</v>
      </c>
      <c r="AB37" s="10">
        <f t="shared" si="6"/>
        <v>420</v>
      </c>
      <c r="AC37" s="10">
        <f t="shared" si="7"/>
        <v>52.251399275725795</v>
      </c>
      <c r="AD37" s="78">
        <f>INT((AC$33+AE37)*100)/100</f>
        <v>52.42</v>
      </c>
      <c r="AE37" s="10">
        <f>AG$38*AF37</f>
        <v>9.4589999999999979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491">
        <v>260</v>
      </c>
      <c r="E38" s="491"/>
      <c r="F38" s="202">
        <f t="shared" si="24"/>
        <v>44.92</v>
      </c>
      <c r="G38" s="490">
        <f t="shared" si="14"/>
        <v>40.14</v>
      </c>
      <c r="H38" s="490"/>
      <c r="I38" s="204"/>
      <c r="J38" s="8">
        <f t="shared" si="15"/>
        <v>0.95000000000000284</v>
      </c>
      <c r="L38" s="7" t="s">
        <v>23</v>
      </c>
      <c r="S38" s="3">
        <f>$R$34</f>
        <v>228</v>
      </c>
      <c r="T38" s="3">
        <f t="shared" si="10"/>
        <v>1.9697437977187959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111.79024683843281</v>
      </c>
      <c r="Z38" s="10">
        <f>입력표!B23</f>
        <v>53.48</v>
      </c>
      <c r="AA38" s="10">
        <f>$Z$34</f>
        <v>58.310246838432811</v>
      </c>
      <c r="AB38" s="10">
        <f t="shared" si="6"/>
        <v>480</v>
      </c>
      <c r="AC38" s="10">
        <f t="shared" si="7"/>
        <v>53.48</v>
      </c>
      <c r="AD38" s="78">
        <f>INT((AC$33+AE38)*100)/100</f>
        <v>53.48</v>
      </c>
      <c r="AE38" s="10">
        <f>AG$38*AF38</f>
        <v>10.509999999999998</v>
      </c>
      <c r="AF38" s="10">
        <v>1</v>
      </c>
      <c r="AG38" s="10">
        <f>AC38-AC33</f>
        <v>10.509999999999998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491">
        <v>270</v>
      </c>
      <c r="E39" s="491"/>
      <c r="F39" s="202">
        <f t="shared" si="24"/>
        <v>45.86</v>
      </c>
      <c r="G39" s="490">
        <f t="shared" si="14"/>
        <v>41.08</v>
      </c>
      <c r="H39" s="490"/>
      <c r="I39" s="204"/>
      <c r="J39" s="8">
        <f t="shared" si="15"/>
        <v>0.93999999999999773</v>
      </c>
      <c r="K39" s="6" t="s">
        <v>23</v>
      </c>
      <c r="L39" s="7" t="s">
        <v>23</v>
      </c>
      <c r="R39" s="14">
        <f>B47</f>
        <v>262.2</v>
      </c>
      <c r="S39" s="3">
        <f>$R$39</f>
        <v>262.2</v>
      </c>
      <c r="T39" s="3">
        <f t="shared" si="10"/>
        <v>1.9697437977187959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128.77695579588658</v>
      </c>
      <c r="Z39" s="10">
        <f>Z42</f>
        <v>61.39985770518247</v>
      </c>
      <c r="AA39" s="10">
        <f>$Z$39</f>
        <v>61.39985770518247</v>
      </c>
      <c r="AB39" s="10">
        <f t="shared" si="6"/>
        <v>490</v>
      </c>
      <c r="AC39" s="10">
        <f t="shared" si="7"/>
        <v>67.377098090704109</v>
      </c>
      <c r="AD39" s="78">
        <f>INT((AC$38+AE39)*100)/100</f>
        <v>59.89</v>
      </c>
      <c r="AE39" s="10">
        <f>AG$43*AF39</f>
        <v>6.4160000000000004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491">
        <v>300</v>
      </c>
      <c r="E40" s="491"/>
      <c r="F40" s="202">
        <f t="shared" si="24"/>
        <v>46.800000000000004</v>
      </c>
      <c r="G40" s="490">
        <f t="shared" si="14"/>
        <v>42.02</v>
      </c>
      <c r="H40" s="490"/>
      <c r="I40" s="204"/>
      <c r="J40" s="8">
        <f t="shared" si="15"/>
        <v>0.94000000000000483</v>
      </c>
      <c r="K40" s="6" t="s">
        <v>23</v>
      </c>
      <c r="L40" s="7" t="s">
        <v>23</v>
      </c>
      <c r="S40" s="3">
        <f>$R$39</f>
        <v>262.2</v>
      </c>
      <c r="T40" s="3">
        <f t="shared" si="10"/>
        <v>1.9697437977187959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128.99071991088582</v>
      </c>
      <c r="AA40" s="10">
        <f>$Z$39</f>
        <v>61.39985770518247</v>
      </c>
      <c r="AB40" s="10">
        <f t="shared" si="6"/>
        <v>500</v>
      </c>
      <c r="AC40" s="10">
        <f t="shared" si="7"/>
        <v>67.590862205703345</v>
      </c>
      <c r="AD40" s="78">
        <f>INT((AC$38+AE40)*100)/100</f>
        <v>62.3</v>
      </c>
      <c r="AE40" s="10">
        <f>AG$43*AF40</f>
        <v>8.822000000000001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491">
        <v>360</v>
      </c>
      <c r="E41" s="491"/>
      <c r="F41" s="202">
        <f t="shared" si="24"/>
        <v>47.75</v>
      </c>
      <c r="G41" s="490">
        <f t="shared" si="14"/>
        <v>42.97</v>
      </c>
      <c r="H41" s="490"/>
      <c r="I41" s="204"/>
      <c r="J41" s="8">
        <f t="shared" si="15"/>
        <v>0.94999999999999574</v>
      </c>
      <c r="K41" s="6" t="s">
        <v>23</v>
      </c>
      <c r="L41" s="7" t="s">
        <v>23</v>
      </c>
      <c r="S41" s="3">
        <f>$R$39</f>
        <v>262.2</v>
      </c>
      <c r="T41" s="3">
        <f t="shared" si="10"/>
        <v>1.9697437977187959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129.20025079365797</v>
      </c>
      <c r="AA41" s="10">
        <f>$Z$39</f>
        <v>61.39985770518247</v>
      </c>
      <c r="AB41" s="10">
        <f t="shared" si="6"/>
        <v>510</v>
      </c>
      <c r="AC41" s="10">
        <f t="shared" si="7"/>
        <v>67.800393088475502</v>
      </c>
      <c r="AD41" s="78">
        <f>INT((AC$38+AE41)*100)/100</f>
        <v>64.7</v>
      </c>
      <c r="AE41" s="10">
        <f>AG$43*AF41</f>
        <v>11.227999999999998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228</v>
      </c>
      <c r="C42" s="201">
        <v>0.67361111111111116</v>
      </c>
      <c r="D42" s="491">
        <v>370</v>
      </c>
      <c r="E42" s="491"/>
      <c r="F42" s="202">
        <f t="shared" si="24"/>
        <v>54.050000000000004</v>
      </c>
      <c r="G42" s="490">
        <f t="shared" si="14"/>
        <v>49.27</v>
      </c>
      <c r="H42" s="490"/>
      <c r="I42" s="204"/>
      <c r="J42" s="8">
        <f t="shared" si="15"/>
        <v>6.3000000000000043</v>
      </c>
      <c r="K42" s="6" t="s">
        <v>23</v>
      </c>
      <c r="L42" s="7" t="s">
        <v>23</v>
      </c>
      <c r="S42" s="3">
        <f>$R$39</f>
        <v>262.2</v>
      </c>
      <c r="T42" s="3">
        <f t="shared" si="10"/>
        <v>1.9697437977187959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129.80504190195958</v>
      </c>
      <c r="Z42" s="10">
        <f>Y43-Z43</f>
        <v>61.39985770518247</v>
      </c>
      <c r="AA42" s="10">
        <f>$Z$39</f>
        <v>61.39985770518247</v>
      </c>
      <c r="AB42" s="10">
        <f t="shared" si="6"/>
        <v>540</v>
      </c>
      <c r="AC42" s="10">
        <f t="shared" si="7"/>
        <v>68.405184196777114</v>
      </c>
      <c r="AD42" s="78">
        <f>INT((AC$38+AE42)*100)/100</f>
        <v>67.11</v>
      </c>
      <c r="AE42" s="10">
        <f>AG$43*AF42</f>
        <v>13.633999999999999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491">
        <v>380</v>
      </c>
      <c r="E43" s="491"/>
      <c r="F43" s="202">
        <f t="shared" si="24"/>
        <v>55.1</v>
      </c>
      <c r="G43" s="490">
        <f t="shared" si="14"/>
        <v>50.32</v>
      </c>
      <c r="H43" s="490"/>
      <c r="I43" s="204"/>
      <c r="J43" s="8">
        <f t="shared" si="15"/>
        <v>1.0499999999999972</v>
      </c>
      <c r="K43" s="6" t="s">
        <v>23</v>
      </c>
      <c r="L43" s="7" t="s">
        <v>23</v>
      </c>
      <c r="S43" s="3">
        <f>$R$39</f>
        <v>262.2</v>
      </c>
      <c r="T43" s="3">
        <f t="shared" si="10"/>
        <v>1.9697437977187959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130.91985770518247</v>
      </c>
      <c r="Z43" s="10">
        <f>입력표!B24</f>
        <v>69.52</v>
      </c>
      <c r="AA43" s="10">
        <f>$Z$39</f>
        <v>61.39985770518247</v>
      </c>
      <c r="AB43" s="10">
        <f t="shared" si="6"/>
        <v>600</v>
      </c>
      <c r="AC43" s="10">
        <f t="shared" si="7"/>
        <v>69.52</v>
      </c>
      <c r="AD43" s="78">
        <f>INT((AC$38+AE43)*100)/100</f>
        <v>69.52</v>
      </c>
      <c r="AE43" s="10">
        <f>AG$43*AF43</f>
        <v>16.04</v>
      </c>
      <c r="AF43" s="10">
        <v>1</v>
      </c>
      <c r="AG43" s="10">
        <f>AC43-AC38</f>
        <v>16.04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491">
        <v>390</v>
      </c>
      <c r="E44" s="491"/>
      <c r="F44" s="202">
        <f t="shared" si="24"/>
        <v>56.15</v>
      </c>
      <c r="G44" s="490">
        <f t="shared" si="14"/>
        <v>51.37</v>
      </c>
      <c r="H44" s="490"/>
      <c r="I44" s="204"/>
      <c r="J44" s="8">
        <f t="shared" si="15"/>
        <v>1.0499999999999972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491">
        <v>420</v>
      </c>
      <c r="E45" s="491"/>
      <c r="F45" s="202">
        <f t="shared" ref="F45:F51" si="25">G45+$D$10</f>
        <v>57.2</v>
      </c>
      <c r="G45" s="490">
        <f t="shared" si="14"/>
        <v>52.42</v>
      </c>
      <c r="H45" s="490"/>
      <c r="I45" s="204"/>
      <c r="J45" s="8">
        <f t="shared" si="15"/>
        <v>1.0500000000000043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491">
        <v>480</v>
      </c>
      <c r="E46" s="491"/>
      <c r="F46" s="202">
        <f t="shared" si="25"/>
        <v>58.26</v>
      </c>
      <c r="G46" s="490">
        <f t="shared" si="14"/>
        <v>53.48</v>
      </c>
      <c r="H46" s="490"/>
      <c r="I46" s="204"/>
      <c r="J46" s="8">
        <f t="shared" si="15"/>
        <v>1.0599999999999952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262.2</v>
      </c>
      <c r="C47" s="201">
        <v>0.75694444444444453</v>
      </c>
      <c r="D47" s="491">
        <v>490</v>
      </c>
      <c r="E47" s="491"/>
      <c r="F47" s="202">
        <f t="shared" si="25"/>
        <v>64.67</v>
      </c>
      <c r="G47" s="490">
        <f t="shared" si="14"/>
        <v>59.89</v>
      </c>
      <c r="H47" s="490"/>
      <c r="I47" s="204"/>
      <c r="J47" s="8">
        <f t="shared" si="15"/>
        <v>6.4100000000000037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491">
        <v>500</v>
      </c>
      <c r="E48" s="491"/>
      <c r="F48" s="202">
        <f t="shared" si="25"/>
        <v>67.08</v>
      </c>
      <c r="G48" s="490">
        <f t="shared" si="14"/>
        <v>62.3</v>
      </c>
      <c r="H48" s="490"/>
      <c r="I48" s="204"/>
      <c r="J48" s="8">
        <f t="shared" si="15"/>
        <v>2.4099999999999966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491">
        <v>510</v>
      </c>
      <c r="E49" s="491"/>
      <c r="F49" s="202">
        <f t="shared" si="25"/>
        <v>69.48</v>
      </c>
      <c r="G49" s="490">
        <f t="shared" si="14"/>
        <v>64.7</v>
      </c>
      <c r="H49" s="490"/>
      <c r="I49" s="204"/>
      <c r="J49" s="8">
        <f t="shared" si="15"/>
        <v>2.4000000000000057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491">
        <v>540</v>
      </c>
      <c r="E50" s="491"/>
      <c r="F50" s="202">
        <f t="shared" si="25"/>
        <v>71.89</v>
      </c>
      <c r="G50" s="490">
        <f t="shared" si="14"/>
        <v>67.11</v>
      </c>
      <c r="H50" s="490"/>
      <c r="I50" s="204"/>
      <c r="J50" s="8">
        <f t="shared" si="15"/>
        <v>2.4099999999999966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491">
        <v>600</v>
      </c>
      <c r="E51" s="491"/>
      <c r="F51" s="202">
        <f t="shared" si="25"/>
        <v>74.3</v>
      </c>
      <c r="G51" s="490">
        <f t="shared" si="14"/>
        <v>69.52</v>
      </c>
      <c r="H51" s="490"/>
      <c r="I51" s="204" t="s">
        <v>13</v>
      </c>
      <c r="J51" s="8">
        <f t="shared" si="15"/>
        <v>2.4099999999999966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7.33203125" style="4" bestFit="1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70" t="s">
        <v>190</v>
      </c>
      <c r="B1" s="271"/>
      <c r="C1" s="271"/>
      <c r="D1" s="271"/>
      <c r="E1" s="271"/>
      <c r="F1" s="271"/>
      <c r="G1" s="271"/>
      <c r="H1" s="271"/>
      <c r="I1" s="271"/>
      <c r="J1" s="271"/>
      <c r="L1" s="400" t="s">
        <v>137</v>
      </c>
      <c r="M1" s="264">
        <f>P1-R1</f>
        <v>-8.522847868762355</v>
      </c>
      <c r="N1" s="507" t="s">
        <v>136</v>
      </c>
      <c r="O1" s="507"/>
      <c r="P1" s="265">
        <f>단계양수시험!G41</f>
        <v>42.97</v>
      </c>
      <c r="Q1" s="266" t="s">
        <v>125</v>
      </c>
      <c r="R1" s="267">
        <f>G35</f>
        <v>51.492847868762354</v>
      </c>
      <c r="S1" s="268">
        <v>0.1</v>
      </c>
      <c r="T1" s="269">
        <v>1.3448413326052515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상월숙진외 농업용관정 영향조사</v>
      </c>
      <c r="D2" s="57"/>
      <c r="E2" s="57"/>
      <c r="F2" s="184"/>
      <c r="G2" s="184"/>
      <c r="H2" s="184"/>
      <c r="I2" s="184"/>
      <c r="J2" s="185"/>
      <c r="O2" s="3" t="s">
        <v>251</v>
      </c>
      <c r="P2" s="9">
        <f>G8</f>
        <v>64.88</v>
      </c>
      <c r="T2" s="3">
        <v>0</v>
      </c>
      <c r="U2" s="14">
        <f>B10</f>
        <v>201</v>
      </c>
      <c r="V2" s="14">
        <f>U2</f>
        <v>201</v>
      </c>
      <c r="W2" s="3">
        <f>T1</f>
        <v>1.3448413326052515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46.236821147114576</v>
      </c>
      <c r="AC2" s="10">
        <f>1.6*V2/(4*PI()*W2)*LOG10((2.25*W2*Z2)/(X2*X2*Y2))</f>
        <v>46.236821147114576</v>
      </c>
      <c r="AD2" s="15">
        <v>0</v>
      </c>
      <c r="AE2" s="12">
        <f>AA2</f>
        <v>1</v>
      </c>
      <c r="AF2" s="10">
        <f>AC2-$P$3-O3</f>
        <v>4.3876869192927144</v>
      </c>
      <c r="AG2" s="10">
        <f>AC2</f>
        <v>46.236821147114576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대우리 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401" t="s">
        <v>182</v>
      </c>
      <c r="M3" s="13">
        <f t="shared" ref="M3:M10" si="1">Q17</f>
        <v>1.54</v>
      </c>
      <c r="N3" s="62"/>
      <c r="O3" s="393">
        <v>-1.5408656134848708</v>
      </c>
      <c r="P3" s="392">
        <v>43.389999841306732</v>
      </c>
      <c r="V3" s="14">
        <f>V2</f>
        <v>201</v>
      </c>
      <c r="W3" s="3">
        <f>W$2</f>
        <v>1.3448413326052515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51.96537367989216</v>
      </c>
      <c r="AC3" s="10">
        <f t="shared" ref="AC3:AC38" si="4">1.6*V3/(4*PI()*W3)*LOG10((2.25*W3*Z3)/(X3*X3*Y3))</f>
        <v>51.96537367989216</v>
      </c>
      <c r="AD3" s="10">
        <f>AB69</f>
        <v>103.48999984130673</v>
      </c>
      <c r="AE3" s="12">
        <f t="shared" ref="AE3:AE66" si="5">AA3</f>
        <v>2</v>
      </c>
      <c r="AF3" s="10">
        <f t="shared" ref="AF3:AF16" si="6">AC3-$P$3-O4</f>
        <v>8.5753738385854277</v>
      </c>
      <c r="AG3" s="10">
        <f t="shared" ref="AG3:AG16" si="7">AC3</f>
        <v>51.96537367989216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>충청남도 논산시 상월면 대우리 산 17-4</v>
      </c>
      <c r="D4" s="58"/>
      <c r="E4" s="58"/>
      <c r="F4" s="184"/>
      <c r="G4" s="184"/>
      <c r="H4" s="184"/>
      <c r="I4" s="184"/>
      <c r="J4" s="185"/>
      <c r="L4" s="401" t="s">
        <v>183</v>
      </c>
      <c r="M4" s="13">
        <f t="shared" si="1"/>
        <v>2.89</v>
      </c>
      <c r="N4" s="62"/>
      <c r="O4" s="29"/>
      <c r="P4" s="29"/>
      <c r="V4" s="14">
        <f t="shared" ref="V4:V67" si="8">V3</f>
        <v>201</v>
      </c>
      <c r="W4" s="3">
        <f t="shared" ref="W4:W67" si="9">W$2</f>
        <v>1.3448413326052515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55.316362094978253</v>
      </c>
      <c r="AC4" s="10">
        <f t="shared" si="4"/>
        <v>55.316362094978253</v>
      </c>
      <c r="AD4" s="10">
        <f>AC69</f>
        <v>103.48999984130673</v>
      </c>
      <c r="AE4" s="12">
        <f t="shared" si="5"/>
        <v>3</v>
      </c>
      <c r="AF4" s="10">
        <f t="shared" si="6"/>
        <v>11.92636225367152</v>
      </c>
      <c r="AG4" s="10">
        <f t="shared" si="7"/>
        <v>55.316362094978253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(주)동해엔지니어링</v>
      </c>
      <c r="E5" s="57"/>
      <c r="F5" s="189" t="s">
        <v>4</v>
      </c>
      <c r="G5" s="190">
        <f>입력표!I50</f>
        <v>0</v>
      </c>
      <c r="H5" s="191"/>
      <c r="I5" s="191"/>
      <c r="J5" s="191"/>
      <c r="L5" s="401" t="s">
        <v>184</v>
      </c>
      <c r="M5" s="13">
        <f t="shared" si="1"/>
        <v>3.4</v>
      </c>
      <c r="N5" s="62"/>
      <c r="O5" s="29"/>
      <c r="P5" s="29"/>
      <c r="V5" s="14">
        <f t="shared" si="8"/>
        <v>201</v>
      </c>
      <c r="W5" s="3">
        <f t="shared" si="9"/>
        <v>1.3448413326052515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57.693926212669744</v>
      </c>
      <c r="AC5" s="10">
        <f t="shared" si="4"/>
        <v>57.693926212669744</v>
      </c>
      <c r="AD5" s="10">
        <f>AF69</f>
        <v>60.099999999999994</v>
      </c>
      <c r="AE5" s="12">
        <f t="shared" si="5"/>
        <v>4</v>
      </c>
      <c r="AF5" s="10">
        <f t="shared" si="6"/>
        <v>14.303926371363012</v>
      </c>
      <c r="AG5" s="10">
        <f t="shared" si="7"/>
        <v>57.693926212669744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03">
        <f>단계양수시험!C8</f>
        <v>5</v>
      </c>
      <c r="D6" s="503"/>
      <c r="E6" s="504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96">
        <v>0.2</v>
      </c>
      <c r="M6" s="13">
        <f t="shared" si="1"/>
        <v>2.94</v>
      </c>
      <c r="N6" s="62"/>
      <c r="O6" s="29"/>
      <c r="P6" s="29"/>
      <c r="V6" s="14">
        <f t="shared" si="8"/>
        <v>201</v>
      </c>
      <c r="W6" s="3">
        <f t="shared" si="9"/>
        <v>1.3448413326052515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59.538108216009</v>
      </c>
      <c r="AC6" s="10">
        <f t="shared" si="4"/>
        <v>59.538108216009</v>
      </c>
      <c r="AE6" s="12">
        <f t="shared" si="5"/>
        <v>5</v>
      </c>
      <c r="AF6" s="10">
        <f t="shared" si="6"/>
        <v>16.148108374702268</v>
      </c>
      <c r="AG6" s="10">
        <f t="shared" si="7"/>
        <v>59.538108216009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80</v>
      </c>
      <c r="H7" s="184"/>
      <c r="I7" s="184"/>
      <c r="J7" s="185"/>
      <c r="M7" s="13">
        <f t="shared" si="1"/>
        <v>1.93</v>
      </c>
      <c r="N7" s="62"/>
      <c r="O7" s="29"/>
      <c r="P7" s="29"/>
      <c r="V7" s="14">
        <f t="shared" si="8"/>
        <v>201</v>
      </c>
      <c r="W7" s="3">
        <f t="shared" si="9"/>
        <v>1.3448413326052515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65.266660748786592</v>
      </c>
      <c r="AC7" s="10">
        <f t="shared" si="4"/>
        <v>65.266660748786592</v>
      </c>
      <c r="AE7" s="12">
        <f t="shared" si="5"/>
        <v>10</v>
      </c>
      <c r="AF7" s="10">
        <f t="shared" si="6"/>
        <v>21.876660907479859</v>
      </c>
      <c r="AG7" s="10">
        <f t="shared" si="7"/>
        <v>65.266660748786592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4.78</v>
      </c>
      <c r="E8" s="194"/>
      <c r="F8" s="195" t="s">
        <v>14</v>
      </c>
      <c r="G8" s="198">
        <f>F77</f>
        <v>64.88</v>
      </c>
      <c r="H8" s="191">
        <f>입력표!C40</f>
        <v>201</v>
      </c>
      <c r="I8" s="191"/>
      <c r="J8" s="183"/>
      <c r="K8" s="417">
        <f>입력표!M50</f>
        <v>60.099999999999994</v>
      </c>
      <c r="L8" s="397">
        <f>G10-K11</f>
        <v>0.20000000000000107</v>
      </c>
      <c r="M8" s="13">
        <f t="shared" si="1"/>
        <v>-6.55</v>
      </c>
      <c r="N8" s="62"/>
      <c r="O8" s="29"/>
      <c r="P8" s="29"/>
      <c r="V8" s="14">
        <f t="shared" si="8"/>
        <v>201</v>
      </c>
      <c r="W8" s="3">
        <f t="shared" si="9"/>
        <v>1.3448413326052515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68.61764916387267</v>
      </c>
      <c r="AC8" s="10">
        <f t="shared" si="4"/>
        <v>68.61764916387267</v>
      </c>
      <c r="AE8" s="12">
        <f t="shared" si="5"/>
        <v>15</v>
      </c>
      <c r="AF8" s="10">
        <f t="shared" si="6"/>
        <v>25.227649322565938</v>
      </c>
      <c r="AG8" s="10">
        <f t="shared" si="7"/>
        <v>68.61764916387267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06" t="s">
        <v>161</v>
      </c>
      <c r="E9" s="506"/>
      <c r="F9" s="180" t="s">
        <v>162</v>
      </c>
      <c r="G9" s="180" t="s">
        <v>163</v>
      </c>
      <c r="H9" s="416"/>
      <c r="I9" s="416"/>
      <c r="J9" s="416"/>
      <c r="K9" s="9">
        <f>G8-D8</f>
        <v>60.099999999999994</v>
      </c>
      <c r="M9" s="13">
        <f t="shared" si="1"/>
        <v>-17.41</v>
      </c>
      <c r="N9" s="62"/>
      <c r="O9" s="29"/>
      <c r="P9" s="29"/>
      <c r="V9" s="14">
        <f t="shared" si="8"/>
        <v>201</v>
      </c>
      <c r="W9" s="3">
        <f t="shared" si="9"/>
        <v>1.3448413326052515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70.995213281564176</v>
      </c>
      <c r="AC9" s="10">
        <f t="shared" si="4"/>
        <v>70.995213281564176</v>
      </c>
      <c r="AE9" s="12">
        <f t="shared" si="5"/>
        <v>20</v>
      </c>
      <c r="AF9" s="10">
        <f t="shared" si="6"/>
        <v>27.605213440257444</v>
      </c>
      <c r="AG9" s="10">
        <f t="shared" si="7"/>
        <v>70.995213281564176</v>
      </c>
    </row>
    <row r="10" spans="1:38" s="3" customFormat="1" ht="21" customHeight="1" x14ac:dyDescent="0.15">
      <c r="A10" s="54">
        <v>1</v>
      </c>
      <c r="B10" s="61">
        <f>입력표!C26</f>
        <v>201</v>
      </c>
      <c r="C10" s="55">
        <v>44001.416666666664</v>
      </c>
      <c r="D10" s="181">
        <v>1</v>
      </c>
      <c r="E10" s="249">
        <f>D10/1440</f>
        <v>6.9444444444444447E-4</v>
      </c>
      <c r="F10" s="182">
        <f>G10+D$8</f>
        <v>9.1676869192927146</v>
      </c>
      <c r="G10" s="278">
        <f>AF2</f>
        <v>4.3876869192927144</v>
      </c>
      <c r="H10" s="415"/>
      <c r="I10" s="415"/>
      <c r="J10" s="415"/>
      <c r="K10" s="263">
        <f>K8-K9</f>
        <v>0</v>
      </c>
      <c r="L10" s="9">
        <f>K10+Q17</f>
        <v>1.54</v>
      </c>
      <c r="M10" s="13">
        <f t="shared" si="1"/>
        <v>-29.24</v>
      </c>
      <c r="N10" s="62"/>
      <c r="O10" s="29"/>
      <c r="P10" s="29"/>
      <c r="V10" s="14">
        <f t="shared" si="8"/>
        <v>201</v>
      </c>
      <c r="W10" s="3">
        <f t="shared" si="9"/>
        <v>1.3448413326052515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72.839395284903432</v>
      </c>
      <c r="AC10" s="10">
        <f t="shared" si="4"/>
        <v>72.839395284903432</v>
      </c>
      <c r="AE10" s="12">
        <f t="shared" si="5"/>
        <v>25</v>
      </c>
      <c r="AF10" s="10">
        <f t="shared" si="6"/>
        <v>29.4493954435967</v>
      </c>
      <c r="AG10" s="10">
        <f t="shared" si="7"/>
        <v>72.839395284903432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13.355373838585429</v>
      </c>
      <c r="G11" s="182">
        <f>AF3</f>
        <v>8.5753738385854277</v>
      </c>
      <c r="H11" s="415"/>
      <c r="I11" s="415"/>
      <c r="J11" s="415"/>
      <c r="K11" s="63">
        <f>G11-G10</f>
        <v>4.1876869192927133</v>
      </c>
      <c r="L11" s="9" t="s">
        <v>18</v>
      </c>
      <c r="N11" s="62"/>
      <c r="O11" s="29"/>
      <c r="V11" s="14">
        <f t="shared" si="8"/>
        <v>201</v>
      </c>
      <c r="W11" s="3">
        <f t="shared" si="9"/>
        <v>1.3448413326052515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74.346201696650255</v>
      </c>
      <c r="AC11" s="10">
        <f t="shared" si="4"/>
        <v>74.346201696650255</v>
      </c>
      <c r="AE11" s="12">
        <f t="shared" si="5"/>
        <v>30</v>
      </c>
      <c r="AF11" s="10">
        <f t="shared" si="6"/>
        <v>30.956201855343522</v>
      </c>
      <c r="AG11" s="10">
        <f t="shared" si="7"/>
        <v>74.346201696650255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16.706362253671522</v>
      </c>
      <c r="G12" s="182">
        <f t="shared" ref="G12:G74" si="15">AF4</f>
        <v>11.92636225367152</v>
      </c>
      <c r="H12" s="415"/>
      <c r="I12" s="415"/>
      <c r="J12" s="415"/>
      <c r="K12" s="63">
        <f t="shared" ref="K12:K47" si="16">G12-G11</f>
        <v>3.3509884150860927</v>
      </c>
      <c r="L12" s="9" t="s">
        <v>18</v>
      </c>
      <c r="N12" s="62"/>
      <c r="O12" s="29"/>
      <c r="V12" s="14">
        <f t="shared" si="8"/>
        <v>201</v>
      </c>
      <c r="W12" s="3">
        <f t="shared" si="9"/>
        <v>1.3448413326052515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75.620188365167706</v>
      </c>
      <c r="AC12" s="10">
        <f t="shared" si="4"/>
        <v>75.620188365167706</v>
      </c>
      <c r="AE12" s="12">
        <f t="shared" si="5"/>
        <v>35</v>
      </c>
      <c r="AF12" s="10">
        <f t="shared" si="6"/>
        <v>32.230188523860974</v>
      </c>
      <c r="AG12" s="10">
        <f t="shared" si="7"/>
        <v>75.620188365167706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19.083926371363013</v>
      </c>
      <c r="G13" s="182">
        <f t="shared" si="15"/>
        <v>14.303926371363012</v>
      </c>
      <c r="H13" s="415"/>
      <c r="I13" s="415"/>
      <c r="J13" s="415"/>
      <c r="K13" s="63">
        <f t="shared" si="16"/>
        <v>2.3775641176914917</v>
      </c>
      <c r="L13" s="9" t="s">
        <v>18</v>
      </c>
      <c r="N13" s="62"/>
      <c r="O13" s="29"/>
      <c r="V13" s="14">
        <f t="shared" si="8"/>
        <v>201</v>
      </c>
      <c r="W13" s="3">
        <f t="shared" si="9"/>
        <v>1.3448413326052515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76.723765814341746</v>
      </c>
      <c r="AC13" s="10">
        <f t="shared" si="4"/>
        <v>76.723765814341746</v>
      </c>
      <c r="AE13" s="12">
        <f t="shared" si="5"/>
        <v>40</v>
      </c>
      <c r="AF13" s="10">
        <f t="shared" si="6"/>
        <v>33.333765973035014</v>
      </c>
      <c r="AG13" s="10">
        <f t="shared" si="7"/>
        <v>76.723765814341746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20.928108374702269</v>
      </c>
      <c r="G14" s="182">
        <f t="shared" si="15"/>
        <v>16.148108374702268</v>
      </c>
      <c r="H14" s="415"/>
      <c r="I14" s="415"/>
      <c r="J14" s="415"/>
      <c r="K14" s="63">
        <f t="shared" si="16"/>
        <v>1.844182003339256</v>
      </c>
      <c r="L14" s="9" t="s">
        <v>18</v>
      </c>
      <c r="N14" s="62"/>
      <c r="O14" s="29"/>
      <c r="V14" s="14">
        <f t="shared" si="8"/>
        <v>201</v>
      </c>
      <c r="W14" s="3">
        <f t="shared" si="9"/>
        <v>1.3448413326052515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77.697190111736347</v>
      </c>
      <c r="AC14" s="10">
        <f t="shared" si="4"/>
        <v>77.697190111736347</v>
      </c>
      <c r="AE14" s="12">
        <f t="shared" si="5"/>
        <v>45</v>
      </c>
      <c r="AF14" s="10">
        <f t="shared" si="6"/>
        <v>34.307190270429615</v>
      </c>
      <c r="AG14" s="10">
        <f t="shared" si="7"/>
        <v>77.697190111736347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26.656660907479861</v>
      </c>
      <c r="G15" s="182">
        <f t="shared" si="15"/>
        <v>21.876660907479859</v>
      </c>
      <c r="H15" s="415"/>
      <c r="I15" s="415"/>
      <c r="J15" s="415"/>
      <c r="K15" s="63">
        <f t="shared" si="16"/>
        <v>5.7285525327775915</v>
      </c>
      <c r="L15" s="9" t="s">
        <v>18</v>
      </c>
      <c r="N15" s="68"/>
      <c r="O15" s="395"/>
      <c r="V15" s="14">
        <f t="shared" si="8"/>
        <v>201</v>
      </c>
      <c r="W15" s="3">
        <f t="shared" si="9"/>
        <v>1.3448413326052515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78.567947817681016</v>
      </c>
      <c r="AC15" s="10">
        <f t="shared" si="4"/>
        <v>78.567947817681016</v>
      </c>
      <c r="AE15" s="12">
        <f t="shared" si="5"/>
        <v>50</v>
      </c>
      <c r="AF15" s="10">
        <f t="shared" si="6"/>
        <v>35.177947976374284</v>
      </c>
      <c r="AG15" s="10">
        <f t="shared" si="7"/>
        <v>78.567947817681016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30.007649322565939</v>
      </c>
      <c r="G16" s="182">
        <f t="shared" si="15"/>
        <v>25.227649322565938</v>
      </c>
      <c r="H16" s="415"/>
      <c r="I16" s="415"/>
      <c r="J16" s="415"/>
      <c r="K16" s="63">
        <f t="shared" si="16"/>
        <v>3.3509884150860785</v>
      </c>
      <c r="L16" s="65"/>
      <c r="N16" s="66"/>
      <c r="O16" s="15"/>
      <c r="Q16" s="13"/>
      <c r="V16" s="14">
        <f t="shared" si="8"/>
        <v>201</v>
      </c>
      <c r="W16" s="3">
        <f t="shared" si="9"/>
        <v>1.3448413326052515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79.35564397692454</v>
      </c>
      <c r="AC16" s="10">
        <f t="shared" si="4"/>
        <v>79.35564397692454</v>
      </c>
      <c r="AE16" s="12">
        <f t="shared" si="5"/>
        <v>55</v>
      </c>
      <c r="AF16" s="10">
        <f t="shared" si="6"/>
        <v>35.916564135617811</v>
      </c>
      <c r="AG16" s="10">
        <f t="shared" si="7"/>
        <v>79.35564397692454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32.385213440257445</v>
      </c>
      <c r="G17" s="182">
        <f t="shared" si="15"/>
        <v>27.605213440257444</v>
      </c>
      <c r="H17" s="415"/>
      <c r="I17" s="415"/>
      <c r="J17" s="415"/>
      <c r="K17" s="63">
        <f t="shared" si="16"/>
        <v>2.3775641176915059</v>
      </c>
      <c r="L17" s="29">
        <f>D10</f>
        <v>1</v>
      </c>
      <c r="M17" s="3">
        <f>INT(B10/1440*10000)/10000</f>
        <v>0.13950000000000001</v>
      </c>
      <c r="N17" s="3">
        <f>L17*M17</f>
        <v>0.13950000000000001</v>
      </c>
      <c r="O17" s="3">
        <f>INT((D7/2/1000)^2*PI()*100000)/100000</f>
        <v>4.9079999999999999E-2</v>
      </c>
      <c r="P17" s="3">
        <f>INT(N17/O17*100)/100</f>
        <v>2.84</v>
      </c>
      <c r="Q17" s="13">
        <f>INT((G10-P17)*100)/100</f>
        <v>1.54</v>
      </c>
      <c r="V17" s="14">
        <f t="shared" si="8"/>
        <v>201</v>
      </c>
      <c r="W17" s="3">
        <f t="shared" si="9"/>
        <v>1.3448413326052515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80.074754229427839</v>
      </c>
      <c r="AC17" s="10">
        <f t="shared" si="4"/>
        <v>80.074754229427839</v>
      </c>
      <c r="AE17" s="12">
        <f t="shared" si="5"/>
        <v>60</v>
      </c>
      <c r="AF17" s="10">
        <f t="shared" ref="AF17:AF48" si="17">AC17-$P$3</f>
        <v>36.684754388121107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34.229395443596701</v>
      </c>
      <c r="G18" s="182">
        <f t="shared" si="15"/>
        <v>29.4493954435967</v>
      </c>
      <c r="H18" s="415"/>
      <c r="I18" s="415"/>
      <c r="J18" s="415"/>
      <c r="K18" s="63">
        <f t="shared" si="16"/>
        <v>1.844182003339256</v>
      </c>
      <c r="L18" s="29">
        <f t="shared" ref="L18:L31" si="18">D11</f>
        <v>2</v>
      </c>
      <c r="M18" s="3">
        <f>M17</f>
        <v>0.13950000000000001</v>
      </c>
      <c r="N18" s="3">
        <f t="shared" ref="N18:N27" si="19">L18*M18</f>
        <v>0.27900000000000003</v>
      </c>
      <c r="O18" s="3">
        <f>O17</f>
        <v>4.9079999999999999E-2</v>
      </c>
      <c r="P18" s="3">
        <f>INT(N18/O18*100)/100</f>
        <v>5.68</v>
      </c>
      <c r="Q18" s="13">
        <f t="shared" ref="Q18:Q27" si="20">INT((G11-P18)*100)/100</f>
        <v>2.89</v>
      </c>
      <c r="V18" s="14">
        <f t="shared" si="8"/>
        <v>201</v>
      </c>
      <c r="W18" s="3">
        <f t="shared" si="9"/>
        <v>1.3448413326052515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81.918936232767109</v>
      </c>
      <c r="AC18" s="10">
        <f t="shared" si="4"/>
        <v>81.918936232767109</v>
      </c>
      <c r="AE18" s="12">
        <f t="shared" si="5"/>
        <v>75</v>
      </c>
      <c r="AF18" s="10">
        <f t="shared" si="17"/>
        <v>38.528936391460377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35.736201855343523</v>
      </c>
      <c r="G19" s="182">
        <f t="shared" si="15"/>
        <v>30.956201855343522</v>
      </c>
      <c r="H19" s="415"/>
      <c r="I19" s="415"/>
      <c r="J19" s="415"/>
      <c r="K19" s="63">
        <f t="shared" si="16"/>
        <v>1.5068064117468225</v>
      </c>
      <c r="L19" s="29">
        <f t="shared" si="18"/>
        <v>3</v>
      </c>
      <c r="M19" s="3">
        <f>M18</f>
        <v>0.13950000000000001</v>
      </c>
      <c r="N19" s="3">
        <f t="shared" si="19"/>
        <v>0.41850000000000004</v>
      </c>
      <c r="O19" s="3">
        <f t="shared" ref="O19:O31" si="21">O18</f>
        <v>4.9079999999999999E-2</v>
      </c>
      <c r="P19" s="3">
        <f>INT(N19/O19*100)/100</f>
        <v>8.52</v>
      </c>
      <c r="Q19" s="13">
        <f t="shared" si="20"/>
        <v>3.4</v>
      </c>
      <c r="V19" s="14">
        <f t="shared" si="8"/>
        <v>201</v>
      </c>
      <c r="W19" s="3">
        <f t="shared" si="9"/>
        <v>1.3448413326052515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83.425742644513917</v>
      </c>
      <c r="AC19" s="10">
        <f t="shared" si="4"/>
        <v>83.425742644513917</v>
      </c>
      <c r="AE19" s="12">
        <f t="shared" si="5"/>
        <v>90</v>
      </c>
      <c r="AF19" s="10">
        <f t="shared" si="17"/>
        <v>40.035742803207185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37.010188523860975</v>
      </c>
      <c r="G20" s="182">
        <f t="shared" si="15"/>
        <v>32.230188523860974</v>
      </c>
      <c r="H20" s="415"/>
      <c r="I20" s="415"/>
      <c r="J20" s="415"/>
      <c r="K20" s="63">
        <f t="shared" si="16"/>
        <v>1.2739866685174519</v>
      </c>
      <c r="L20" s="29">
        <f t="shared" si="18"/>
        <v>4</v>
      </c>
      <c r="M20" s="3">
        <f>M19</f>
        <v>0.13950000000000001</v>
      </c>
      <c r="N20" s="3">
        <f t="shared" si="19"/>
        <v>0.55800000000000005</v>
      </c>
      <c r="O20" s="3">
        <f>O19</f>
        <v>4.9079999999999999E-2</v>
      </c>
      <c r="P20" s="3">
        <f>INT(N20/O20*100)/100</f>
        <v>11.36</v>
      </c>
      <c r="Q20" s="13">
        <f t="shared" si="20"/>
        <v>2.94</v>
      </c>
      <c r="V20" s="14">
        <f t="shared" si="8"/>
        <v>201</v>
      </c>
      <c r="W20" s="3">
        <f t="shared" si="9"/>
        <v>1.3448413326052515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84.699729313031369</v>
      </c>
      <c r="AC20" s="10">
        <f t="shared" si="4"/>
        <v>84.699729313031369</v>
      </c>
      <c r="AE20" s="12">
        <f t="shared" si="5"/>
        <v>105</v>
      </c>
      <c r="AF20" s="10">
        <f t="shared" si="17"/>
        <v>41.309729471724637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38.113765973035015</v>
      </c>
      <c r="G21" s="182">
        <f t="shared" si="15"/>
        <v>33.333765973035014</v>
      </c>
      <c r="H21" s="415"/>
      <c r="I21" s="415"/>
      <c r="J21" s="415"/>
      <c r="K21" s="63">
        <f t="shared" si="16"/>
        <v>1.1035774491740398</v>
      </c>
      <c r="L21" s="29">
        <f t="shared" si="18"/>
        <v>5</v>
      </c>
      <c r="M21" s="3">
        <f>M20</f>
        <v>0.13950000000000001</v>
      </c>
      <c r="N21" s="3">
        <f t="shared" si="19"/>
        <v>0.69750000000000001</v>
      </c>
      <c r="O21" s="3">
        <f t="shared" si="21"/>
        <v>4.9079999999999999E-2</v>
      </c>
      <c r="P21" s="3">
        <f>INT(N21/O21*100)/100</f>
        <v>14.21</v>
      </c>
      <c r="Q21" s="13">
        <f t="shared" si="20"/>
        <v>1.93</v>
      </c>
      <c r="V21" s="14">
        <f t="shared" si="8"/>
        <v>201</v>
      </c>
      <c r="W21" s="3">
        <f t="shared" si="9"/>
        <v>1.3448413326052515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85.803306762205423</v>
      </c>
      <c r="AC21" s="10">
        <f t="shared" si="4"/>
        <v>85.803306762205423</v>
      </c>
      <c r="AE21" s="12">
        <f t="shared" si="5"/>
        <v>120</v>
      </c>
      <c r="AF21" s="10">
        <f t="shared" si="17"/>
        <v>42.413306920898691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39.087190270429616</v>
      </c>
      <c r="G22" s="182">
        <f t="shared" si="15"/>
        <v>34.307190270429615</v>
      </c>
      <c r="H22" s="415"/>
      <c r="I22" s="415"/>
      <c r="J22" s="415"/>
      <c r="K22" s="63">
        <f t="shared" si="16"/>
        <v>0.97342429739460101</v>
      </c>
      <c r="L22" s="29">
        <f t="shared" si="18"/>
        <v>10</v>
      </c>
      <c r="M22" s="3">
        <f t="shared" ref="M22:M31" si="22">M21</f>
        <v>0.13950000000000001</v>
      </c>
      <c r="N22" s="3">
        <f t="shared" si="19"/>
        <v>1.395</v>
      </c>
      <c r="O22" s="3">
        <f t="shared" si="21"/>
        <v>4.9079999999999999E-2</v>
      </c>
      <c r="P22" s="3">
        <f t="shared" ref="P22:P27" si="23">INT(N22/O22*100)/100</f>
        <v>28.42</v>
      </c>
      <c r="Q22" s="13">
        <f t="shared" si="20"/>
        <v>-6.55</v>
      </c>
      <c r="V22" s="14">
        <f t="shared" si="8"/>
        <v>201</v>
      </c>
      <c r="W22" s="3">
        <f t="shared" si="9"/>
        <v>1.3448413326052515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87.077293430722861</v>
      </c>
      <c r="AC22" s="10">
        <f t="shared" si="4"/>
        <v>87.077293430722861</v>
      </c>
      <c r="AE22" s="12">
        <f t="shared" si="5"/>
        <v>140</v>
      </c>
      <c r="AF22" s="10">
        <f t="shared" si="17"/>
        <v>43.687293589416129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39.957947976374285</v>
      </c>
      <c r="G23" s="182">
        <f t="shared" si="15"/>
        <v>35.177947976374284</v>
      </c>
      <c r="H23" s="415"/>
      <c r="I23" s="415"/>
      <c r="J23" s="415"/>
      <c r="K23" s="63">
        <f t="shared" si="16"/>
        <v>0.87075770594466917</v>
      </c>
      <c r="L23" s="29">
        <f t="shared" si="18"/>
        <v>15</v>
      </c>
      <c r="M23" s="3">
        <f t="shared" si="22"/>
        <v>0.13950000000000001</v>
      </c>
      <c r="N23" s="3">
        <f t="shared" si="19"/>
        <v>2.0925000000000002</v>
      </c>
      <c r="O23" s="3">
        <f t="shared" si="21"/>
        <v>4.9079999999999999E-2</v>
      </c>
      <c r="P23" s="3">
        <f t="shared" si="23"/>
        <v>42.63</v>
      </c>
      <c r="Q23" s="13">
        <f t="shared" si="20"/>
        <v>-17.41</v>
      </c>
      <c r="V23" s="14">
        <f t="shared" si="8"/>
        <v>201</v>
      </c>
      <c r="W23" s="3">
        <f t="shared" si="9"/>
        <v>1.3448413326052515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88.180870879896915</v>
      </c>
      <c r="AC23" s="10">
        <f t="shared" si="4"/>
        <v>88.180870879896915</v>
      </c>
      <c r="AE23" s="12">
        <f t="shared" si="5"/>
        <v>160</v>
      </c>
      <c r="AF23" s="10">
        <f t="shared" si="17"/>
        <v>44.790871038590183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40.696564135617812</v>
      </c>
      <c r="G24" s="182">
        <f t="shared" si="15"/>
        <v>35.916564135617811</v>
      </c>
      <c r="H24" s="415"/>
      <c r="I24" s="415"/>
      <c r="J24" s="415"/>
      <c r="K24" s="63">
        <f t="shared" si="16"/>
        <v>0.73861615924352719</v>
      </c>
      <c r="L24" s="29">
        <f t="shared" si="18"/>
        <v>20</v>
      </c>
      <c r="M24" s="3">
        <f t="shared" si="22"/>
        <v>0.13950000000000001</v>
      </c>
      <c r="N24" s="3">
        <f t="shared" si="19"/>
        <v>2.79</v>
      </c>
      <c r="O24" s="3">
        <f t="shared" si="21"/>
        <v>4.9079999999999999E-2</v>
      </c>
      <c r="P24" s="3">
        <f t="shared" si="23"/>
        <v>56.84</v>
      </c>
      <c r="Q24" s="13">
        <f t="shared" si="20"/>
        <v>-29.24</v>
      </c>
      <c r="V24" s="14">
        <f t="shared" si="8"/>
        <v>201</v>
      </c>
      <c r="W24" s="3">
        <f t="shared" si="9"/>
        <v>1.3448413326052515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89.154295177291502</v>
      </c>
      <c r="AC24" s="10">
        <f t="shared" si="4"/>
        <v>89.154295177291502</v>
      </c>
      <c r="AE24" s="12">
        <f t="shared" si="5"/>
        <v>180</v>
      </c>
      <c r="AF24" s="10">
        <f t="shared" si="17"/>
        <v>45.76429533598477</v>
      </c>
    </row>
    <row r="25" spans="1:32" s="3" customFormat="1" ht="21" customHeight="1" x14ac:dyDescent="0.15">
      <c r="A25" s="54"/>
      <c r="B25" s="54"/>
      <c r="C25" s="55">
        <f>$C$10+D25/1440</f>
        <v>44001.458333333328</v>
      </c>
      <c r="D25" s="181">
        <v>60</v>
      </c>
      <c r="E25" s="249">
        <f t="shared" si="13"/>
        <v>4.1666666666666664E-2</v>
      </c>
      <c r="F25" s="182">
        <f t="shared" si="14"/>
        <v>41.464754388121108</v>
      </c>
      <c r="G25" s="182">
        <f t="shared" si="15"/>
        <v>36.684754388121107</v>
      </c>
      <c r="H25" s="415"/>
      <c r="I25" s="415"/>
      <c r="J25" s="415"/>
      <c r="K25" s="63">
        <f t="shared" si="16"/>
        <v>0.76819025250329531</v>
      </c>
      <c r="L25" s="29">
        <f t="shared" si="18"/>
        <v>25</v>
      </c>
      <c r="M25" s="3">
        <f t="shared" si="22"/>
        <v>0.13950000000000001</v>
      </c>
      <c r="N25" s="3">
        <f t="shared" si="19"/>
        <v>3.4875000000000003</v>
      </c>
      <c r="O25" s="3">
        <f t="shared" si="21"/>
        <v>4.9079999999999999E-2</v>
      </c>
      <c r="P25" s="3">
        <f t="shared" si="23"/>
        <v>71.05</v>
      </c>
      <c r="Q25" s="13">
        <f t="shared" si="20"/>
        <v>-41.61</v>
      </c>
      <c r="V25" s="14">
        <f t="shared" si="8"/>
        <v>201</v>
      </c>
      <c r="W25" s="3">
        <f t="shared" si="9"/>
        <v>1.3448413326052515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91.531859294983008</v>
      </c>
      <c r="AC25" s="10">
        <f t="shared" si="4"/>
        <v>91.531859294983008</v>
      </c>
      <c r="AE25" s="12">
        <f t="shared" si="5"/>
        <v>240</v>
      </c>
      <c r="AF25" s="10">
        <f t="shared" si="17"/>
        <v>48.141859453676275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43.308936391460378</v>
      </c>
      <c r="G26" s="182">
        <f t="shared" si="15"/>
        <v>38.528936391460377</v>
      </c>
      <c r="H26" s="415"/>
      <c r="I26" s="415"/>
      <c r="J26" s="415"/>
      <c r="K26" s="63">
        <f t="shared" si="16"/>
        <v>1.8441820033392702</v>
      </c>
      <c r="L26" s="29">
        <f t="shared" si="18"/>
        <v>30</v>
      </c>
      <c r="M26" s="3">
        <f t="shared" si="22"/>
        <v>0.13950000000000001</v>
      </c>
      <c r="N26" s="3">
        <f t="shared" si="19"/>
        <v>4.1850000000000005</v>
      </c>
      <c r="O26" s="3">
        <f t="shared" si="21"/>
        <v>4.9079999999999999E-2</v>
      </c>
      <c r="P26" s="3">
        <f t="shared" si="23"/>
        <v>85.26</v>
      </c>
      <c r="Q26" s="13">
        <f t="shared" si="20"/>
        <v>-54.31</v>
      </c>
      <c r="V26" s="14">
        <f t="shared" si="8"/>
        <v>201</v>
      </c>
      <c r="W26" s="3">
        <f t="shared" si="9"/>
        <v>1.3448413326052515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93.376041298322264</v>
      </c>
      <c r="AC26" s="10">
        <f t="shared" si="4"/>
        <v>93.376041298322264</v>
      </c>
      <c r="AE26" s="12">
        <f t="shared" si="5"/>
        <v>300</v>
      </c>
      <c r="AF26" s="10">
        <f t="shared" si="17"/>
        <v>49.986041457015531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44.815742803207186</v>
      </c>
      <c r="G27" s="182">
        <f t="shared" si="15"/>
        <v>40.035742803207185</v>
      </c>
      <c r="H27" s="415"/>
      <c r="I27" s="415"/>
      <c r="J27" s="415"/>
      <c r="K27" s="63">
        <f t="shared" si="16"/>
        <v>1.5068064117468083</v>
      </c>
      <c r="L27" s="29">
        <f t="shared" si="18"/>
        <v>35</v>
      </c>
      <c r="M27" s="3">
        <f t="shared" si="22"/>
        <v>0.13950000000000001</v>
      </c>
      <c r="N27" s="3">
        <f t="shared" si="19"/>
        <v>4.8825000000000003</v>
      </c>
      <c r="O27" s="3">
        <f t="shared" si="21"/>
        <v>4.9079999999999999E-2</v>
      </c>
      <c r="P27" s="3">
        <f t="shared" si="23"/>
        <v>99.48</v>
      </c>
      <c r="Q27" s="13">
        <f t="shared" si="20"/>
        <v>-67.25</v>
      </c>
      <c r="V27" s="14">
        <f t="shared" si="8"/>
        <v>201</v>
      </c>
      <c r="W27" s="3">
        <f t="shared" si="9"/>
        <v>1.3448413326052515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94.882847710069086</v>
      </c>
      <c r="AC27" s="10">
        <f t="shared" si="4"/>
        <v>94.882847710069086</v>
      </c>
      <c r="AE27" s="12">
        <f t="shared" si="5"/>
        <v>360</v>
      </c>
      <c r="AF27" s="10">
        <f t="shared" si="17"/>
        <v>51.492847868762354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46.089729471724638</v>
      </c>
      <c r="G28" s="182">
        <f t="shared" si="15"/>
        <v>41.309729471724637</v>
      </c>
      <c r="H28" s="415"/>
      <c r="I28" s="415"/>
      <c r="J28" s="415"/>
      <c r="K28" s="63">
        <f t="shared" si="16"/>
        <v>1.2739866685174519</v>
      </c>
      <c r="L28" s="29">
        <f t="shared" si="18"/>
        <v>40</v>
      </c>
      <c r="M28" s="3">
        <f t="shared" si="22"/>
        <v>0.13950000000000001</v>
      </c>
      <c r="N28" s="3">
        <f>L28*M28</f>
        <v>5.58</v>
      </c>
      <c r="O28" s="3">
        <f t="shared" si="21"/>
        <v>4.9079999999999999E-2</v>
      </c>
      <c r="P28" s="3">
        <f>INT(N28/O28*100)/100</f>
        <v>113.69</v>
      </c>
      <c r="Q28" s="13">
        <f>INT((G21-P28)*100)/100</f>
        <v>-80.36</v>
      </c>
      <c r="V28" s="14">
        <f t="shared" si="8"/>
        <v>201</v>
      </c>
      <c r="W28" s="3">
        <f t="shared" si="9"/>
        <v>1.3448413326052515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96.156834378586538</v>
      </c>
      <c r="AC28" s="10">
        <f t="shared" si="4"/>
        <v>96.156834378586538</v>
      </c>
      <c r="AE28" s="12">
        <f t="shared" si="5"/>
        <v>420</v>
      </c>
      <c r="AF28" s="10">
        <f t="shared" si="17"/>
        <v>52.766834537279806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47.193306920898692</v>
      </c>
      <c r="G29" s="182">
        <f t="shared" si="15"/>
        <v>42.413306920898691</v>
      </c>
      <c r="H29" s="415"/>
      <c r="I29" s="415"/>
      <c r="J29" s="415"/>
      <c r="K29" s="63">
        <f t="shared" si="16"/>
        <v>1.103577449174054</v>
      </c>
      <c r="L29" s="29">
        <f t="shared" si="18"/>
        <v>45</v>
      </c>
      <c r="M29" s="3">
        <f t="shared" si="22"/>
        <v>0.13950000000000001</v>
      </c>
      <c r="N29" s="3">
        <f>L29*M29</f>
        <v>6.2775000000000007</v>
      </c>
      <c r="O29" s="3">
        <f t="shared" si="21"/>
        <v>4.9079999999999999E-2</v>
      </c>
      <c r="P29" s="3">
        <f>INT(N29/O29*100)/100</f>
        <v>127.9</v>
      </c>
      <c r="Q29" s="13">
        <f>INT((G22-P29)*100)/100</f>
        <v>-93.6</v>
      </c>
      <c r="V29" s="14">
        <f t="shared" si="8"/>
        <v>201</v>
      </c>
      <c r="W29" s="3">
        <f t="shared" si="9"/>
        <v>1.3448413326052515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97.260411827760592</v>
      </c>
      <c r="AC29" s="10">
        <f t="shared" si="4"/>
        <v>97.260411827760592</v>
      </c>
      <c r="AE29" s="12">
        <f t="shared" si="5"/>
        <v>480</v>
      </c>
      <c r="AF29" s="10">
        <f t="shared" si="17"/>
        <v>53.87041198645386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48.46729358941613</v>
      </c>
      <c r="G30" s="182">
        <f t="shared" si="15"/>
        <v>43.687293589416129</v>
      </c>
      <c r="H30" s="415"/>
      <c r="I30" s="415"/>
      <c r="J30" s="415"/>
      <c r="K30" s="63">
        <f t="shared" si="16"/>
        <v>1.2739866685174377</v>
      </c>
      <c r="L30" s="29">
        <f t="shared" si="18"/>
        <v>50</v>
      </c>
      <c r="M30" s="3">
        <f t="shared" si="22"/>
        <v>0.13950000000000001</v>
      </c>
      <c r="N30" s="3">
        <f>L30*M30</f>
        <v>6.9750000000000005</v>
      </c>
      <c r="O30" s="3">
        <f t="shared" si="21"/>
        <v>4.9079999999999999E-2</v>
      </c>
      <c r="P30" s="3">
        <f>INT(N30/O30*100)/100</f>
        <v>142.11000000000001</v>
      </c>
      <c r="Q30" s="13">
        <f>INT((G23-P30)*100)/100</f>
        <v>-106.94</v>
      </c>
      <c r="V30" s="14">
        <f t="shared" si="8"/>
        <v>201</v>
      </c>
      <c r="W30" s="3">
        <f t="shared" si="9"/>
        <v>1.3448413326052515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98.233836125155179</v>
      </c>
      <c r="AC30" s="10">
        <f t="shared" si="4"/>
        <v>98.233836125155179</v>
      </c>
      <c r="AE30" s="12">
        <f t="shared" si="5"/>
        <v>540</v>
      </c>
      <c r="AF30" s="10">
        <f t="shared" si="17"/>
        <v>54.843836283848447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49.570871038590184</v>
      </c>
      <c r="G31" s="182">
        <f t="shared" si="15"/>
        <v>44.790871038590183</v>
      </c>
      <c r="H31" s="415"/>
      <c r="I31" s="415"/>
      <c r="J31" s="415"/>
      <c r="K31" s="63">
        <f t="shared" si="16"/>
        <v>1.103577449174054</v>
      </c>
      <c r="L31" s="29">
        <f t="shared" si="18"/>
        <v>55</v>
      </c>
      <c r="M31" s="3">
        <f t="shared" si="22"/>
        <v>0.13950000000000001</v>
      </c>
      <c r="N31" s="3">
        <f>L31*M31</f>
        <v>7.6725000000000003</v>
      </c>
      <c r="O31" s="3">
        <f t="shared" si="21"/>
        <v>4.9079999999999999E-2</v>
      </c>
      <c r="P31" s="3">
        <f>INT(N31/O31*100)/100</f>
        <v>156.32</v>
      </c>
      <c r="Q31" s="13">
        <f>INT((G24-P31)*100)/100</f>
        <v>-120.41</v>
      </c>
      <c r="V31" s="14">
        <f t="shared" si="8"/>
        <v>201</v>
      </c>
      <c r="W31" s="3">
        <f t="shared" si="9"/>
        <v>1.3448413326052515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99.104593831099848</v>
      </c>
      <c r="AC31" s="10">
        <f t="shared" si="4"/>
        <v>99.104593831099848</v>
      </c>
      <c r="AE31" s="12">
        <f t="shared" si="5"/>
        <v>600</v>
      </c>
      <c r="AF31" s="10">
        <f t="shared" si="17"/>
        <v>55.714593989793116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50.544295335984771</v>
      </c>
      <c r="G32" s="182">
        <f t="shared" si="15"/>
        <v>45.76429533598477</v>
      </c>
      <c r="H32" s="415"/>
      <c r="I32" s="415"/>
      <c r="J32" s="415"/>
      <c r="K32" s="63">
        <f t="shared" si="16"/>
        <v>0.9734242973945868</v>
      </c>
      <c r="L32" s="65" t="s">
        <v>18</v>
      </c>
      <c r="O32" s="67"/>
      <c r="V32" s="14">
        <f t="shared" si="8"/>
        <v>201</v>
      </c>
      <c r="W32" s="3">
        <f t="shared" si="9"/>
        <v>1.3448413326052515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99.892289990343386</v>
      </c>
      <c r="AC32" s="10">
        <f t="shared" si="4"/>
        <v>99.892289990343386</v>
      </c>
      <c r="AE32" s="12">
        <f t="shared" si="5"/>
        <v>660</v>
      </c>
      <c r="AF32" s="10">
        <f t="shared" si="17"/>
        <v>56.502290149036654</v>
      </c>
    </row>
    <row r="33" spans="1:32" s="3" customFormat="1" ht="21" customHeight="1" x14ac:dyDescent="0.15">
      <c r="A33" s="54"/>
      <c r="B33" s="54"/>
      <c r="C33" s="55">
        <f>$C$10+D33/1440</f>
        <v>44001.583333333328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52.921859453676277</v>
      </c>
      <c r="G33" s="182">
        <f t="shared" si="15"/>
        <v>48.141859453676275</v>
      </c>
      <c r="H33" s="415"/>
      <c r="I33" s="415"/>
      <c r="J33" s="415"/>
      <c r="K33" s="63">
        <f t="shared" si="16"/>
        <v>2.3775641176915059</v>
      </c>
      <c r="L33" s="9" t="s">
        <v>18</v>
      </c>
      <c r="O33" s="67"/>
      <c r="V33" s="14">
        <f t="shared" si="8"/>
        <v>201</v>
      </c>
      <c r="W33" s="3">
        <f t="shared" si="9"/>
        <v>1.3448413326052515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100.61140024284667</v>
      </c>
      <c r="AC33" s="10">
        <f t="shared" si="4"/>
        <v>100.61140024284667</v>
      </c>
      <c r="AE33" s="12">
        <f t="shared" si="5"/>
        <v>720</v>
      </c>
      <c r="AF33" s="10">
        <f t="shared" si="17"/>
        <v>57.221400401539938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54.766041457015533</v>
      </c>
      <c r="G34" s="182">
        <f t="shared" si="15"/>
        <v>49.986041457015531</v>
      </c>
      <c r="H34" s="415"/>
      <c r="I34" s="415"/>
      <c r="J34" s="415"/>
      <c r="K34" s="63">
        <f t="shared" si="16"/>
        <v>1.844182003339256</v>
      </c>
      <c r="L34" s="9" t="s">
        <v>18</v>
      </c>
      <c r="P34" s="67"/>
      <c r="V34" s="14">
        <f t="shared" si="8"/>
        <v>201</v>
      </c>
      <c r="W34" s="3">
        <f t="shared" si="9"/>
        <v>1.3448413326052515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101.27291754917576</v>
      </c>
      <c r="AC34" s="10">
        <f t="shared" si="4"/>
        <v>101.27291754917576</v>
      </c>
      <c r="AE34" s="12">
        <f t="shared" si="5"/>
        <v>780</v>
      </c>
      <c r="AF34" s="10">
        <f t="shared" si="17"/>
        <v>57.882917707869026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56.272847868762355</v>
      </c>
      <c r="G35" s="182">
        <f t="shared" si="15"/>
        <v>51.492847868762354</v>
      </c>
      <c r="H35" s="415"/>
      <c r="I35" s="415"/>
      <c r="J35" s="415"/>
      <c r="K35" s="63">
        <f t="shared" si="16"/>
        <v>1.5068064117468225</v>
      </c>
      <c r="L35" s="9" t="s">
        <v>18</v>
      </c>
      <c r="O35" s="67"/>
      <c r="V35" s="14">
        <f t="shared" si="8"/>
        <v>201</v>
      </c>
      <c r="W35" s="3">
        <f t="shared" si="9"/>
        <v>1.3448413326052515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101.88538691136412</v>
      </c>
      <c r="AC35" s="10">
        <f t="shared" si="4"/>
        <v>101.88538691136412</v>
      </c>
      <c r="AE35" s="12">
        <f t="shared" si="5"/>
        <v>840</v>
      </c>
      <c r="AF35" s="10">
        <f t="shared" si="17"/>
        <v>58.49538707005739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57.546834537279807</v>
      </c>
      <c r="G36" s="182">
        <f t="shared" si="15"/>
        <v>52.766834537279806</v>
      </c>
      <c r="H36" s="415"/>
      <c r="I36" s="415"/>
      <c r="J36" s="415"/>
      <c r="K36" s="63">
        <f t="shared" si="16"/>
        <v>1.2739866685174519</v>
      </c>
      <c r="L36" s="9" t="s">
        <v>18</v>
      </c>
      <c r="V36" s="14">
        <f t="shared" si="8"/>
        <v>201</v>
      </c>
      <c r="W36" s="3">
        <f t="shared" si="9"/>
        <v>1.3448413326052515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102.45558224618593</v>
      </c>
      <c r="AC36" s="10">
        <f t="shared" si="4"/>
        <v>102.45558224618593</v>
      </c>
      <c r="AE36" s="12">
        <f t="shared" si="5"/>
        <v>900</v>
      </c>
      <c r="AF36" s="10">
        <f t="shared" si="17"/>
        <v>59.065582404879194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58.650411986453861</v>
      </c>
      <c r="G37" s="182">
        <f t="shared" si="15"/>
        <v>53.87041198645386</v>
      </c>
      <c r="H37" s="415"/>
      <c r="I37" s="415"/>
      <c r="J37" s="415"/>
      <c r="K37" s="63">
        <f t="shared" si="16"/>
        <v>1.103577449174054</v>
      </c>
      <c r="L37" s="9" t="s">
        <v>18</v>
      </c>
      <c r="V37" s="14">
        <f t="shared" si="8"/>
        <v>201</v>
      </c>
      <c r="W37" s="3">
        <f t="shared" si="9"/>
        <v>1.3448413326052515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102.98896436053816</v>
      </c>
      <c r="AC37" s="10">
        <f t="shared" si="4"/>
        <v>102.98896436053816</v>
      </c>
      <c r="AD37" s="3">
        <v>37</v>
      </c>
      <c r="AE37" s="12">
        <f t="shared" si="5"/>
        <v>960</v>
      </c>
      <c r="AF37" s="10">
        <f t="shared" si="17"/>
        <v>59.59896451923143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59.623836283848448</v>
      </c>
      <c r="G38" s="182">
        <f t="shared" si="15"/>
        <v>54.843836283848447</v>
      </c>
      <c r="H38" s="415"/>
      <c r="I38" s="415"/>
      <c r="J38" s="415"/>
      <c r="K38" s="63">
        <f t="shared" si="16"/>
        <v>0.9734242973945868</v>
      </c>
      <c r="L38" s="9" t="s">
        <v>18</v>
      </c>
      <c r="V38" s="14">
        <f t="shared" si="8"/>
        <v>201</v>
      </c>
      <c r="W38" s="3">
        <f t="shared" si="9"/>
        <v>1.3448413326052515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103.48999984130673</v>
      </c>
      <c r="AC38" s="10">
        <f t="shared" si="4"/>
        <v>103.48999984130673</v>
      </c>
      <c r="AD38" s="29" t="s">
        <v>28</v>
      </c>
      <c r="AE38" s="12">
        <f t="shared" si="5"/>
        <v>1020</v>
      </c>
      <c r="AF38" s="10">
        <f t="shared" si="17"/>
        <v>60.099999999999994</v>
      </c>
    </row>
    <row r="39" spans="1:32" s="3" customFormat="1" ht="21" customHeight="1" x14ac:dyDescent="0.15">
      <c r="A39" s="54"/>
      <c r="B39" s="54"/>
      <c r="C39" s="55">
        <f>$C$10+D39/1440</f>
        <v>44001.833333333328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60.494593989793117</v>
      </c>
      <c r="G39" s="182">
        <f t="shared" si="15"/>
        <v>55.714593989793116</v>
      </c>
      <c r="H39" s="415"/>
      <c r="I39" s="415"/>
      <c r="J39" s="415"/>
      <c r="K39" s="63">
        <f t="shared" si="16"/>
        <v>0.87075770594466917</v>
      </c>
      <c r="L39" s="9" t="s">
        <v>18</v>
      </c>
      <c r="V39" s="14">
        <f t="shared" si="8"/>
        <v>201</v>
      </c>
      <c r="W39" s="3">
        <f t="shared" si="9"/>
        <v>1.3448413326052515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103.48999984130673</v>
      </c>
      <c r="AC39" s="10">
        <f t="shared" ref="AC39:AC41" si="27">AC38</f>
        <v>103.48999984130673</v>
      </c>
      <c r="AD39" s="385">
        <v>39</v>
      </c>
      <c r="AE39" s="12">
        <f t="shared" si="5"/>
        <v>1080</v>
      </c>
      <c r="AF39" s="10">
        <f t="shared" si="17"/>
        <v>60.099999999999994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61.282290149036655</v>
      </c>
      <c r="G40" s="182">
        <f t="shared" si="15"/>
        <v>56.502290149036654</v>
      </c>
      <c r="H40" s="415"/>
      <c r="I40" s="415"/>
      <c r="J40" s="415"/>
      <c r="K40" s="63">
        <f t="shared" si="16"/>
        <v>0.78769615924353786</v>
      </c>
      <c r="L40" s="9" t="s">
        <v>18</v>
      </c>
      <c r="V40" s="14">
        <f t="shared" si="8"/>
        <v>201</v>
      </c>
      <c r="W40" s="3">
        <f t="shared" si="9"/>
        <v>1.3448413326052515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103.48999984130673</v>
      </c>
      <c r="AC40" s="10">
        <f t="shared" si="27"/>
        <v>103.48999984130673</v>
      </c>
      <c r="AD40" s="385">
        <v>40</v>
      </c>
      <c r="AE40" s="12">
        <f t="shared" si="5"/>
        <v>1140</v>
      </c>
      <c r="AF40" s="10">
        <f t="shared" si="17"/>
        <v>60.099999999999994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62.001400401539939</v>
      </c>
      <c r="G41" s="182">
        <f t="shared" si="15"/>
        <v>57.221400401539938</v>
      </c>
      <c r="H41" s="415"/>
      <c r="I41" s="415"/>
      <c r="J41" s="415"/>
      <c r="K41" s="63">
        <f t="shared" si="16"/>
        <v>0.71911025250328464</v>
      </c>
      <c r="L41" s="9" t="s">
        <v>18</v>
      </c>
      <c r="V41" s="382">
        <f t="shared" si="8"/>
        <v>201</v>
      </c>
      <c r="W41" s="381">
        <f t="shared" si="9"/>
        <v>1.3448413326052515</v>
      </c>
      <c r="X41" s="381">
        <f t="shared" si="10"/>
        <v>0.125</v>
      </c>
      <c r="Y41" s="381">
        <f t="shared" si="11"/>
        <v>5.0000000000000001E-4</v>
      </c>
      <c r="Z41" s="381">
        <f t="shared" si="2"/>
        <v>0.83333333333333337</v>
      </c>
      <c r="AA41" s="383">
        <f t="shared" si="12"/>
        <v>1200</v>
      </c>
      <c r="AB41" s="384">
        <f t="shared" si="26"/>
        <v>103.48999984130673</v>
      </c>
      <c r="AC41" s="10">
        <f t="shared" si="27"/>
        <v>103.48999984130673</v>
      </c>
      <c r="AD41" s="386">
        <v>41</v>
      </c>
      <c r="AE41" s="12">
        <f t="shared" si="5"/>
        <v>1200</v>
      </c>
      <c r="AF41" s="10">
        <f t="shared" si="17"/>
        <v>60.099999999999994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62.662917707869028</v>
      </c>
      <c r="G42" s="182">
        <f t="shared" si="15"/>
        <v>57.882917707869026</v>
      </c>
      <c r="H42" s="415"/>
      <c r="I42" s="415"/>
      <c r="J42" s="415"/>
      <c r="K42" s="63">
        <f t="shared" si="16"/>
        <v>0.66151730632908823</v>
      </c>
      <c r="L42" s="9" t="s">
        <v>18</v>
      </c>
      <c r="V42" s="14">
        <f t="shared" si="8"/>
        <v>201</v>
      </c>
      <c r="W42" s="3">
        <f t="shared" si="9"/>
        <v>1.3448413326052515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103.48999984130673</v>
      </c>
      <c r="AC42" s="10">
        <f t="shared" ref="AC42:AC45" si="29">AC41</f>
        <v>103.48999984130673</v>
      </c>
      <c r="AD42" s="385">
        <v>42</v>
      </c>
      <c r="AE42" s="12">
        <f t="shared" si="5"/>
        <v>1260</v>
      </c>
      <c r="AF42" s="10">
        <f t="shared" si="17"/>
        <v>60.099999999999994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63.275387070057391</v>
      </c>
      <c r="G43" s="182">
        <f t="shared" si="15"/>
        <v>58.49538707005739</v>
      </c>
      <c r="H43" s="415"/>
      <c r="I43" s="415"/>
      <c r="J43" s="415"/>
      <c r="K43" s="63">
        <f t="shared" si="16"/>
        <v>0.61246936218836368</v>
      </c>
      <c r="L43" s="9" t="s">
        <v>18</v>
      </c>
      <c r="V43" s="382">
        <f t="shared" si="8"/>
        <v>201</v>
      </c>
      <c r="W43" s="381">
        <f t="shared" si="9"/>
        <v>1.3448413326052515</v>
      </c>
      <c r="X43" s="381">
        <f t="shared" si="10"/>
        <v>0.125</v>
      </c>
      <c r="Y43" s="381">
        <f t="shared" si="11"/>
        <v>5.0000000000000001E-4</v>
      </c>
      <c r="Z43" s="381">
        <f t="shared" si="2"/>
        <v>0.91666666666666663</v>
      </c>
      <c r="AA43" s="383">
        <f t="shared" si="28"/>
        <v>1320</v>
      </c>
      <c r="AB43" s="384">
        <f t="shared" si="26"/>
        <v>103.48999984130673</v>
      </c>
      <c r="AC43" s="10">
        <f t="shared" si="29"/>
        <v>103.48999984130673</v>
      </c>
      <c r="AD43" s="386">
        <v>43</v>
      </c>
      <c r="AE43" s="12">
        <f t="shared" si="5"/>
        <v>1320</v>
      </c>
      <c r="AF43" s="10">
        <f t="shared" si="17"/>
        <v>60.099999999999994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63.845582404879195</v>
      </c>
      <c r="G44" s="182">
        <f t="shared" si="15"/>
        <v>59.065582404879194</v>
      </c>
      <c r="H44" s="415"/>
      <c r="I44" s="415"/>
      <c r="J44" s="415"/>
      <c r="K44" s="63">
        <f t="shared" si="16"/>
        <v>0.57019533482180407</v>
      </c>
      <c r="L44" s="9" t="s">
        <v>18</v>
      </c>
      <c r="V44" s="14">
        <f t="shared" si="8"/>
        <v>201</v>
      </c>
      <c r="W44" s="3">
        <f t="shared" si="9"/>
        <v>1.3448413326052515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103.48999984130673</v>
      </c>
      <c r="AC44" s="10">
        <f t="shared" si="29"/>
        <v>103.48999984130673</v>
      </c>
      <c r="AD44" s="385">
        <v>44</v>
      </c>
      <c r="AE44" s="12">
        <f t="shared" si="5"/>
        <v>1380</v>
      </c>
      <c r="AF44" s="10">
        <f t="shared" si="17"/>
        <v>60.099999999999994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44002.083333333328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64.378964519231431</v>
      </c>
      <c r="G45" s="182">
        <f t="shared" si="15"/>
        <v>59.59896451923143</v>
      </c>
      <c r="H45" s="415"/>
      <c r="I45" s="415"/>
      <c r="J45" s="415"/>
      <c r="K45" s="63">
        <f t="shared" si="16"/>
        <v>0.5333821143522357</v>
      </c>
      <c r="L45" s="9" t="s">
        <v>18</v>
      </c>
      <c r="V45" s="382">
        <f t="shared" si="8"/>
        <v>201</v>
      </c>
      <c r="W45" s="381">
        <f t="shared" si="9"/>
        <v>1.3448413326052515</v>
      </c>
      <c r="X45" s="381">
        <f t="shared" si="10"/>
        <v>0.125</v>
      </c>
      <c r="Y45" s="381">
        <f t="shared" si="11"/>
        <v>5.0000000000000001E-4</v>
      </c>
      <c r="Z45" s="381">
        <f t="shared" si="2"/>
        <v>1</v>
      </c>
      <c r="AA45" s="383">
        <f t="shared" si="28"/>
        <v>1440</v>
      </c>
      <c r="AB45" s="384">
        <f t="shared" si="26"/>
        <v>103.48999984130673</v>
      </c>
      <c r="AC45" s="10">
        <f t="shared" si="29"/>
        <v>103.48999984130673</v>
      </c>
      <c r="AD45" s="386">
        <v>45</v>
      </c>
      <c r="AE45" s="12">
        <f t="shared" si="5"/>
        <v>1440</v>
      </c>
      <c r="AF45" s="10">
        <f t="shared" si="17"/>
        <v>60.099999999999994</v>
      </c>
    </row>
    <row r="46" spans="1:32" s="3" customFormat="1" ht="21" customHeight="1" x14ac:dyDescent="0.15">
      <c r="A46" s="54"/>
      <c r="B46" s="54"/>
      <c r="C46" s="54"/>
      <c r="D46" s="279">
        <f t="shared" si="25"/>
        <v>1020</v>
      </c>
      <c r="E46" s="249">
        <f t="shared" si="30"/>
        <v>0.70833333333333337</v>
      </c>
      <c r="F46" s="182">
        <f t="shared" si="14"/>
        <v>64.88</v>
      </c>
      <c r="G46" s="182">
        <f t="shared" si="15"/>
        <v>60.099999999999994</v>
      </c>
      <c r="H46" s="415"/>
      <c r="I46" s="415"/>
      <c r="J46" s="415"/>
      <c r="K46" s="63">
        <f t="shared" si="16"/>
        <v>0.50103548076856441</v>
      </c>
      <c r="L46" s="9" t="s">
        <v>18</v>
      </c>
      <c r="V46" s="14">
        <f t="shared" si="8"/>
        <v>201</v>
      </c>
      <c r="W46" s="3">
        <f t="shared" si="9"/>
        <v>1.3448413326052515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36">
        <f t="shared" si="28"/>
        <v>1500</v>
      </c>
      <c r="AB46" s="337">
        <f t="shared" si="26"/>
        <v>103.48999984130673</v>
      </c>
      <c r="AC46" s="10">
        <f t="shared" ref="AC46:AC47" si="31">AC45</f>
        <v>103.48999984130673</v>
      </c>
      <c r="AD46" s="385">
        <v>46</v>
      </c>
      <c r="AE46" s="336">
        <f t="shared" si="5"/>
        <v>1500</v>
      </c>
      <c r="AF46" s="338">
        <f t="shared" si="17"/>
        <v>60.099999999999994</v>
      </c>
    </row>
    <row r="47" spans="1:32" s="3" customFormat="1" ht="21" customHeight="1" x14ac:dyDescent="0.15">
      <c r="A47" s="54"/>
      <c r="B47" s="54"/>
      <c r="C47" s="55"/>
      <c r="D47" s="181">
        <f t="shared" ref="D47:D62" si="32">D46+60</f>
        <v>1080</v>
      </c>
      <c r="E47" s="249">
        <f t="shared" si="30"/>
        <v>0.75</v>
      </c>
      <c r="F47" s="182">
        <f t="shared" si="14"/>
        <v>64.88</v>
      </c>
      <c r="G47" s="182">
        <f t="shared" si="15"/>
        <v>60.099999999999994</v>
      </c>
      <c r="H47" s="415"/>
      <c r="I47" s="415"/>
      <c r="J47" s="415"/>
      <c r="K47" s="63">
        <f t="shared" si="16"/>
        <v>0</v>
      </c>
      <c r="L47" s="9" t="s">
        <v>18</v>
      </c>
      <c r="V47" s="14">
        <f t="shared" si="8"/>
        <v>201</v>
      </c>
      <c r="W47" s="3">
        <f t="shared" si="9"/>
        <v>1.3448413326052515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103.48999984130673</v>
      </c>
      <c r="AC47" s="10">
        <f t="shared" si="31"/>
        <v>103.48999984130673</v>
      </c>
      <c r="AE47" s="12">
        <f t="shared" si="5"/>
        <v>1560</v>
      </c>
      <c r="AF47" s="10">
        <f t="shared" si="17"/>
        <v>60.099999999999994</v>
      </c>
    </row>
    <row r="48" spans="1:32" s="3" customFormat="1" ht="21" customHeight="1" x14ac:dyDescent="0.15">
      <c r="A48" s="54"/>
      <c r="B48" s="54"/>
      <c r="C48" s="55"/>
      <c r="D48" s="181">
        <f t="shared" si="32"/>
        <v>1140</v>
      </c>
      <c r="E48" s="249">
        <f t="shared" si="30"/>
        <v>0.79166666666666663</v>
      </c>
      <c r="F48" s="182">
        <f t="shared" si="14"/>
        <v>64.88</v>
      </c>
      <c r="G48" s="182">
        <f t="shared" si="15"/>
        <v>60.099999999999994</v>
      </c>
      <c r="H48" s="415"/>
      <c r="I48" s="415"/>
      <c r="J48" s="415"/>
      <c r="K48" s="3" t="s">
        <v>18</v>
      </c>
      <c r="L48" s="9" t="s">
        <v>18</v>
      </c>
      <c r="V48" s="14">
        <f t="shared" si="8"/>
        <v>201</v>
      </c>
      <c r="W48" s="3">
        <f t="shared" si="9"/>
        <v>1.3448413326052515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103.48999984130673</v>
      </c>
      <c r="AC48" s="10">
        <f t="shared" ref="AC48:AC52" si="33">AC47</f>
        <v>103.48999984130673</v>
      </c>
      <c r="AE48" s="12">
        <f t="shared" si="5"/>
        <v>1620</v>
      </c>
      <c r="AF48" s="10">
        <f t="shared" si="17"/>
        <v>60.099999999999994</v>
      </c>
    </row>
    <row r="49" spans="1:32" s="3" customFormat="1" ht="21" customHeight="1" x14ac:dyDescent="0.15">
      <c r="A49" s="54"/>
      <c r="B49" s="54"/>
      <c r="C49" s="55"/>
      <c r="D49" s="181">
        <f t="shared" si="32"/>
        <v>1200</v>
      </c>
      <c r="E49" s="249">
        <f t="shared" si="30"/>
        <v>0.83333333333333337</v>
      </c>
      <c r="F49" s="182">
        <f t="shared" si="14"/>
        <v>64.88</v>
      </c>
      <c r="G49" s="182">
        <f t="shared" si="15"/>
        <v>60.099999999999994</v>
      </c>
      <c r="H49" s="415"/>
      <c r="I49" s="415"/>
      <c r="J49" s="415"/>
      <c r="K49" s="3" t="s">
        <v>18</v>
      </c>
      <c r="L49" s="9" t="s">
        <v>18</v>
      </c>
      <c r="V49" s="14">
        <f t="shared" si="8"/>
        <v>201</v>
      </c>
      <c r="W49" s="3">
        <f t="shared" si="9"/>
        <v>1.3448413326052515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103.48999984130673</v>
      </c>
      <c r="AC49" s="10">
        <f t="shared" si="33"/>
        <v>103.48999984130673</v>
      </c>
      <c r="AE49" s="12">
        <f t="shared" si="5"/>
        <v>1680</v>
      </c>
      <c r="AF49" s="10">
        <f t="shared" ref="AF49:AF69" si="34">AC49-$P$3</f>
        <v>60.099999999999994</v>
      </c>
    </row>
    <row r="50" spans="1:32" s="3" customFormat="1" ht="21" customHeight="1" x14ac:dyDescent="0.15">
      <c r="A50" s="54"/>
      <c r="B50" s="54"/>
      <c r="C50" s="55"/>
      <c r="D50" s="181">
        <f t="shared" si="32"/>
        <v>1260</v>
      </c>
      <c r="E50" s="249">
        <f t="shared" si="30"/>
        <v>0.875</v>
      </c>
      <c r="F50" s="182">
        <f t="shared" si="14"/>
        <v>64.88</v>
      </c>
      <c r="G50" s="182">
        <f t="shared" si="15"/>
        <v>60.099999999999994</v>
      </c>
      <c r="H50" s="415"/>
      <c r="I50" s="415"/>
      <c r="J50" s="415"/>
      <c r="K50" s="3" t="s">
        <v>18</v>
      </c>
      <c r="L50" s="9" t="s">
        <v>18</v>
      </c>
      <c r="V50" s="14">
        <f t="shared" si="8"/>
        <v>201</v>
      </c>
      <c r="W50" s="3">
        <f t="shared" si="9"/>
        <v>1.3448413326052515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103.48999984130673</v>
      </c>
      <c r="AC50" s="10">
        <f t="shared" si="33"/>
        <v>103.48999984130673</v>
      </c>
      <c r="AE50" s="12">
        <f t="shared" si="5"/>
        <v>1740</v>
      </c>
      <c r="AF50" s="10">
        <f t="shared" si="34"/>
        <v>60.099999999999994</v>
      </c>
    </row>
    <row r="51" spans="1:32" s="3" customFormat="1" ht="21" customHeight="1" x14ac:dyDescent="0.15">
      <c r="A51" s="54"/>
      <c r="B51" s="54"/>
      <c r="C51" s="55">
        <f>$C$10+D51/1440</f>
        <v>44002.333333333328</v>
      </c>
      <c r="D51" s="181">
        <f t="shared" si="32"/>
        <v>1320</v>
      </c>
      <c r="E51" s="249">
        <f t="shared" si="30"/>
        <v>0.91666666666666663</v>
      </c>
      <c r="F51" s="182">
        <f t="shared" si="14"/>
        <v>64.88</v>
      </c>
      <c r="G51" s="182">
        <f t="shared" si="15"/>
        <v>60.099999999999994</v>
      </c>
      <c r="H51" s="415"/>
      <c r="I51" s="415"/>
      <c r="J51" s="415"/>
      <c r="K51" s="3" t="s">
        <v>18</v>
      </c>
      <c r="L51" s="9" t="s">
        <v>18</v>
      </c>
      <c r="V51" s="14">
        <f t="shared" si="8"/>
        <v>201</v>
      </c>
      <c r="W51" s="3">
        <f t="shared" si="9"/>
        <v>1.3448413326052515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103.48999984130673</v>
      </c>
      <c r="AC51" s="10">
        <f t="shared" si="33"/>
        <v>103.48999984130673</v>
      </c>
      <c r="AE51" s="12">
        <f t="shared" si="5"/>
        <v>1800</v>
      </c>
      <c r="AF51" s="10">
        <f t="shared" si="34"/>
        <v>60.099999999999994</v>
      </c>
    </row>
    <row r="52" spans="1:32" s="3" customFormat="1" ht="21" customHeight="1" x14ac:dyDescent="0.15">
      <c r="A52" s="54"/>
      <c r="B52" s="54"/>
      <c r="C52" s="55"/>
      <c r="D52" s="181">
        <f t="shared" si="32"/>
        <v>1380</v>
      </c>
      <c r="E52" s="249">
        <f t="shared" si="30"/>
        <v>0.95833333333333337</v>
      </c>
      <c r="F52" s="182">
        <f t="shared" si="14"/>
        <v>64.88</v>
      </c>
      <c r="G52" s="182">
        <f t="shared" si="15"/>
        <v>60.099999999999994</v>
      </c>
      <c r="H52" s="415"/>
      <c r="I52" s="415"/>
      <c r="J52" s="415"/>
      <c r="K52" s="3" t="s">
        <v>18</v>
      </c>
      <c r="L52" s="9" t="s">
        <v>18</v>
      </c>
      <c r="V52" s="14">
        <f t="shared" si="8"/>
        <v>201</v>
      </c>
      <c r="W52" s="3">
        <f t="shared" si="9"/>
        <v>1.3448413326052515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103.48999984130673</v>
      </c>
      <c r="AC52" s="10">
        <f t="shared" si="33"/>
        <v>103.48999984130673</v>
      </c>
      <c r="AE52" s="12">
        <f t="shared" si="5"/>
        <v>1860</v>
      </c>
      <c r="AF52" s="10">
        <f t="shared" si="34"/>
        <v>60.099999999999994</v>
      </c>
    </row>
    <row r="53" spans="1:32" s="3" customFormat="1" ht="21" customHeight="1" x14ac:dyDescent="0.15">
      <c r="A53" s="54"/>
      <c r="B53" s="54"/>
      <c r="C53" s="55"/>
      <c r="D53" s="181">
        <f t="shared" si="32"/>
        <v>1440</v>
      </c>
      <c r="E53" s="249">
        <f t="shared" si="30"/>
        <v>1</v>
      </c>
      <c r="F53" s="182">
        <f t="shared" si="14"/>
        <v>64.88</v>
      </c>
      <c r="G53" s="182">
        <f t="shared" si="15"/>
        <v>60.099999999999994</v>
      </c>
      <c r="H53" s="415"/>
      <c r="I53" s="415"/>
      <c r="J53" s="415"/>
      <c r="K53" s="3" t="s">
        <v>18</v>
      </c>
      <c r="L53" s="9" t="s">
        <v>18</v>
      </c>
      <c r="V53" s="14">
        <f t="shared" si="8"/>
        <v>201</v>
      </c>
      <c r="W53" s="3">
        <f t="shared" si="9"/>
        <v>1.3448413326052515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103.48999984130673</v>
      </c>
      <c r="AC53" s="10">
        <f t="shared" ref="AC53:AC69" si="35">AC52</f>
        <v>103.48999984130673</v>
      </c>
      <c r="AE53" s="12">
        <f t="shared" si="5"/>
        <v>1920</v>
      </c>
      <c r="AF53" s="10">
        <f t="shared" si="34"/>
        <v>60.099999999999994</v>
      </c>
    </row>
    <row r="54" spans="1:32" s="3" customFormat="1" ht="21" customHeight="1" x14ac:dyDescent="0.15">
      <c r="A54" s="54"/>
      <c r="B54" s="54"/>
      <c r="C54" s="55"/>
      <c r="D54" s="181">
        <f t="shared" si="32"/>
        <v>1500</v>
      </c>
      <c r="E54" s="249">
        <f t="shared" si="30"/>
        <v>1.0416666666666667</v>
      </c>
      <c r="F54" s="182">
        <f t="shared" si="14"/>
        <v>64.88</v>
      </c>
      <c r="G54" s="182">
        <f t="shared" si="15"/>
        <v>60.099999999999994</v>
      </c>
      <c r="H54" s="415"/>
      <c r="I54" s="415"/>
      <c r="J54" s="415"/>
      <c r="K54" s="3" t="s">
        <v>18</v>
      </c>
      <c r="L54" s="9" t="s">
        <v>18</v>
      </c>
      <c r="V54" s="14">
        <f t="shared" si="8"/>
        <v>201</v>
      </c>
      <c r="W54" s="3">
        <f t="shared" si="9"/>
        <v>1.3448413326052515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103.48999984130673</v>
      </c>
      <c r="AC54" s="10">
        <f t="shared" si="35"/>
        <v>103.48999984130673</v>
      </c>
      <c r="AE54" s="12">
        <f t="shared" si="5"/>
        <v>1980</v>
      </c>
      <c r="AF54" s="10">
        <f t="shared" si="34"/>
        <v>60.099999999999994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2"/>
        <v>1560</v>
      </c>
      <c r="E55" s="249">
        <f t="shared" si="30"/>
        <v>1.0833333333333333</v>
      </c>
      <c r="F55" s="182">
        <f t="shared" si="14"/>
        <v>64.88</v>
      </c>
      <c r="G55" s="182">
        <f t="shared" si="15"/>
        <v>60.099999999999994</v>
      </c>
      <c r="H55" s="415"/>
      <c r="I55" s="415"/>
      <c r="J55" s="415"/>
      <c r="K55" s="3" t="s">
        <v>18</v>
      </c>
      <c r="L55" s="9" t="s">
        <v>18</v>
      </c>
      <c r="V55" s="14">
        <f t="shared" si="8"/>
        <v>201</v>
      </c>
      <c r="W55" s="3">
        <f t="shared" si="9"/>
        <v>1.3448413326052515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103.48999984130673</v>
      </c>
      <c r="AC55" s="10">
        <f t="shared" si="35"/>
        <v>103.48999984130673</v>
      </c>
      <c r="AE55" s="12">
        <f t="shared" si="5"/>
        <v>2040</v>
      </c>
      <c r="AF55" s="10">
        <f t="shared" si="34"/>
        <v>60.099999999999994</v>
      </c>
    </row>
    <row r="56" spans="1:32" s="3" customFormat="1" ht="21.6" customHeight="1" x14ac:dyDescent="0.15">
      <c r="A56" s="54"/>
      <c r="B56" s="54"/>
      <c r="C56" s="55">
        <f>$C$10+D56/1440</f>
        <v>44002.541666666664</v>
      </c>
      <c r="D56" s="181">
        <f t="shared" si="32"/>
        <v>1620</v>
      </c>
      <c r="E56" s="249">
        <f t="shared" si="30"/>
        <v>1.125</v>
      </c>
      <c r="F56" s="182">
        <f t="shared" si="14"/>
        <v>64.88</v>
      </c>
      <c r="G56" s="182">
        <f t="shared" si="15"/>
        <v>60.099999999999994</v>
      </c>
      <c r="H56" s="415"/>
      <c r="I56" s="415"/>
      <c r="J56" s="415"/>
      <c r="K56" s="3" t="s">
        <v>18</v>
      </c>
      <c r="L56" s="9" t="s">
        <v>18</v>
      </c>
      <c r="V56" s="14">
        <f t="shared" si="8"/>
        <v>201</v>
      </c>
      <c r="W56" s="3">
        <f t="shared" si="9"/>
        <v>1.3448413326052515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103.48999984130673</v>
      </c>
      <c r="AC56" s="10">
        <f t="shared" si="35"/>
        <v>103.48999984130673</v>
      </c>
      <c r="AE56" s="12">
        <f t="shared" si="5"/>
        <v>2100</v>
      </c>
      <c r="AF56" s="10">
        <f t="shared" si="34"/>
        <v>60.099999999999994</v>
      </c>
    </row>
    <row r="57" spans="1:32" s="3" customFormat="1" ht="21.6" customHeight="1" x14ac:dyDescent="0.15">
      <c r="A57" s="54"/>
      <c r="B57" s="54"/>
      <c r="C57" s="55"/>
      <c r="D57" s="181">
        <f t="shared" si="32"/>
        <v>1680</v>
      </c>
      <c r="E57" s="249">
        <f t="shared" si="30"/>
        <v>1.1666666666666667</v>
      </c>
      <c r="F57" s="182">
        <f t="shared" si="14"/>
        <v>64.88</v>
      </c>
      <c r="G57" s="182">
        <f t="shared" si="15"/>
        <v>60.099999999999994</v>
      </c>
      <c r="H57" s="415"/>
      <c r="I57" s="415"/>
      <c r="J57" s="415"/>
      <c r="K57" s="3" t="s">
        <v>18</v>
      </c>
      <c r="L57" s="9" t="s">
        <v>18</v>
      </c>
      <c r="V57" s="14">
        <f t="shared" si="8"/>
        <v>201</v>
      </c>
      <c r="W57" s="3">
        <f t="shared" si="9"/>
        <v>1.3448413326052515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103.48999984130673</v>
      </c>
      <c r="AC57" s="10">
        <f t="shared" si="35"/>
        <v>103.48999984130673</v>
      </c>
      <c r="AE57" s="12">
        <f t="shared" si="5"/>
        <v>2160</v>
      </c>
      <c r="AF57" s="10">
        <f t="shared" si="34"/>
        <v>60.099999999999994</v>
      </c>
    </row>
    <row r="58" spans="1:32" s="3" customFormat="1" ht="21.6" customHeight="1" x14ac:dyDescent="0.15">
      <c r="A58" s="54"/>
      <c r="B58" s="54"/>
      <c r="C58" s="55"/>
      <c r="D58" s="181">
        <f t="shared" si="32"/>
        <v>1740</v>
      </c>
      <c r="E58" s="249">
        <f t="shared" si="30"/>
        <v>1.2083333333333333</v>
      </c>
      <c r="F58" s="182">
        <f t="shared" si="14"/>
        <v>64.88</v>
      </c>
      <c r="G58" s="182">
        <f t="shared" si="15"/>
        <v>60.099999999999994</v>
      </c>
      <c r="H58" s="415"/>
      <c r="I58" s="415"/>
      <c r="J58" s="415"/>
      <c r="K58" s="3" t="s">
        <v>18</v>
      </c>
      <c r="L58" s="9" t="s">
        <v>18</v>
      </c>
      <c r="V58" s="14">
        <f t="shared" si="8"/>
        <v>201</v>
      </c>
      <c r="W58" s="3">
        <f t="shared" si="9"/>
        <v>1.3448413326052515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103.48999984130673</v>
      </c>
      <c r="AC58" s="10">
        <f t="shared" si="35"/>
        <v>103.48999984130673</v>
      </c>
      <c r="AE58" s="12">
        <f t="shared" si="5"/>
        <v>2220</v>
      </c>
      <c r="AF58" s="10">
        <f t="shared" si="34"/>
        <v>60.099999999999994</v>
      </c>
    </row>
    <row r="59" spans="1:32" s="3" customFormat="1" ht="21.6" customHeight="1" x14ac:dyDescent="0.15">
      <c r="A59" s="54"/>
      <c r="B59" s="54"/>
      <c r="C59" s="55"/>
      <c r="D59" s="181">
        <f t="shared" si="32"/>
        <v>1800</v>
      </c>
      <c r="E59" s="249">
        <f t="shared" ref="E59:E74" si="36">D59/1440</f>
        <v>1.25</v>
      </c>
      <c r="F59" s="182">
        <f t="shared" si="14"/>
        <v>64.88</v>
      </c>
      <c r="G59" s="182">
        <f t="shared" si="15"/>
        <v>60.099999999999994</v>
      </c>
      <c r="H59" s="415"/>
      <c r="I59" s="415"/>
      <c r="J59" s="415"/>
      <c r="K59" s="3" t="s">
        <v>18</v>
      </c>
      <c r="L59" s="9" t="s">
        <v>18</v>
      </c>
      <c r="V59" s="14">
        <f t="shared" si="8"/>
        <v>201</v>
      </c>
      <c r="W59" s="3">
        <f t="shared" si="9"/>
        <v>1.3448413326052515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103.48999984130673</v>
      </c>
      <c r="AC59" s="10">
        <f t="shared" si="35"/>
        <v>103.48999984130673</v>
      </c>
      <c r="AE59" s="12">
        <f t="shared" si="5"/>
        <v>2280</v>
      </c>
      <c r="AF59" s="10">
        <f t="shared" si="34"/>
        <v>60.099999999999994</v>
      </c>
    </row>
    <row r="60" spans="1:32" s="3" customFormat="1" ht="21.6" customHeight="1" x14ac:dyDescent="0.15">
      <c r="A60" s="54"/>
      <c r="B60" s="54"/>
      <c r="C60" s="55"/>
      <c r="D60" s="181">
        <f t="shared" si="32"/>
        <v>1860</v>
      </c>
      <c r="E60" s="249">
        <f t="shared" si="36"/>
        <v>1.2916666666666667</v>
      </c>
      <c r="F60" s="182">
        <f t="shared" si="14"/>
        <v>64.88</v>
      </c>
      <c r="G60" s="182">
        <f t="shared" si="15"/>
        <v>60.099999999999994</v>
      </c>
      <c r="H60" s="415"/>
      <c r="I60" s="415"/>
      <c r="J60" s="415"/>
      <c r="K60" s="3" t="s">
        <v>18</v>
      </c>
      <c r="L60" s="9" t="s">
        <v>18</v>
      </c>
      <c r="V60" s="14">
        <f t="shared" si="8"/>
        <v>201</v>
      </c>
      <c r="W60" s="3">
        <f t="shared" si="9"/>
        <v>1.3448413326052515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103.48999984130673</v>
      </c>
      <c r="AC60" s="10">
        <f t="shared" si="35"/>
        <v>103.48999984130673</v>
      </c>
      <c r="AE60" s="12">
        <f t="shared" si="5"/>
        <v>2340</v>
      </c>
      <c r="AF60" s="10">
        <f t="shared" si="34"/>
        <v>60.099999999999994</v>
      </c>
    </row>
    <row r="61" spans="1:32" s="3" customFormat="1" ht="21.6" customHeight="1" x14ac:dyDescent="0.15">
      <c r="A61" s="54"/>
      <c r="B61" s="54"/>
      <c r="C61" s="55">
        <f>$C$10+D61/1440</f>
        <v>44002.75</v>
      </c>
      <c r="D61" s="181">
        <f t="shared" si="32"/>
        <v>1920</v>
      </c>
      <c r="E61" s="249">
        <f t="shared" si="36"/>
        <v>1.3333333333333333</v>
      </c>
      <c r="F61" s="182">
        <f t="shared" si="14"/>
        <v>64.88</v>
      </c>
      <c r="G61" s="182">
        <f t="shared" si="15"/>
        <v>60.099999999999994</v>
      </c>
      <c r="H61" s="415"/>
      <c r="I61" s="415"/>
      <c r="J61" s="415"/>
      <c r="K61" s="3" t="s">
        <v>18</v>
      </c>
      <c r="L61" s="9" t="s">
        <v>18</v>
      </c>
      <c r="V61" s="14">
        <f t="shared" si="8"/>
        <v>201</v>
      </c>
      <c r="W61" s="3">
        <f t="shared" si="9"/>
        <v>1.3448413326052515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103.48999984130673</v>
      </c>
      <c r="AC61" s="10">
        <f t="shared" si="35"/>
        <v>103.48999984130673</v>
      </c>
      <c r="AE61" s="12">
        <f t="shared" si="5"/>
        <v>2400</v>
      </c>
      <c r="AF61" s="10">
        <f t="shared" si="34"/>
        <v>60.099999999999994</v>
      </c>
    </row>
    <row r="62" spans="1:32" s="3" customFormat="1" ht="21.6" customHeight="1" x14ac:dyDescent="0.15">
      <c r="A62" s="54"/>
      <c r="B62" s="54"/>
      <c r="C62" s="55"/>
      <c r="D62" s="181">
        <f t="shared" si="32"/>
        <v>1980</v>
      </c>
      <c r="E62" s="249">
        <f t="shared" si="36"/>
        <v>1.375</v>
      </c>
      <c r="F62" s="182">
        <f t="shared" si="14"/>
        <v>64.88</v>
      </c>
      <c r="G62" s="182">
        <f t="shared" si="15"/>
        <v>60.099999999999994</v>
      </c>
      <c r="H62" s="415"/>
      <c r="I62" s="415"/>
      <c r="J62" s="415"/>
      <c r="K62" s="3" t="s">
        <v>18</v>
      </c>
      <c r="L62" s="9" t="s">
        <v>18</v>
      </c>
      <c r="V62" s="14">
        <f t="shared" si="8"/>
        <v>201</v>
      </c>
      <c r="W62" s="3">
        <f t="shared" si="9"/>
        <v>1.3448413326052515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103.48999984130673</v>
      </c>
      <c r="AC62" s="10">
        <f t="shared" si="35"/>
        <v>103.48999984130673</v>
      </c>
      <c r="AE62" s="12">
        <f t="shared" si="5"/>
        <v>2460</v>
      </c>
      <c r="AF62" s="10">
        <f t="shared" si="34"/>
        <v>60.099999999999994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64.88</v>
      </c>
      <c r="G63" s="182">
        <f t="shared" si="15"/>
        <v>60.099999999999994</v>
      </c>
      <c r="H63" s="415"/>
      <c r="I63" s="415"/>
      <c r="J63" s="415"/>
      <c r="K63" s="3" t="s">
        <v>18</v>
      </c>
      <c r="L63" s="9" t="s">
        <v>18</v>
      </c>
      <c r="V63" s="14">
        <f t="shared" si="8"/>
        <v>201</v>
      </c>
      <c r="W63" s="3">
        <f t="shared" si="9"/>
        <v>1.3448413326052515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103.48999984130673</v>
      </c>
      <c r="AC63" s="10">
        <f t="shared" si="35"/>
        <v>103.48999984130673</v>
      </c>
      <c r="AE63" s="12">
        <f t="shared" si="5"/>
        <v>2520</v>
      </c>
      <c r="AF63" s="10">
        <f t="shared" si="34"/>
        <v>60.099999999999994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64.88</v>
      </c>
      <c r="G64" s="182">
        <f t="shared" si="15"/>
        <v>60.099999999999994</v>
      </c>
      <c r="H64" s="415"/>
      <c r="I64" s="415"/>
      <c r="J64" s="415"/>
      <c r="K64" s="3" t="s">
        <v>18</v>
      </c>
      <c r="L64" s="9" t="s">
        <v>18</v>
      </c>
      <c r="V64" s="14">
        <f t="shared" si="8"/>
        <v>201</v>
      </c>
      <c r="W64" s="3">
        <f t="shared" si="9"/>
        <v>1.3448413326052515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103.48999984130673</v>
      </c>
      <c r="AC64" s="10">
        <f t="shared" si="35"/>
        <v>103.48999984130673</v>
      </c>
      <c r="AE64" s="12">
        <f t="shared" si="5"/>
        <v>2580</v>
      </c>
      <c r="AF64" s="10">
        <f t="shared" si="34"/>
        <v>60.099999999999994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64.88</v>
      </c>
      <c r="G65" s="182">
        <f t="shared" si="15"/>
        <v>60.099999999999994</v>
      </c>
      <c r="H65" s="415"/>
      <c r="I65" s="415"/>
      <c r="J65" s="415"/>
      <c r="K65" s="3" t="s">
        <v>18</v>
      </c>
      <c r="L65" s="9" t="s">
        <v>18</v>
      </c>
      <c r="V65" s="14">
        <f t="shared" si="8"/>
        <v>201</v>
      </c>
      <c r="W65" s="3">
        <f t="shared" si="9"/>
        <v>1.3448413326052515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103.48999984130673</v>
      </c>
      <c r="AC65" s="10">
        <f t="shared" si="35"/>
        <v>103.48999984130673</v>
      </c>
      <c r="AE65" s="12">
        <f t="shared" si="5"/>
        <v>2640</v>
      </c>
      <c r="AF65" s="10">
        <f t="shared" si="34"/>
        <v>60.099999999999994</v>
      </c>
    </row>
    <row r="66" spans="1:32" s="3" customFormat="1" ht="21.6" customHeight="1" x14ac:dyDescent="0.15">
      <c r="A66" s="54"/>
      <c r="B66" s="54"/>
      <c r="C66" s="55">
        <f>$C$10+D66/1440</f>
        <v>44002.958333333328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64.88</v>
      </c>
      <c r="G66" s="182">
        <f t="shared" si="15"/>
        <v>60.099999999999994</v>
      </c>
      <c r="H66" s="415"/>
      <c r="I66" s="415"/>
      <c r="J66" s="415"/>
      <c r="K66" s="3" t="s">
        <v>18</v>
      </c>
      <c r="L66" s="9" t="s">
        <v>18</v>
      </c>
      <c r="V66" s="14">
        <f t="shared" si="8"/>
        <v>201</v>
      </c>
      <c r="W66" s="3">
        <f t="shared" si="9"/>
        <v>1.3448413326052515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103.48999984130673</v>
      </c>
      <c r="AC66" s="10">
        <f t="shared" si="35"/>
        <v>103.48999984130673</v>
      </c>
      <c r="AE66" s="12">
        <f t="shared" si="5"/>
        <v>2700</v>
      </c>
      <c r="AF66" s="10">
        <f t="shared" si="34"/>
        <v>60.099999999999994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64.88</v>
      </c>
      <c r="G67" s="182">
        <f t="shared" si="15"/>
        <v>60.099999999999994</v>
      </c>
      <c r="H67" s="415"/>
      <c r="I67" s="415"/>
      <c r="J67" s="415"/>
      <c r="K67" s="3" t="s">
        <v>18</v>
      </c>
      <c r="L67" s="9" t="s">
        <v>18</v>
      </c>
      <c r="V67" s="14">
        <f t="shared" si="8"/>
        <v>201</v>
      </c>
      <c r="W67" s="3">
        <f t="shared" si="9"/>
        <v>1.3448413326052515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103.48999984130673</v>
      </c>
      <c r="AC67" s="10">
        <f t="shared" si="35"/>
        <v>103.48999984130673</v>
      </c>
      <c r="AE67" s="12">
        <f>AA67</f>
        <v>2760</v>
      </c>
      <c r="AF67" s="10">
        <f t="shared" si="34"/>
        <v>60.099999999999994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64.88</v>
      </c>
      <c r="G68" s="182">
        <f t="shared" si="15"/>
        <v>60.099999999999994</v>
      </c>
      <c r="H68" s="415"/>
      <c r="I68" s="415"/>
      <c r="J68" s="415"/>
      <c r="K68" s="3" t="s">
        <v>18</v>
      </c>
      <c r="L68" s="9" t="s">
        <v>18</v>
      </c>
      <c r="V68" s="14">
        <f>V67</f>
        <v>201</v>
      </c>
      <c r="W68" s="3">
        <f t="shared" ref="W68:W83" si="40">W$2</f>
        <v>1.3448413326052515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103.48999984130673</v>
      </c>
      <c r="AC68" s="10">
        <f t="shared" si="35"/>
        <v>103.48999984130673</v>
      </c>
      <c r="AE68" s="12">
        <f>AA68</f>
        <v>2820</v>
      </c>
      <c r="AF68" s="10">
        <f t="shared" si="34"/>
        <v>60.099999999999994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64.88</v>
      </c>
      <c r="G69" s="182">
        <f t="shared" si="15"/>
        <v>60.099999999999994</v>
      </c>
      <c r="H69" s="415"/>
      <c r="I69" s="415"/>
      <c r="J69" s="415"/>
      <c r="K69" s="3" t="s">
        <v>18</v>
      </c>
      <c r="L69" s="9" t="s">
        <v>18</v>
      </c>
      <c r="V69" s="14">
        <f>V68</f>
        <v>201</v>
      </c>
      <c r="W69" s="3">
        <f t="shared" si="40"/>
        <v>1.3448413326052515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103.48999984130673</v>
      </c>
      <c r="AC69" s="10">
        <f t="shared" si="35"/>
        <v>103.48999984130673</v>
      </c>
      <c r="AE69" s="12">
        <f>AA69</f>
        <v>2880</v>
      </c>
      <c r="AF69" s="10">
        <f t="shared" si="34"/>
        <v>60.099999999999994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64.88</v>
      </c>
      <c r="G70" s="182">
        <f t="shared" si="15"/>
        <v>60.099999999999994</v>
      </c>
      <c r="H70" s="415"/>
      <c r="I70" s="415"/>
      <c r="J70" s="415"/>
      <c r="K70" s="3" t="s">
        <v>18</v>
      </c>
      <c r="L70" s="9" t="s">
        <v>18</v>
      </c>
      <c r="V70" s="14"/>
      <c r="W70" s="3">
        <f t="shared" si="40"/>
        <v>1.3448413326052515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44003.166666666664</v>
      </c>
      <c r="D71" s="181">
        <f t="shared" si="37"/>
        <v>2520</v>
      </c>
      <c r="E71" s="249">
        <f t="shared" si="36"/>
        <v>1.75</v>
      </c>
      <c r="F71" s="182">
        <f t="shared" si="38"/>
        <v>64.88</v>
      </c>
      <c r="G71" s="182">
        <f t="shared" si="15"/>
        <v>60.099999999999994</v>
      </c>
      <c r="H71" s="415"/>
      <c r="I71" s="415"/>
      <c r="J71" s="415"/>
      <c r="K71" s="3" t="s">
        <v>18</v>
      </c>
      <c r="L71" s="9" t="s">
        <v>18</v>
      </c>
      <c r="V71" s="14"/>
      <c r="W71" s="3">
        <f t="shared" si="40"/>
        <v>1.3448413326052515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64.88</v>
      </c>
      <c r="G72" s="182">
        <f t="shared" si="15"/>
        <v>60.099999999999994</v>
      </c>
      <c r="H72" s="415"/>
      <c r="I72" s="415"/>
      <c r="J72" s="415"/>
      <c r="K72" s="3" t="s">
        <v>18</v>
      </c>
      <c r="L72" s="9" t="s">
        <v>18</v>
      </c>
      <c r="V72" s="14"/>
      <c r="W72" s="3">
        <f t="shared" si="40"/>
        <v>1.3448413326052515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64.88</v>
      </c>
      <c r="G73" s="182">
        <f t="shared" si="15"/>
        <v>60.099999999999994</v>
      </c>
      <c r="H73" s="415"/>
      <c r="I73" s="415"/>
      <c r="J73" s="415"/>
      <c r="K73" s="3" t="s">
        <v>18</v>
      </c>
      <c r="L73" s="9" t="s">
        <v>18</v>
      </c>
      <c r="V73" s="14"/>
      <c r="W73" s="3">
        <f t="shared" si="40"/>
        <v>1.3448413326052515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64.88</v>
      </c>
      <c r="G74" s="182">
        <f t="shared" si="15"/>
        <v>60.099999999999994</v>
      </c>
      <c r="H74" s="415"/>
      <c r="I74" s="415"/>
      <c r="J74" s="415"/>
      <c r="K74" s="3" t="s">
        <v>18</v>
      </c>
      <c r="L74" s="9" t="s">
        <v>18</v>
      </c>
      <c r="V74" s="14"/>
      <c r="W74" s="3">
        <f t="shared" si="40"/>
        <v>1.3448413326052515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64.88</v>
      </c>
      <c r="G75" s="182">
        <f>AF67</f>
        <v>60.099999999999994</v>
      </c>
      <c r="H75" s="415"/>
      <c r="I75" s="415"/>
      <c r="J75" s="415"/>
      <c r="K75" s="3" t="s">
        <v>18</v>
      </c>
      <c r="L75" s="9" t="s">
        <v>18</v>
      </c>
      <c r="V75" s="14"/>
      <c r="W75" s="3">
        <f t="shared" si="40"/>
        <v>1.3448413326052515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64.88</v>
      </c>
      <c r="G76" s="182">
        <f>AF68</f>
        <v>60.099999999999994</v>
      </c>
      <c r="H76" s="415"/>
      <c r="I76" s="415"/>
      <c r="J76" s="415"/>
      <c r="K76" s="3" t="s">
        <v>18</v>
      </c>
      <c r="L76" s="9" t="s">
        <v>18</v>
      </c>
      <c r="V76" s="14"/>
      <c r="W76" s="3">
        <f t="shared" si="40"/>
        <v>1.3448413326052515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44003.416666666664</v>
      </c>
      <c r="D77" s="181">
        <f>D76+60</f>
        <v>2880</v>
      </c>
      <c r="E77" s="249">
        <f>D77/1440</f>
        <v>2</v>
      </c>
      <c r="F77" s="278">
        <f t="shared" si="38"/>
        <v>64.88</v>
      </c>
      <c r="G77" s="182">
        <f>AF69</f>
        <v>60.099999999999994</v>
      </c>
      <c r="H77" s="415"/>
      <c r="I77" s="415"/>
      <c r="J77" s="415"/>
      <c r="K77" s="3" t="s">
        <v>18</v>
      </c>
      <c r="L77" s="9" t="s">
        <v>18</v>
      </c>
      <c r="V77" s="14"/>
      <c r="W77" s="3">
        <f t="shared" si="40"/>
        <v>1.3448413326052515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44003.417361111111</v>
      </c>
      <c r="D78" s="181">
        <v>1</v>
      </c>
      <c r="E78" s="249">
        <f t="shared" ref="E78:E101" si="43">D78/1440</f>
        <v>6.9444444444444447E-4</v>
      </c>
      <c r="F78" s="182">
        <f>G78+D$8</f>
        <v>38.651314076348875</v>
      </c>
      <c r="G78" s="182">
        <f>H114</f>
        <v>33.871314076348874</v>
      </c>
      <c r="H78" s="505" t="s">
        <v>250</v>
      </c>
      <c r="I78" s="505"/>
      <c r="J78" s="505"/>
      <c r="K78" s="3" t="s">
        <v>18</v>
      </c>
      <c r="L78" s="9"/>
      <c r="V78" s="14"/>
      <c r="W78" s="3">
        <f t="shared" si="40"/>
        <v>1.3448413326052515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231</v>
      </c>
      <c r="D79" s="181">
        <v>2</v>
      </c>
      <c r="E79" s="249">
        <f t="shared" si="43"/>
        <v>1.3888888888888889E-3</v>
      </c>
      <c r="F79" s="182">
        <f t="shared" ref="F79:F101" si="44">G79+D$8</f>
        <v>34.734757753195368</v>
      </c>
      <c r="G79" s="182">
        <f>H115</f>
        <v>29.954757753195366</v>
      </c>
      <c r="H79" s="505"/>
      <c r="I79" s="505"/>
      <c r="J79" s="505"/>
      <c r="K79" s="3" t="s">
        <v>18</v>
      </c>
      <c r="L79" s="9" t="s">
        <v>18</v>
      </c>
      <c r="V79" s="14"/>
      <c r="W79" s="3">
        <f t="shared" si="40"/>
        <v>1.3448413326052515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231</v>
      </c>
      <c r="D80" s="181">
        <v>3</v>
      </c>
      <c r="E80" s="249">
        <f t="shared" si="43"/>
        <v>2.0833333333333333E-3</v>
      </c>
      <c r="F80" s="182">
        <f t="shared" si="44"/>
        <v>31.271074719748228</v>
      </c>
      <c r="G80" s="182">
        <f>H116</f>
        <v>26.491074719748227</v>
      </c>
      <c r="H80" s="505"/>
      <c r="I80" s="505"/>
      <c r="J80" s="505"/>
      <c r="K80" s="3" t="s">
        <v>18</v>
      </c>
      <c r="L80" s="9" t="s">
        <v>18</v>
      </c>
      <c r="V80" s="14"/>
      <c r="W80" s="3">
        <f t="shared" si="40"/>
        <v>1.3448413326052515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231</v>
      </c>
      <c r="D81" s="181">
        <v>4</v>
      </c>
      <c r="E81" s="249">
        <f t="shared" si="43"/>
        <v>2.7777777777777779E-3</v>
      </c>
      <c r="F81" s="182">
        <f t="shared" si="44"/>
        <v>28.207899019895194</v>
      </c>
      <c r="G81" s="182">
        <f>H117</f>
        <v>23.427899019895193</v>
      </c>
      <c r="H81" s="505"/>
      <c r="I81" s="505"/>
      <c r="J81" s="505"/>
      <c r="K81" s="3" t="s">
        <v>18</v>
      </c>
      <c r="L81" s="9" t="s">
        <v>18</v>
      </c>
      <c r="V81" s="14"/>
      <c r="W81" s="3">
        <f t="shared" si="40"/>
        <v>1.3448413326052515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231</v>
      </c>
      <c r="D82" s="181">
        <v>5</v>
      </c>
      <c r="E82" s="249">
        <f t="shared" si="43"/>
        <v>3.472222222222222E-3</v>
      </c>
      <c r="F82" s="182">
        <f t="shared" si="44"/>
        <v>25.498919798193171</v>
      </c>
      <c r="G82" s="182">
        <f>H118</f>
        <v>20.71891979819317</v>
      </c>
      <c r="H82" s="505"/>
      <c r="I82" s="505"/>
      <c r="J82" s="505"/>
      <c r="K82" s="3" t="s">
        <v>18</v>
      </c>
      <c r="L82" s="9" t="s">
        <v>18</v>
      </c>
      <c r="V82" s="14"/>
      <c r="W82" s="3">
        <f t="shared" si="40"/>
        <v>1.3448413326052515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19.110733072216853</v>
      </c>
      <c r="G83" s="182">
        <f>H121</f>
        <v>14.330733072216853</v>
      </c>
      <c r="H83" s="505"/>
      <c r="I83" s="505"/>
      <c r="J83" s="505"/>
      <c r="K83" s="3" t="s">
        <v>18</v>
      </c>
      <c r="L83" s="9" t="s">
        <v>18</v>
      </c>
      <c r="V83" s="14"/>
      <c r="W83" s="3">
        <f t="shared" si="40"/>
        <v>1.3448413326052515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232</v>
      </c>
      <c r="D84" s="181">
        <v>15</v>
      </c>
      <c r="E84" s="249">
        <f t="shared" si="43"/>
        <v>1.0416666666666666E-2</v>
      </c>
      <c r="F84" s="182">
        <f t="shared" si="44"/>
        <v>17.98355617057997</v>
      </c>
      <c r="G84" s="182">
        <f>H124</f>
        <v>13.203556170579969</v>
      </c>
      <c r="H84" s="505"/>
      <c r="I84" s="505"/>
      <c r="J84" s="505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15.106626014355406</v>
      </c>
      <c r="G85" s="182">
        <f>H126</f>
        <v>10.326626014355407</v>
      </c>
      <c r="H85" s="505"/>
      <c r="I85" s="505"/>
      <c r="J85" s="505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232</v>
      </c>
      <c r="D86" s="181">
        <v>25</v>
      </c>
      <c r="E86" s="249">
        <f t="shared" si="43"/>
        <v>1.7361111111111112E-2</v>
      </c>
      <c r="F86" s="182">
        <f t="shared" si="44"/>
        <v>13.912553285963501</v>
      </c>
      <c r="G86" s="182">
        <f t="shared" ref="G86:G92" si="45">H127</f>
        <v>9.1325532859635015</v>
      </c>
      <c r="H86" s="505"/>
      <c r="I86" s="505"/>
      <c r="J86" s="505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12.856551760954691</v>
      </c>
      <c r="G87" s="182">
        <f t="shared" si="45"/>
        <v>8.0765517609546915</v>
      </c>
      <c r="H87" s="505"/>
      <c r="I87" s="505"/>
      <c r="J87" s="505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12.532418977325722</v>
      </c>
      <c r="G88" s="182">
        <f t="shared" si="45"/>
        <v>7.7524189773257222</v>
      </c>
      <c r="H88" s="505"/>
      <c r="I88" s="505"/>
      <c r="J88" s="505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12.221294475514616</v>
      </c>
      <c r="G89" s="182">
        <f t="shared" si="45"/>
        <v>7.4412944755146162</v>
      </c>
      <c r="H89" s="505"/>
      <c r="I89" s="505"/>
      <c r="J89" s="505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232</v>
      </c>
      <c r="D90" s="181">
        <v>45</v>
      </c>
      <c r="E90" s="249">
        <f t="shared" si="43"/>
        <v>3.125E-2</v>
      </c>
      <c r="F90" s="182">
        <f t="shared" si="44"/>
        <v>11.922656199733128</v>
      </c>
      <c r="G90" s="182">
        <f t="shared" si="45"/>
        <v>7.1426561997331275</v>
      </c>
      <c r="H90" s="505"/>
      <c r="I90" s="505"/>
      <c r="J90" s="505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11.636003045633791</v>
      </c>
      <c r="G91" s="182">
        <f t="shared" si="45"/>
        <v>6.8560030456337904</v>
      </c>
      <c r="H91" s="505"/>
      <c r="I91" s="505"/>
      <c r="J91" s="505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11.360854019474726</v>
      </c>
      <c r="G92" s="182">
        <f t="shared" si="45"/>
        <v>6.5808540194747245</v>
      </c>
      <c r="H92" s="505"/>
      <c r="I92" s="505"/>
      <c r="J92" s="505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44003.458333333328</v>
      </c>
      <c r="D93" s="181">
        <v>60</v>
      </c>
      <c r="E93" s="249">
        <f t="shared" si="43"/>
        <v>4.1666666666666664E-2</v>
      </c>
      <c r="F93" s="182">
        <f t="shared" si="44"/>
        <v>11.096747431029346</v>
      </c>
      <c r="G93" s="182">
        <f>H134</f>
        <v>6.3167474310293468</v>
      </c>
      <c r="H93" s="505"/>
      <c r="I93" s="505"/>
      <c r="J93" s="505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10.843240118886687</v>
      </c>
      <c r="G94" s="182">
        <f>H135</f>
        <v>6.0632401188866867</v>
      </c>
      <c r="H94" s="505"/>
      <c r="I94" s="505"/>
      <c r="J94" s="505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10.599906706842376</v>
      </c>
      <c r="G95" s="182">
        <f>H136</f>
        <v>5.8199067068423762</v>
      </c>
      <c r="H95" s="505"/>
      <c r="I95" s="505"/>
      <c r="J95" s="505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10.366338890132592</v>
      </c>
      <c r="G96" s="182">
        <f>H137</f>
        <v>5.586338890132593</v>
      </c>
      <c r="H96" s="505"/>
      <c r="I96" s="505"/>
      <c r="J96" s="505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44003.5</v>
      </c>
      <c r="D97" s="181">
        <v>120</v>
      </c>
      <c r="E97" s="249">
        <f t="shared" si="43"/>
        <v>8.3333333333333329E-2</v>
      </c>
      <c r="F97" s="182">
        <f t="shared" si="44"/>
        <v>9.7203878398099093</v>
      </c>
      <c r="G97" s="182">
        <f>H138</f>
        <v>4.9403878398099081</v>
      </c>
      <c r="H97" s="505"/>
      <c r="I97" s="505"/>
      <c r="J97" s="505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232</v>
      </c>
      <c r="D98" s="181">
        <v>180</v>
      </c>
      <c r="E98" s="249">
        <f t="shared" si="43"/>
        <v>0.125</v>
      </c>
      <c r="F98" s="182">
        <f t="shared" si="44"/>
        <v>9.5221173761120426</v>
      </c>
      <c r="G98" s="182">
        <f>H140</f>
        <v>4.7421173761120414</v>
      </c>
      <c r="H98" s="505"/>
      <c r="I98" s="505"/>
      <c r="J98" s="505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44003.583333333328</v>
      </c>
      <c r="D99" s="181">
        <v>240</v>
      </c>
      <c r="E99" s="249">
        <f t="shared" si="43"/>
        <v>0.16666666666666666</v>
      </c>
      <c r="F99" s="182">
        <f t="shared" si="44"/>
        <v>8.4888547984065106</v>
      </c>
      <c r="G99" s="182">
        <f>H142</f>
        <v>3.7088547984065103</v>
      </c>
      <c r="H99" s="505"/>
      <c r="I99" s="505"/>
      <c r="J99" s="505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232</v>
      </c>
      <c r="D100" s="181">
        <v>300</v>
      </c>
      <c r="E100" s="249">
        <f t="shared" si="43"/>
        <v>0.20833333333333334</v>
      </c>
      <c r="F100" s="182">
        <f t="shared" si="44"/>
        <v>7.6807303752023373</v>
      </c>
      <c r="G100" s="182">
        <f>H144</f>
        <v>2.9007303752023366</v>
      </c>
      <c r="H100" s="505"/>
      <c r="I100" s="505"/>
      <c r="J100" s="505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44003.666666666664</v>
      </c>
      <c r="D101" s="181">
        <v>360</v>
      </c>
      <c r="E101" s="249">
        <f t="shared" si="43"/>
        <v>0.25</v>
      </c>
      <c r="F101" s="278">
        <f t="shared" si="44"/>
        <v>7.0486886295027293</v>
      </c>
      <c r="G101" s="242">
        <f>H146</f>
        <v>2.2686886295027286</v>
      </c>
      <c r="H101" s="505"/>
      <c r="I101" s="505"/>
      <c r="J101" s="505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60.099999999999994</v>
      </c>
      <c r="F110" s="243" t="s">
        <v>180</v>
      </c>
      <c r="H110" s="245" t="s">
        <v>181</v>
      </c>
      <c r="I110" s="411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60.099999999999994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48.9700726592854</v>
      </c>
      <c r="I111" s="412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60.099999999999994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43.307639625636632</v>
      </c>
      <c r="I112" s="412"/>
      <c r="J112" s="13">
        <f>H111-H112</f>
        <v>5.6624330336487674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60.099999999999994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38.29995644469156</v>
      </c>
      <c r="I113" s="412"/>
      <c r="J113" s="13">
        <f t="shared" ref="J113:J146" si="51">H112-H113</f>
        <v>5.0076831809450724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60.099999999999994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33.871314076348874</v>
      </c>
      <c r="I114" s="413"/>
      <c r="J114" s="13">
        <f t="shared" si="51"/>
        <v>4.4286423683426861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60.099999999999994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29.954757753195366</v>
      </c>
      <c r="I115" s="413"/>
      <c r="J115" s="13">
        <f t="shared" si="51"/>
        <v>3.9165563231535074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60.099999999999994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26.491074719748227</v>
      </c>
      <c r="I116" s="413"/>
      <c r="J116" s="13">
        <f t="shared" si="51"/>
        <v>3.4636830334471398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60.099999999999994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23.427899019895193</v>
      </c>
      <c r="I117" s="413"/>
      <c r="J117" s="13">
        <f t="shared" si="51"/>
        <v>3.0631756998530335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60.099999999999994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20.71891979819317</v>
      </c>
      <c r="I118" s="413"/>
      <c r="J118" s="13">
        <f t="shared" si="51"/>
        <v>2.7089792217020232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60.099999999999994</v>
      </c>
      <c r="E119" s="15">
        <f t="shared" si="49"/>
        <v>0.71</v>
      </c>
      <c r="F119" s="54"/>
      <c r="G119" s="3">
        <v>9</v>
      </c>
      <c r="H119" s="248">
        <f t="shared" si="47"/>
        <v>18.323181145668148</v>
      </c>
      <c r="I119" s="414"/>
      <c r="J119" s="13">
        <f t="shared" si="51"/>
        <v>2.3957386525250222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60.099999999999994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16.204462904781725</v>
      </c>
      <c r="I120" s="412"/>
      <c r="J120" s="13">
        <f t="shared" si="51"/>
        <v>2.1187182408864231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60.099999999999994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14.330733072216853</v>
      </c>
      <c r="I121" s="413"/>
      <c r="J121" s="13">
        <f t="shared" si="51"/>
        <v>1.8737298325648712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60.099999999999994</v>
      </c>
      <c r="E122" s="15">
        <f t="shared" si="49"/>
        <v>0.62</v>
      </c>
      <c r="F122" s="54"/>
      <c r="G122" s="3">
        <v>14</v>
      </c>
      <c r="H122" s="246">
        <f t="shared" si="47"/>
        <v>12.67366352059271</v>
      </c>
      <c r="I122" s="412"/>
      <c r="J122" s="13">
        <f t="shared" si="51"/>
        <v>1.6570695516241436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60.099999999999994</v>
      </c>
      <c r="E123" s="15">
        <f t="shared" si="49"/>
        <v>0.37</v>
      </c>
      <c r="F123" s="54"/>
      <c r="G123" s="3">
        <v>15</v>
      </c>
      <c r="H123" s="246">
        <f t="shared" si="47"/>
        <v>4.5518040157934267</v>
      </c>
      <c r="I123" s="412"/>
      <c r="J123" s="13">
        <f t="shared" si="51"/>
        <v>8.1218595047992821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60.099999999999994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13.203556170579969</v>
      </c>
      <c r="I124" s="413"/>
      <c r="J124" s="13">
        <f t="shared" si="51"/>
        <v>-8.6517521547865428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60.099999999999994</v>
      </c>
      <c r="E125" s="15">
        <f t="shared" si="49"/>
        <v>0.6</v>
      </c>
      <c r="F125" s="54"/>
      <c r="G125" s="3">
        <v>18</v>
      </c>
      <c r="H125" s="246">
        <f t="shared" si="47"/>
        <v>11.676822625745155</v>
      </c>
      <c r="I125" s="412"/>
      <c r="J125" s="13">
        <f t="shared" si="51"/>
        <v>1.5267335448348138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60.099999999999994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10.326626014355407</v>
      </c>
      <c r="I126" s="413"/>
      <c r="J126" s="13">
        <f t="shared" si="51"/>
        <v>1.3501966113897481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60.099999999999994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9.1325532859635015</v>
      </c>
      <c r="I127" s="413"/>
      <c r="J127" s="13">
        <f t="shared" si="51"/>
        <v>1.1940727283919053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60.099999999999994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8.0765517609546915</v>
      </c>
      <c r="I128" s="413"/>
      <c r="J128" s="13">
        <f t="shared" si="51"/>
        <v>1.0560015250088099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60.099999999999994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7.7524189773257222</v>
      </c>
      <c r="I129" s="413"/>
      <c r="J129" s="13">
        <f t="shared" si="51"/>
        <v>0.32413278362896936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60.099999999999994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7.4412944755146162</v>
      </c>
      <c r="I130" s="413"/>
      <c r="J130" s="13">
        <f t="shared" si="51"/>
        <v>0.31112450181110596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60.099999999999994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7.1426561997331275</v>
      </c>
      <c r="I131" s="413"/>
      <c r="J131" s="13">
        <f t="shared" si="51"/>
        <v>0.29863827578148872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60.099999999999994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6.8560030456337904</v>
      </c>
      <c r="I132" s="413"/>
      <c r="J132" s="13">
        <f t="shared" si="51"/>
        <v>0.28665315409933712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60.099999999999994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6.5808540194747245</v>
      </c>
      <c r="I133" s="413"/>
      <c r="J133" s="13">
        <f t="shared" si="51"/>
        <v>0.27514902615906589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60.099999999999994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6.3167474310293468</v>
      </c>
      <c r="I134" s="413"/>
      <c r="J134" s="13">
        <f t="shared" si="51"/>
        <v>0.26410658844537771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60.099999999999994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6.0632401188866867</v>
      </c>
      <c r="I135" s="413"/>
      <c r="J135" s="13">
        <f t="shared" si="51"/>
        <v>0.25350731214266009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60.099999999999994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5.8199067068423762</v>
      </c>
      <c r="I136" s="413"/>
      <c r="J136" s="13">
        <f t="shared" si="51"/>
        <v>0.24333341204431047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60.099999999999994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5.586338890132593</v>
      </c>
      <c r="I137" s="413"/>
      <c r="J137" s="13">
        <f t="shared" si="51"/>
        <v>0.23356781670978322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60.099999999999994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4.9403878398099081</v>
      </c>
      <c r="I138" s="413"/>
      <c r="J138" s="13">
        <f t="shared" si="51"/>
        <v>0.64595105032268485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60.099999999999994</v>
      </c>
      <c r="E139" s="15">
        <f t="shared" si="49"/>
        <v>0.36</v>
      </c>
      <c r="F139" s="54"/>
      <c r="G139" s="3">
        <v>150</v>
      </c>
      <c r="H139" s="246">
        <f t="shared" si="47"/>
        <v>4.3691284198410454</v>
      </c>
      <c r="I139" s="412"/>
      <c r="J139" s="13">
        <f t="shared" si="51"/>
        <v>0.57125941996886276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60.099999999999994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4.7421173761120414</v>
      </c>
      <c r="I140" s="413"/>
      <c r="J140" s="13">
        <f t="shared" si="51"/>
        <v>-0.37298895627099604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60.099999999999994</v>
      </c>
      <c r="E141" s="15">
        <f t="shared" si="49"/>
        <v>0.35</v>
      </c>
      <c r="F141" s="54"/>
      <c r="G141" s="3">
        <v>210</v>
      </c>
      <c r="H141" s="246">
        <f t="shared" si="47"/>
        <v>4.1937840651373595</v>
      </c>
      <c r="I141" s="412"/>
      <c r="J141" s="13">
        <f t="shared" si="51"/>
        <v>0.54833331097468196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60.099999999999994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3.7088547984065103</v>
      </c>
      <c r="I142" s="413"/>
      <c r="J142" s="13">
        <f t="shared" si="51"/>
        <v>0.48492926673084913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60.099999999999994</v>
      </c>
      <c r="E143" s="15">
        <f>C143/100</f>
        <v>0.28999999999999998</v>
      </c>
      <c r="F143" s="54"/>
      <c r="G143" s="3">
        <v>270</v>
      </c>
      <c r="H143" s="246">
        <f t="shared" si="47"/>
        <v>3.2799981358154309</v>
      </c>
      <c r="I143" s="412"/>
      <c r="J143" s="13">
        <f t="shared" si="51"/>
        <v>0.42885666259107946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60.099999999999994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2.9007303752023366</v>
      </c>
      <c r="I144" s="413"/>
      <c r="J144" s="13">
        <f t="shared" si="51"/>
        <v>0.37926776061309431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60.099999999999994</v>
      </c>
      <c r="E145" s="15">
        <f>C145/100</f>
        <v>0.23</v>
      </c>
      <c r="F145" s="54"/>
      <c r="G145" s="3">
        <v>330</v>
      </c>
      <c r="H145" s="246">
        <f t="shared" si="47"/>
        <v>2.5653175280020841</v>
      </c>
      <c r="I145" s="412"/>
      <c r="J145" s="13">
        <f t="shared" si="51"/>
        <v>0.33541284720025244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60.099999999999994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2.2686886295027286</v>
      </c>
      <c r="I146" s="413"/>
      <c r="J146" s="13">
        <f t="shared" si="51"/>
        <v>0.29662889849935548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18</xdr:col>
                <xdr:colOff>495300</xdr:colOff>
                <xdr:row>22</xdr:row>
                <xdr:rowOff>9525</xdr:rowOff>
              </from>
              <to>
                <xdr:col>20</xdr:col>
                <xdr:colOff>457200</xdr:colOff>
                <xdr:row>31</xdr:row>
                <xdr:rowOff>95250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18</xdr:col>
                <xdr:colOff>285750</xdr:colOff>
                <xdr:row>33</xdr:row>
                <xdr:rowOff>209550</xdr:rowOff>
              </from>
              <to>
                <xdr:col>20</xdr:col>
                <xdr:colOff>657225</xdr:colOff>
                <xdr:row>35</xdr:row>
                <xdr:rowOff>95250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18</xdr:col>
                <xdr:colOff>285750</xdr:colOff>
                <xdr:row>31</xdr:row>
                <xdr:rowOff>219075</xdr:rowOff>
              </from>
              <to>
                <xdr:col>20</xdr:col>
                <xdr:colOff>657225</xdr:colOff>
                <xdr:row>33</xdr:row>
                <xdr:rowOff>104775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18</xdr:col>
                <xdr:colOff>276225</xdr:colOff>
                <xdr:row>18</xdr:row>
                <xdr:rowOff>28575</xdr:rowOff>
              </from>
              <to>
                <xdr:col>20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18</xdr:col>
                <xdr:colOff>276225</xdr:colOff>
                <xdr:row>16</xdr:row>
                <xdr:rowOff>66675</xdr:rowOff>
              </from>
              <to>
                <xdr:col>20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18</xdr:col>
                <xdr:colOff>276225</xdr:colOff>
                <xdr:row>19</xdr:row>
                <xdr:rowOff>247650</xdr:rowOff>
              </from>
              <to>
                <xdr:col>20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201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1.71</v>
      </c>
      <c r="C8" t="s">
        <v>88</v>
      </c>
      <c r="D8" s="69" t="s">
        <v>78</v>
      </c>
      <c r="E8" s="70">
        <f>입력표!C26</f>
        <v>201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78.400000000000006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70.88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4.7160000000000002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75.099999999999994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입력표!M46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2" x14ac:dyDescent="0.3">
      <c r="A17" s="453">
        <v>0</v>
      </c>
      <c r="B17" s="453"/>
    </row>
    <row r="18" spans="1:2" x14ac:dyDescent="0.3">
      <c r="A18" s="453">
        <f>입력표!N45/2/1000</f>
        <v>0.125</v>
      </c>
      <c r="B18" s="453"/>
    </row>
    <row r="19" spans="1:2" x14ac:dyDescent="0.3">
      <c r="A19" s="453">
        <f>입력표!M44/2/1000</f>
        <v>0.125</v>
      </c>
      <c r="B19" s="453"/>
    </row>
    <row r="20" spans="1:2" x14ac:dyDescent="0.3">
      <c r="A20" s="453">
        <v>0</v>
      </c>
      <c r="B20" s="453"/>
    </row>
    <row r="21" spans="1:2" x14ac:dyDescent="0.3">
      <c r="A21" s="453">
        <v>0</v>
      </c>
      <c r="B21" s="453"/>
    </row>
    <row r="22" spans="1:2" x14ac:dyDescent="0.3">
      <c r="A22" s="453">
        <v>1</v>
      </c>
      <c r="B22" s="453"/>
    </row>
    <row r="23" spans="1:2" x14ac:dyDescent="0.3">
      <c r="A23" s="453">
        <v>5</v>
      </c>
      <c r="B23" s="453"/>
    </row>
    <row r="24" spans="1:2" x14ac:dyDescent="0.3">
      <c r="A24" s="455">
        <v>0</v>
      </c>
      <c r="B24" s="455">
        <f>입력표!D3</f>
        <v>125</v>
      </c>
    </row>
    <row r="25" spans="1:2" x14ac:dyDescent="0.3">
      <c r="A25" s="455">
        <f>단계양수시험!D31</f>
        <v>120</v>
      </c>
      <c r="B25" s="455">
        <f>입력표!D4</f>
        <v>159</v>
      </c>
    </row>
    <row r="26" spans="1:2" x14ac:dyDescent="0.3">
      <c r="A26" s="455">
        <f>단계양수시험!D36</f>
        <v>240</v>
      </c>
      <c r="B26" s="455">
        <f>입력표!D5</f>
        <v>193.79999999999998</v>
      </c>
    </row>
    <row r="27" spans="1:2" x14ac:dyDescent="0.3">
      <c r="A27" s="455">
        <f>단계양수시험!D41</f>
        <v>360</v>
      </c>
      <c r="B27" s="455">
        <f>입력표!D6</f>
        <v>228</v>
      </c>
    </row>
    <row r="28" spans="1:2" x14ac:dyDescent="0.3">
      <c r="A28" s="455">
        <f>단계양수시험!D46</f>
        <v>480</v>
      </c>
      <c r="B28" s="455">
        <f>입력표!D7</f>
        <v>262.2</v>
      </c>
    </row>
    <row r="29" spans="1:2" x14ac:dyDescent="0.3">
      <c r="A29" s="453" t="s">
        <v>104</v>
      </c>
      <c r="B29" s="453"/>
    </row>
    <row r="30" spans="1:2" x14ac:dyDescent="0.3">
      <c r="A30" s="453" t="str">
        <f>A15</f>
        <v>W-1</v>
      </c>
      <c r="B30" s="453"/>
    </row>
    <row r="31" spans="1:2" x14ac:dyDescent="0.3">
      <c r="A31" s="456">
        <f>A19</f>
        <v>0.125</v>
      </c>
      <c r="B31" s="453"/>
    </row>
    <row r="32" spans="1:2" x14ac:dyDescent="0.3">
      <c r="A32" s="453">
        <v>0</v>
      </c>
      <c r="B32" s="453"/>
    </row>
    <row r="33" spans="1:3" x14ac:dyDescent="0.3">
      <c r="A33" s="453">
        <v>0</v>
      </c>
      <c r="B33" s="453"/>
    </row>
    <row r="34" spans="1:3" x14ac:dyDescent="0.3">
      <c r="A34" s="455">
        <f>SUM(C35:C134)</f>
        <v>100</v>
      </c>
      <c r="B34" s="453"/>
    </row>
    <row r="35" spans="1:3" x14ac:dyDescent="0.3">
      <c r="A35" s="453">
        <f>Sheet1!A1</f>
        <v>1</v>
      </c>
      <c r="B35" s="454">
        <f>Sheet1!B1</f>
        <v>2.4</v>
      </c>
      <c r="C35" s="455">
        <v>1</v>
      </c>
    </row>
    <row r="36" spans="1:3" x14ac:dyDescent="0.3">
      <c r="A36" s="453">
        <f>Sheet1!A2</f>
        <v>2</v>
      </c>
      <c r="B36" s="454">
        <f>Sheet1!B2</f>
        <v>4.49</v>
      </c>
      <c r="C36" s="455">
        <v>1</v>
      </c>
    </row>
    <row r="37" spans="1:3" x14ac:dyDescent="0.3">
      <c r="A37" s="453">
        <f>Sheet1!A3</f>
        <v>3</v>
      </c>
      <c r="B37" s="454">
        <f>Sheet1!B3</f>
        <v>6.54</v>
      </c>
      <c r="C37" s="455">
        <v>1</v>
      </c>
    </row>
    <row r="38" spans="1:3" x14ac:dyDescent="0.3">
      <c r="A38" s="453">
        <f>Sheet1!A4</f>
        <v>4</v>
      </c>
      <c r="B38" s="454">
        <f>Sheet1!B4</f>
        <v>7.99</v>
      </c>
      <c r="C38" s="455">
        <v>1</v>
      </c>
    </row>
    <row r="39" spans="1:3" x14ac:dyDescent="0.3">
      <c r="A39" s="453">
        <f>Sheet1!A5</f>
        <v>5</v>
      </c>
      <c r="B39" s="454">
        <f>Sheet1!B5</f>
        <v>9.11</v>
      </c>
      <c r="C39" s="455">
        <v>1</v>
      </c>
    </row>
    <row r="40" spans="1:3" x14ac:dyDescent="0.3">
      <c r="A40" s="453">
        <f>Sheet1!A6</f>
        <v>10</v>
      </c>
      <c r="B40" s="454">
        <f>Sheet1!B6</f>
        <v>12.61</v>
      </c>
      <c r="C40" s="455">
        <v>1</v>
      </c>
    </row>
    <row r="41" spans="1:3" x14ac:dyDescent="0.3">
      <c r="A41" s="453">
        <f>Sheet1!A7</f>
        <v>15</v>
      </c>
      <c r="B41" s="454">
        <f>Sheet1!B7</f>
        <v>14.66</v>
      </c>
      <c r="C41" s="455">
        <v>1</v>
      </c>
    </row>
    <row r="42" spans="1:3" x14ac:dyDescent="0.3">
      <c r="A42" s="453">
        <f>Sheet1!A8</f>
        <v>20</v>
      </c>
      <c r="B42" s="454">
        <f>Sheet1!B8</f>
        <v>16.11</v>
      </c>
      <c r="C42" s="455">
        <v>1</v>
      </c>
    </row>
    <row r="43" spans="1:3" x14ac:dyDescent="0.3">
      <c r="A43" s="453">
        <f>Sheet1!A9</f>
        <v>25</v>
      </c>
      <c r="B43" s="454">
        <f>Sheet1!B9</f>
        <v>17.23</v>
      </c>
      <c r="C43" s="455">
        <v>1</v>
      </c>
    </row>
    <row r="44" spans="1:3" x14ac:dyDescent="0.3">
      <c r="A44" s="453">
        <f>Sheet1!A10</f>
        <v>30</v>
      </c>
      <c r="B44" s="454">
        <f>Sheet1!B10</f>
        <v>18.149999999999999</v>
      </c>
      <c r="C44" s="455">
        <v>1</v>
      </c>
    </row>
    <row r="45" spans="1:3" x14ac:dyDescent="0.3">
      <c r="A45" s="453">
        <f>Sheet1!A11</f>
        <v>35</v>
      </c>
      <c r="B45" s="454">
        <f>Sheet1!B11</f>
        <v>18.93</v>
      </c>
      <c r="C45" s="455">
        <v>1</v>
      </c>
    </row>
    <row r="46" spans="1:3" x14ac:dyDescent="0.3">
      <c r="A46" s="453">
        <f>Sheet1!A12</f>
        <v>40</v>
      </c>
      <c r="B46" s="454">
        <f>Sheet1!B12</f>
        <v>19.600000000000001</v>
      </c>
      <c r="C46" s="455">
        <v>1</v>
      </c>
    </row>
    <row r="47" spans="1:3" x14ac:dyDescent="0.3">
      <c r="A47" s="453">
        <f>Sheet1!A13</f>
        <v>45</v>
      </c>
      <c r="B47" s="454">
        <f>Sheet1!B13</f>
        <v>20.2</v>
      </c>
      <c r="C47" s="455">
        <v>1</v>
      </c>
    </row>
    <row r="48" spans="1:3" x14ac:dyDescent="0.3">
      <c r="A48" s="453">
        <f>Sheet1!A14</f>
        <v>50</v>
      </c>
      <c r="B48" s="454">
        <f>Sheet1!B14</f>
        <v>20.73</v>
      </c>
      <c r="C48" s="455">
        <v>1</v>
      </c>
    </row>
    <row r="49" spans="1:3" x14ac:dyDescent="0.3">
      <c r="A49" s="453">
        <f>Sheet1!A15</f>
        <v>55</v>
      </c>
      <c r="B49" s="454">
        <f>Sheet1!B15</f>
        <v>21.21</v>
      </c>
      <c r="C49" s="455">
        <v>1</v>
      </c>
    </row>
    <row r="50" spans="1:3" x14ac:dyDescent="0.3">
      <c r="A50" s="453">
        <f>Sheet1!A16</f>
        <v>60</v>
      </c>
      <c r="B50" s="454">
        <f>Sheet1!B16</f>
        <v>21.65</v>
      </c>
      <c r="C50" s="455">
        <v>1</v>
      </c>
    </row>
    <row r="51" spans="1:3" x14ac:dyDescent="0.3">
      <c r="A51" s="453">
        <f>Sheet1!A17</f>
        <v>75</v>
      </c>
      <c r="B51" s="454">
        <f>Sheet1!B17</f>
        <v>22.77</v>
      </c>
      <c r="C51" s="455">
        <v>1</v>
      </c>
    </row>
    <row r="52" spans="1:3" x14ac:dyDescent="0.3">
      <c r="A52" s="453">
        <f>Sheet1!A18</f>
        <v>90</v>
      </c>
      <c r="B52" s="454">
        <f>Sheet1!B18</f>
        <v>23.69</v>
      </c>
      <c r="C52" s="455">
        <v>1</v>
      </c>
    </row>
    <row r="53" spans="1:3" x14ac:dyDescent="0.3">
      <c r="A53" s="453">
        <f>Sheet1!A19</f>
        <v>105</v>
      </c>
      <c r="B53" s="454">
        <f>Sheet1!B19</f>
        <v>24.47</v>
      </c>
      <c r="C53" s="455">
        <v>1</v>
      </c>
    </row>
    <row r="54" spans="1:3" x14ac:dyDescent="0.3">
      <c r="A54" s="453">
        <f>Sheet1!A20</f>
        <v>120</v>
      </c>
      <c r="B54" s="454">
        <f>Sheet1!B20</f>
        <v>25.15</v>
      </c>
      <c r="C54" s="455">
        <v>1</v>
      </c>
    </row>
    <row r="55" spans="1:3" x14ac:dyDescent="0.3">
      <c r="A55" s="453">
        <f>Sheet1!A21</f>
        <v>121</v>
      </c>
      <c r="B55" s="454">
        <f>Sheet1!B21</f>
        <v>25.31</v>
      </c>
      <c r="C55" s="455">
        <v>1</v>
      </c>
    </row>
    <row r="56" spans="1:3" x14ac:dyDescent="0.3">
      <c r="A56" s="453">
        <f>Sheet1!A22</f>
        <v>122</v>
      </c>
      <c r="B56" s="454">
        <f>Sheet1!B22</f>
        <v>25.459999999999997</v>
      </c>
      <c r="C56" s="455">
        <v>1</v>
      </c>
    </row>
    <row r="57" spans="1:3" x14ac:dyDescent="0.3">
      <c r="A57" s="453">
        <f>Sheet1!A23</f>
        <v>123</v>
      </c>
      <c r="B57" s="454">
        <f>Sheet1!B23</f>
        <v>25.599999999999998</v>
      </c>
      <c r="C57" s="455">
        <v>1</v>
      </c>
    </row>
    <row r="58" spans="1:3" x14ac:dyDescent="0.3">
      <c r="A58" s="453">
        <f>Sheet1!A24</f>
        <v>124</v>
      </c>
      <c r="B58" s="454">
        <f>Sheet1!B24</f>
        <v>25.729999999999997</v>
      </c>
      <c r="C58" s="455">
        <v>1</v>
      </c>
    </row>
    <row r="59" spans="1:3" x14ac:dyDescent="0.3">
      <c r="A59" s="453">
        <f>Sheet1!A25</f>
        <v>125</v>
      </c>
      <c r="B59" s="454">
        <f>Sheet1!B25</f>
        <v>25.859999999999996</v>
      </c>
      <c r="C59" s="455">
        <v>1</v>
      </c>
    </row>
    <row r="60" spans="1:3" x14ac:dyDescent="0.3">
      <c r="A60" s="453">
        <f>Sheet1!A26</f>
        <v>130</v>
      </c>
      <c r="B60" s="454">
        <f>Sheet1!B26</f>
        <v>30.18</v>
      </c>
      <c r="C60" s="455">
        <v>1</v>
      </c>
    </row>
    <row r="61" spans="1:3" x14ac:dyDescent="0.3">
      <c r="A61" s="453">
        <f>Sheet1!A27</f>
        <v>135</v>
      </c>
      <c r="B61" s="454">
        <f>Sheet1!B27</f>
        <v>30.29</v>
      </c>
      <c r="C61" s="455">
        <v>1</v>
      </c>
    </row>
    <row r="62" spans="1:3" x14ac:dyDescent="0.3">
      <c r="A62" s="453">
        <f>Sheet1!A28</f>
        <v>140</v>
      </c>
      <c r="B62" s="454">
        <f>Sheet1!B28</f>
        <v>31.02</v>
      </c>
      <c r="C62" s="455">
        <v>1</v>
      </c>
    </row>
    <row r="63" spans="1:3" x14ac:dyDescent="0.3">
      <c r="A63" s="453">
        <f>Sheet1!A29</f>
        <v>145</v>
      </c>
      <c r="B63" s="454">
        <f>Sheet1!B29</f>
        <v>31.12</v>
      </c>
      <c r="C63" s="455">
        <v>1</v>
      </c>
    </row>
    <row r="64" spans="1:3" x14ac:dyDescent="0.3">
      <c r="A64" s="453">
        <f>Sheet1!A30</f>
        <v>150</v>
      </c>
      <c r="B64" s="454">
        <f>Sheet1!B30</f>
        <v>31.86</v>
      </c>
      <c r="C64" s="455">
        <v>1</v>
      </c>
    </row>
    <row r="65" spans="1:3" x14ac:dyDescent="0.3">
      <c r="A65" s="453">
        <f>Sheet1!A31</f>
        <v>155</v>
      </c>
      <c r="B65" s="454">
        <f>Sheet1!B31</f>
        <v>31.919999999999998</v>
      </c>
      <c r="C65" s="455">
        <v>1</v>
      </c>
    </row>
    <row r="66" spans="1:3" x14ac:dyDescent="0.3">
      <c r="A66" s="453">
        <f>Sheet1!A32</f>
        <v>160</v>
      </c>
      <c r="B66" s="454">
        <f>Sheet1!B32</f>
        <v>31.97</v>
      </c>
      <c r="C66" s="455">
        <v>1</v>
      </c>
    </row>
    <row r="67" spans="1:3" x14ac:dyDescent="0.3">
      <c r="A67" s="453">
        <f>Sheet1!A33</f>
        <v>165</v>
      </c>
      <c r="B67" s="454">
        <f>Sheet1!B33</f>
        <v>32.01</v>
      </c>
      <c r="C67" s="455">
        <v>1</v>
      </c>
    </row>
    <row r="68" spans="1:3" x14ac:dyDescent="0.3">
      <c r="A68" s="453">
        <f>Sheet1!A34</f>
        <v>170</v>
      </c>
      <c r="B68" s="454">
        <f>Sheet1!B34</f>
        <v>32.04</v>
      </c>
      <c r="C68" s="455">
        <v>1</v>
      </c>
    </row>
    <row r="69" spans="1:3" x14ac:dyDescent="0.3">
      <c r="A69" s="453">
        <f>Sheet1!A35</f>
        <v>175</v>
      </c>
      <c r="B69" s="454">
        <f>Sheet1!B35</f>
        <v>32.06</v>
      </c>
      <c r="C69" s="455">
        <v>1</v>
      </c>
    </row>
    <row r="70" spans="1:3" x14ac:dyDescent="0.3">
      <c r="A70" s="453">
        <f>Sheet1!A36</f>
        <v>180</v>
      </c>
      <c r="B70" s="454">
        <f>Sheet1!B36</f>
        <v>32.700000000000003</v>
      </c>
      <c r="C70" s="455">
        <v>1</v>
      </c>
    </row>
    <row r="71" spans="1:3" x14ac:dyDescent="0.3">
      <c r="A71" s="453">
        <f>Sheet1!A37</f>
        <v>195</v>
      </c>
      <c r="B71" s="454">
        <f>Sheet1!B37</f>
        <v>32.770000000000003</v>
      </c>
      <c r="C71" s="455">
        <v>1</v>
      </c>
    </row>
    <row r="72" spans="1:3" x14ac:dyDescent="0.3">
      <c r="A72" s="453">
        <f>Sheet1!A38</f>
        <v>210</v>
      </c>
      <c r="B72" s="454">
        <f>Sheet1!B38</f>
        <v>32.830000000000005</v>
      </c>
      <c r="C72" s="455">
        <v>1</v>
      </c>
    </row>
    <row r="73" spans="1:3" x14ac:dyDescent="0.3">
      <c r="A73" s="453">
        <f>Sheet1!A39</f>
        <v>225</v>
      </c>
      <c r="B73" s="454">
        <f>Sheet1!B39</f>
        <v>32.880000000000003</v>
      </c>
      <c r="C73" s="455">
        <v>1</v>
      </c>
    </row>
    <row r="74" spans="1:3" x14ac:dyDescent="0.3">
      <c r="A74" s="453">
        <f>Sheet1!A40</f>
        <v>240</v>
      </c>
      <c r="B74" s="454">
        <f>Sheet1!B40</f>
        <v>33.54</v>
      </c>
      <c r="C74" s="455">
        <v>1</v>
      </c>
    </row>
    <row r="75" spans="1:3" x14ac:dyDescent="0.3">
      <c r="A75" s="453">
        <f>Sheet1!A41</f>
        <v>241</v>
      </c>
      <c r="B75" s="454">
        <f>Sheet1!B41</f>
        <v>33.72</v>
      </c>
      <c r="C75" s="455">
        <v>1</v>
      </c>
    </row>
    <row r="76" spans="1:3" x14ac:dyDescent="0.3">
      <c r="A76" s="453">
        <f>Sheet1!A42</f>
        <v>242</v>
      </c>
      <c r="B76" s="454">
        <f>Sheet1!B42</f>
        <v>33.879999999999995</v>
      </c>
      <c r="C76" s="455">
        <v>1</v>
      </c>
    </row>
    <row r="77" spans="1:3" x14ac:dyDescent="0.3">
      <c r="A77" s="453">
        <f>Sheet1!A43</f>
        <v>243</v>
      </c>
      <c r="B77" s="454">
        <f>Sheet1!B43</f>
        <v>34.029999999999994</v>
      </c>
      <c r="C77" s="455">
        <v>1</v>
      </c>
    </row>
    <row r="78" spans="1:3" x14ac:dyDescent="0.3">
      <c r="A78" s="453">
        <f>Sheet1!A44</f>
        <v>244</v>
      </c>
      <c r="B78" s="454">
        <f>Sheet1!B44</f>
        <v>34.169999999999995</v>
      </c>
      <c r="C78" s="455">
        <v>1</v>
      </c>
    </row>
    <row r="79" spans="1:3" x14ac:dyDescent="0.3">
      <c r="A79" s="453">
        <f>Sheet1!A45</f>
        <v>245</v>
      </c>
      <c r="B79" s="454">
        <f>Sheet1!B45</f>
        <v>34.299999999999997</v>
      </c>
      <c r="C79" s="455">
        <v>1</v>
      </c>
    </row>
    <row r="80" spans="1:3" x14ac:dyDescent="0.3">
      <c r="A80" s="453">
        <f>Sheet1!A46</f>
        <v>250</v>
      </c>
      <c r="B80" s="454">
        <f>Sheet1!B46</f>
        <v>39.19</v>
      </c>
      <c r="C80" s="455">
        <v>1</v>
      </c>
    </row>
    <row r="81" spans="1:3" x14ac:dyDescent="0.3">
      <c r="A81" s="453">
        <f>Sheet1!A47</f>
        <v>255</v>
      </c>
      <c r="B81" s="454">
        <f>Sheet1!B47</f>
        <v>39.299999999999997</v>
      </c>
      <c r="C81" s="455">
        <v>1</v>
      </c>
    </row>
    <row r="82" spans="1:3" x14ac:dyDescent="0.3">
      <c r="A82" s="453">
        <f>Sheet1!A48</f>
        <v>260</v>
      </c>
      <c r="B82" s="454">
        <f>Sheet1!B48</f>
        <v>40.14</v>
      </c>
      <c r="C82" s="455">
        <v>1</v>
      </c>
    </row>
    <row r="83" spans="1:3" x14ac:dyDescent="0.3">
      <c r="A83" s="453">
        <f>Sheet1!A49</f>
        <v>265</v>
      </c>
      <c r="B83" s="454">
        <f>Sheet1!B49</f>
        <v>40.25</v>
      </c>
      <c r="C83" s="455">
        <v>1</v>
      </c>
    </row>
    <row r="84" spans="1:3" x14ac:dyDescent="0.3">
      <c r="A84" s="453">
        <f>Sheet1!A50</f>
        <v>270</v>
      </c>
      <c r="B84" s="454">
        <f>Sheet1!B50</f>
        <v>41.08</v>
      </c>
      <c r="C84" s="455">
        <v>1</v>
      </c>
    </row>
    <row r="85" spans="1:3" x14ac:dyDescent="0.3">
      <c r="A85" s="453">
        <f>Sheet1!A51</f>
        <v>275</v>
      </c>
      <c r="B85" s="454">
        <f>Sheet1!B51</f>
        <v>41.15</v>
      </c>
      <c r="C85" s="455">
        <v>1</v>
      </c>
    </row>
    <row r="86" spans="1:3" x14ac:dyDescent="0.3">
      <c r="A86" s="453">
        <f>Sheet1!A52</f>
        <v>280</v>
      </c>
      <c r="B86" s="454">
        <f>Sheet1!B52</f>
        <v>41.199999999999996</v>
      </c>
      <c r="C86" s="455">
        <v>1</v>
      </c>
    </row>
    <row r="87" spans="1:3" x14ac:dyDescent="0.3">
      <c r="A87" s="453">
        <f>Sheet1!A53</f>
        <v>285</v>
      </c>
      <c r="B87" s="454">
        <f>Sheet1!B53</f>
        <v>41.239999999999995</v>
      </c>
      <c r="C87" s="455">
        <v>1</v>
      </c>
    </row>
    <row r="88" spans="1:3" x14ac:dyDescent="0.3">
      <c r="A88" s="453">
        <f>Sheet1!A54</f>
        <v>290</v>
      </c>
      <c r="B88" s="454">
        <f>Sheet1!B54</f>
        <v>41.269999999999996</v>
      </c>
      <c r="C88" s="455">
        <v>1</v>
      </c>
    </row>
    <row r="89" spans="1:3" x14ac:dyDescent="0.3">
      <c r="A89" s="453">
        <f>Sheet1!A55</f>
        <v>295</v>
      </c>
      <c r="B89" s="454">
        <f>Sheet1!B55</f>
        <v>41.29</v>
      </c>
      <c r="C89" s="455">
        <v>1</v>
      </c>
    </row>
    <row r="90" spans="1:3" x14ac:dyDescent="0.3">
      <c r="A90" s="453">
        <f>Sheet1!A56</f>
        <v>300</v>
      </c>
      <c r="B90" s="454">
        <f>Sheet1!B56</f>
        <v>42.02</v>
      </c>
      <c r="C90" s="455">
        <v>1</v>
      </c>
    </row>
    <row r="91" spans="1:3" x14ac:dyDescent="0.3">
      <c r="A91" s="453">
        <f>Sheet1!A57</f>
        <v>315</v>
      </c>
      <c r="B91" s="454">
        <f>Sheet1!B57</f>
        <v>42.1</v>
      </c>
      <c r="C91" s="455">
        <v>1</v>
      </c>
    </row>
    <row r="92" spans="1:3" x14ac:dyDescent="0.3">
      <c r="A92" s="453">
        <f>Sheet1!A58</f>
        <v>330</v>
      </c>
      <c r="B92" s="454">
        <f>Sheet1!B58</f>
        <v>42.160000000000004</v>
      </c>
      <c r="C92" s="455">
        <v>1</v>
      </c>
    </row>
    <row r="93" spans="1:3" x14ac:dyDescent="0.3">
      <c r="A93" s="453">
        <f>Sheet1!A59</f>
        <v>345</v>
      </c>
      <c r="B93" s="454">
        <f>Sheet1!B59</f>
        <v>42.21</v>
      </c>
      <c r="C93" s="455">
        <v>1</v>
      </c>
    </row>
    <row r="94" spans="1:3" x14ac:dyDescent="0.3">
      <c r="A94" s="453">
        <f>Sheet1!A60</f>
        <v>360</v>
      </c>
      <c r="B94" s="454">
        <f>Sheet1!B60</f>
        <v>42.97</v>
      </c>
      <c r="C94" s="455">
        <v>1</v>
      </c>
    </row>
    <row r="95" spans="1:3" x14ac:dyDescent="0.3">
      <c r="A95" s="453">
        <f>Sheet1!A61</f>
        <v>361</v>
      </c>
      <c r="B95" s="454">
        <f>Sheet1!B61</f>
        <v>43.16</v>
      </c>
      <c r="C95" s="455">
        <v>1</v>
      </c>
    </row>
    <row r="96" spans="1:3" x14ac:dyDescent="0.3">
      <c r="A96" s="453">
        <f>Sheet1!A62</f>
        <v>362</v>
      </c>
      <c r="B96" s="454">
        <f>Sheet1!B62</f>
        <v>43.33</v>
      </c>
      <c r="C96" s="455">
        <v>1</v>
      </c>
    </row>
    <row r="97" spans="1:3" x14ac:dyDescent="0.3">
      <c r="A97" s="453">
        <f>Sheet1!A63</f>
        <v>363</v>
      </c>
      <c r="B97" s="454">
        <f>Sheet1!B63</f>
        <v>43.489999999999995</v>
      </c>
      <c r="C97" s="455">
        <v>1</v>
      </c>
    </row>
    <row r="98" spans="1:3" x14ac:dyDescent="0.3">
      <c r="A98" s="453">
        <f>Sheet1!A64</f>
        <v>364</v>
      </c>
      <c r="B98" s="454">
        <f>Sheet1!B64</f>
        <v>43.639999999999993</v>
      </c>
      <c r="C98" s="455">
        <v>1</v>
      </c>
    </row>
    <row r="99" spans="1:3" x14ac:dyDescent="0.3">
      <c r="A99" s="453">
        <f>Sheet1!A65</f>
        <v>365</v>
      </c>
      <c r="B99" s="454">
        <f>Sheet1!B65</f>
        <v>43.779999999999994</v>
      </c>
      <c r="C99" s="455">
        <v>1</v>
      </c>
    </row>
    <row r="100" spans="1:3" x14ac:dyDescent="0.3">
      <c r="A100" s="453">
        <f>Sheet1!A66</f>
        <v>370</v>
      </c>
      <c r="B100" s="454">
        <f>Sheet1!B66</f>
        <v>49.27</v>
      </c>
      <c r="C100" s="455">
        <v>1</v>
      </c>
    </row>
    <row r="101" spans="1:3" x14ac:dyDescent="0.3">
      <c r="A101" s="453">
        <f>Sheet1!A67</f>
        <v>375</v>
      </c>
      <c r="B101" s="454">
        <f>Sheet1!B67</f>
        <v>49.39</v>
      </c>
      <c r="C101" s="455">
        <v>1</v>
      </c>
    </row>
    <row r="102" spans="1:3" x14ac:dyDescent="0.3">
      <c r="A102" s="453">
        <f>Sheet1!A68</f>
        <v>380</v>
      </c>
      <c r="B102" s="454">
        <f>Sheet1!B68</f>
        <v>50.32</v>
      </c>
      <c r="C102" s="455">
        <v>1</v>
      </c>
    </row>
    <row r="103" spans="1:3" x14ac:dyDescent="0.3">
      <c r="A103" s="453">
        <f>Sheet1!A69</f>
        <v>385</v>
      </c>
      <c r="B103" s="454">
        <f>Sheet1!B69</f>
        <v>50.44</v>
      </c>
      <c r="C103" s="455">
        <v>1</v>
      </c>
    </row>
    <row r="104" spans="1:3" x14ac:dyDescent="0.3">
      <c r="A104" s="453">
        <f>Sheet1!A70</f>
        <v>390</v>
      </c>
      <c r="B104" s="454">
        <f>Sheet1!B70</f>
        <v>51.37</v>
      </c>
      <c r="C104" s="455">
        <v>1</v>
      </c>
    </row>
    <row r="105" spans="1:3" x14ac:dyDescent="0.3">
      <c r="A105" s="453">
        <f>Sheet1!A71</f>
        <v>395</v>
      </c>
      <c r="B105" s="454">
        <f>Sheet1!B71</f>
        <v>51.44</v>
      </c>
      <c r="C105" s="455">
        <v>1</v>
      </c>
    </row>
    <row r="106" spans="1:3" x14ac:dyDescent="0.3">
      <c r="A106" s="453">
        <f>Sheet1!A72</f>
        <v>400</v>
      </c>
      <c r="B106" s="454">
        <f>Sheet1!B72</f>
        <v>51.489999999999995</v>
      </c>
      <c r="C106" s="455">
        <v>1</v>
      </c>
    </row>
    <row r="107" spans="1:3" x14ac:dyDescent="0.3">
      <c r="A107" s="453">
        <f>Sheet1!A73</f>
        <v>405</v>
      </c>
      <c r="B107" s="454">
        <f>Sheet1!B73</f>
        <v>51.529999999999994</v>
      </c>
      <c r="C107" s="455">
        <v>1</v>
      </c>
    </row>
    <row r="108" spans="1:3" x14ac:dyDescent="0.3">
      <c r="A108" s="453">
        <f>Sheet1!A74</f>
        <v>410</v>
      </c>
      <c r="B108" s="454">
        <f>Sheet1!B74</f>
        <v>51.559999999999995</v>
      </c>
      <c r="C108" s="455">
        <v>1</v>
      </c>
    </row>
    <row r="109" spans="1:3" x14ac:dyDescent="0.3">
      <c r="A109" s="453">
        <f>Sheet1!A75</f>
        <v>415</v>
      </c>
      <c r="B109" s="454">
        <f>Sheet1!B75</f>
        <v>51.589999999999996</v>
      </c>
      <c r="C109" s="455">
        <v>1</v>
      </c>
    </row>
    <row r="110" spans="1:3" x14ac:dyDescent="0.3">
      <c r="A110" s="453">
        <f>Sheet1!A76</f>
        <v>420</v>
      </c>
      <c r="B110" s="454">
        <f>Sheet1!B76</f>
        <v>52.42</v>
      </c>
      <c r="C110" s="455">
        <v>1</v>
      </c>
    </row>
    <row r="111" spans="1:3" x14ac:dyDescent="0.3">
      <c r="A111" s="453">
        <f>Sheet1!A77</f>
        <v>435</v>
      </c>
      <c r="B111" s="454">
        <f>Sheet1!B77</f>
        <v>52.510000000000005</v>
      </c>
      <c r="C111" s="455">
        <v>1</v>
      </c>
    </row>
    <row r="112" spans="1:3" x14ac:dyDescent="0.3">
      <c r="A112" s="453">
        <f>Sheet1!A78</f>
        <v>450</v>
      </c>
      <c r="B112" s="454">
        <f>Sheet1!B78</f>
        <v>52.580000000000005</v>
      </c>
      <c r="C112" s="455">
        <v>1</v>
      </c>
    </row>
    <row r="113" spans="1:3" x14ac:dyDescent="0.3">
      <c r="A113" s="453">
        <f>Sheet1!A79</f>
        <v>465</v>
      </c>
      <c r="B113" s="454">
        <f>Sheet1!B79</f>
        <v>52.63</v>
      </c>
      <c r="C113" s="455">
        <v>1</v>
      </c>
    </row>
    <row r="114" spans="1:3" x14ac:dyDescent="0.3">
      <c r="A114" s="453">
        <f>Sheet1!A80</f>
        <v>480</v>
      </c>
      <c r="B114" s="454">
        <f>Sheet1!B80</f>
        <v>53.48</v>
      </c>
      <c r="C114" s="455">
        <v>1</v>
      </c>
    </row>
    <row r="115" spans="1:3" x14ac:dyDescent="0.3">
      <c r="A115" s="453">
        <f>Sheet1!A81</f>
        <v>481</v>
      </c>
      <c r="B115" s="454">
        <f>Sheet1!B81</f>
        <v>53.69</v>
      </c>
      <c r="C115" s="455">
        <v>1</v>
      </c>
    </row>
    <row r="116" spans="1:3" x14ac:dyDescent="0.3">
      <c r="A116" s="453">
        <f>Sheet1!A82</f>
        <v>482</v>
      </c>
      <c r="B116" s="454">
        <f>Sheet1!B82</f>
        <v>53.879999999999995</v>
      </c>
      <c r="C116" s="455">
        <v>1</v>
      </c>
    </row>
    <row r="117" spans="1:3" x14ac:dyDescent="0.3">
      <c r="A117" s="453">
        <f>Sheet1!A83</f>
        <v>483</v>
      </c>
      <c r="B117" s="454">
        <f>Sheet1!B83</f>
        <v>54.05</v>
      </c>
      <c r="C117" s="455">
        <v>1</v>
      </c>
    </row>
    <row r="118" spans="1:3" x14ac:dyDescent="0.3">
      <c r="A118" s="453">
        <f>Sheet1!A84</f>
        <v>484</v>
      </c>
      <c r="B118" s="454">
        <f>Sheet1!B84</f>
        <v>54.209999999999994</v>
      </c>
      <c r="C118" s="455">
        <v>1</v>
      </c>
    </row>
    <row r="119" spans="1:3" x14ac:dyDescent="0.3">
      <c r="A119" s="453">
        <f>Sheet1!A85</f>
        <v>485</v>
      </c>
      <c r="B119" s="454">
        <f>Sheet1!B85</f>
        <v>54.349999999999994</v>
      </c>
      <c r="C119" s="455">
        <v>1</v>
      </c>
    </row>
    <row r="120" spans="1:3" x14ac:dyDescent="0.3">
      <c r="A120" s="453">
        <f>Sheet1!A86</f>
        <v>490</v>
      </c>
      <c r="B120" s="454">
        <f>Sheet1!B86</f>
        <v>59.89</v>
      </c>
      <c r="C120" s="455">
        <v>1</v>
      </c>
    </row>
    <row r="121" spans="1:3" x14ac:dyDescent="0.3">
      <c r="A121" s="453">
        <f>Sheet1!A87</f>
        <v>495</v>
      </c>
      <c r="B121" s="454">
        <f>Sheet1!B87</f>
        <v>60.2</v>
      </c>
      <c r="C121" s="455">
        <v>1</v>
      </c>
    </row>
    <row r="122" spans="1:3" x14ac:dyDescent="0.3">
      <c r="A122" s="453">
        <f>Sheet1!A88</f>
        <v>500</v>
      </c>
      <c r="B122" s="454">
        <f>Sheet1!B88</f>
        <v>62.3</v>
      </c>
      <c r="C122" s="455">
        <v>1</v>
      </c>
    </row>
    <row r="123" spans="1:3" x14ac:dyDescent="0.3">
      <c r="A123" s="453">
        <f>Sheet1!A89</f>
        <v>505</v>
      </c>
      <c r="B123" s="454">
        <f>Sheet1!B89</f>
        <v>62.599999999999994</v>
      </c>
      <c r="C123" s="455">
        <v>1</v>
      </c>
    </row>
    <row r="124" spans="1:3" x14ac:dyDescent="0.3">
      <c r="A124" s="453">
        <f>Sheet1!A90</f>
        <v>510</v>
      </c>
      <c r="B124" s="454">
        <f>Sheet1!B90</f>
        <v>64.7</v>
      </c>
      <c r="C124" s="455">
        <v>1</v>
      </c>
    </row>
    <row r="125" spans="1:3" x14ac:dyDescent="0.3">
      <c r="A125" s="453">
        <f>Sheet1!A91</f>
        <v>515</v>
      </c>
      <c r="B125" s="454">
        <f>Sheet1!B91</f>
        <v>64.850000000000009</v>
      </c>
      <c r="C125" s="455">
        <v>1</v>
      </c>
    </row>
    <row r="126" spans="1:3" x14ac:dyDescent="0.3">
      <c r="A126" s="453">
        <f>Sheet1!A92</f>
        <v>520</v>
      </c>
      <c r="B126" s="454">
        <f>Sheet1!B92</f>
        <v>64.98</v>
      </c>
      <c r="C126" s="455">
        <v>1</v>
      </c>
    </row>
    <row r="127" spans="1:3" x14ac:dyDescent="0.3">
      <c r="A127" s="453">
        <f>Sheet1!A93</f>
        <v>525</v>
      </c>
      <c r="B127" s="454">
        <f>Sheet1!B93</f>
        <v>65.09</v>
      </c>
      <c r="C127" s="455">
        <v>1</v>
      </c>
    </row>
    <row r="128" spans="1:3" x14ac:dyDescent="0.3">
      <c r="A128" s="453">
        <f>Sheet1!A94</f>
        <v>530</v>
      </c>
      <c r="B128" s="454">
        <f>Sheet1!B94</f>
        <v>65.17</v>
      </c>
      <c r="C128" s="455">
        <v>1</v>
      </c>
    </row>
    <row r="129" spans="1:3" x14ac:dyDescent="0.3">
      <c r="A129" s="453">
        <f>Sheet1!A95</f>
        <v>535</v>
      </c>
      <c r="B129" s="454">
        <f>Sheet1!B95</f>
        <v>65.239999999999995</v>
      </c>
      <c r="C129" s="455">
        <v>1</v>
      </c>
    </row>
    <row r="130" spans="1:3" x14ac:dyDescent="0.3">
      <c r="A130" s="453">
        <f>Sheet1!A96</f>
        <v>540</v>
      </c>
      <c r="B130" s="454">
        <f>Sheet1!B96</f>
        <v>67.11</v>
      </c>
      <c r="C130" s="455">
        <v>1</v>
      </c>
    </row>
    <row r="131" spans="1:3" x14ac:dyDescent="0.3">
      <c r="A131" s="453">
        <f>Sheet1!A97</f>
        <v>555</v>
      </c>
      <c r="B131" s="454">
        <f>Sheet1!B97</f>
        <v>67.3</v>
      </c>
      <c r="C131" s="455">
        <v>1</v>
      </c>
    </row>
    <row r="132" spans="1:3" x14ac:dyDescent="0.3">
      <c r="A132" s="453">
        <f>Sheet1!A98</f>
        <v>570</v>
      </c>
      <c r="B132" s="454">
        <f>Sheet1!B98</f>
        <v>67.459999999999994</v>
      </c>
      <c r="C132" s="455">
        <v>1</v>
      </c>
    </row>
    <row r="133" spans="1:3" x14ac:dyDescent="0.3">
      <c r="A133" s="453">
        <f>Sheet1!A99</f>
        <v>585</v>
      </c>
      <c r="B133" s="454">
        <f>Sheet1!B99</f>
        <v>67.599999999999994</v>
      </c>
      <c r="C133" s="455">
        <v>1</v>
      </c>
    </row>
    <row r="134" spans="1:3" x14ac:dyDescent="0.3">
      <c r="A134" s="453">
        <f>Sheet1!A100</f>
        <v>600</v>
      </c>
      <c r="B134" s="454">
        <f>Sheet1!B100</f>
        <v>69.52</v>
      </c>
      <c r="C134" s="455">
        <v>1</v>
      </c>
    </row>
    <row r="135" spans="1:3" x14ac:dyDescent="0.3">
      <c r="A135" s="453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Step.Select!A7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3" x14ac:dyDescent="0.3">
      <c r="A17" s="453">
        <v>0</v>
      </c>
      <c r="B17" s="453"/>
    </row>
    <row r="18" spans="1:3" x14ac:dyDescent="0.3">
      <c r="A18" s="453">
        <f>Step.Select!A18</f>
        <v>0.125</v>
      </c>
      <c r="B18" s="453"/>
    </row>
    <row r="19" spans="1:3" x14ac:dyDescent="0.3">
      <c r="A19" s="453">
        <f>Step.Select!A19</f>
        <v>0.125</v>
      </c>
      <c r="B19" s="453"/>
    </row>
    <row r="20" spans="1:3" x14ac:dyDescent="0.3">
      <c r="A20" s="453">
        <v>0</v>
      </c>
      <c r="B20" s="453"/>
    </row>
    <row r="21" spans="1:3" x14ac:dyDescent="0.3">
      <c r="A21" s="453">
        <v>0</v>
      </c>
      <c r="B21" s="453"/>
    </row>
    <row r="22" spans="1:3" x14ac:dyDescent="0.3">
      <c r="A22" s="453">
        <v>1</v>
      </c>
      <c r="B22" s="453"/>
    </row>
    <row r="23" spans="1:3" x14ac:dyDescent="0.3">
      <c r="A23" s="453">
        <v>1</v>
      </c>
      <c r="B23" s="453"/>
    </row>
    <row r="24" spans="1:3" x14ac:dyDescent="0.3">
      <c r="A24" s="455">
        <v>0</v>
      </c>
      <c r="B24" s="455">
        <f>입력표!M51</f>
        <v>201</v>
      </c>
    </row>
    <row r="25" spans="1:3" x14ac:dyDescent="0.3">
      <c r="A25" s="453" t="s">
        <v>104</v>
      </c>
      <c r="B25" s="453"/>
    </row>
    <row r="26" spans="1:3" x14ac:dyDescent="0.3">
      <c r="A26" s="453" t="str">
        <f>A15</f>
        <v>W-1</v>
      </c>
      <c r="B26" s="453"/>
    </row>
    <row r="27" spans="1:3" x14ac:dyDescent="0.3">
      <c r="A27" s="457">
        <f>스킨팩터!C9</f>
        <v>1.8818008834781128</v>
      </c>
      <c r="B27" s="453"/>
    </row>
    <row r="28" spans="1:3" x14ac:dyDescent="0.3">
      <c r="A28" s="453">
        <v>0</v>
      </c>
      <c r="B28" s="453"/>
    </row>
    <row r="29" spans="1:3" x14ac:dyDescent="0.3">
      <c r="A29" s="453">
        <v>0</v>
      </c>
      <c r="B29" s="453"/>
    </row>
    <row r="30" spans="1:3" x14ac:dyDescent="0.3">
      <c r="A30" s="455">
        <f>SUM(C31:C98)</f>
        <v>68</v>
      </c>
      <c r="B30" s="453"/>
    </row>
    <row r="31" spans="1:3" x14ac:dyDescent="0.3">
      <c r="A31" s="453">
        <f>장기양수시험!D10</f>
        <v>1</v>
      </c>
      <c r="B31" s="458">
        <f>장기양수시험!G10</f>
        <v>4.3876869192927144</v>
      </c>
      <c r="C31" s="455">
        <v>1</v>
      </c>
    </row>
    <row r="32" spans="1:3" x14ac:dyDescent="0.3">
      <c r="A32" s="453">
        <f>장기양수시험!D11</f>
        <v>2</v>
      </c>
      <c r="B32" s="458">
        <f>장기양수시험!G11</f>
        <v>8.5753738385854277</v>
      </c>
      <c r="C32" s="455">
        <v>1</v>
      </c>
    </row>
    <row r="33" spans="1:3" x14ac:dyDescent="0.3">
      <c r="A33" s="453">
        <f>장기양수시험!D12</f>
        <v>3</v>
      </c>
      <c r="B33" s="458">
        <f>장기양수시험!G12</f>
        <v>11.92636225367152</v>
      </c>
      <c r="C33" s="455">
        <v>1</v>
      </c>
    </row>
    <row r="34" spans="1:3" x14ac:dyDescent="0.3">
      <c r="A34" s="453">
        <f>장기양수시험!D13</f>
        <v>4</v>
      </c>
      <c r="B34" s="458">
        <f>장기양수시험!G13</f>
        <v>14.303926371363012</v>
      </c>
      <c r="C34" s="455">
        <v>1</v>
      </c>
    </row>
    <row r="35" spans="1:3" x14ac:dyDescent="0.3">
      <c r="A35" s="453">
        <f>장기양수시험!D14</f>
        <v>5</v>
      </c>
      <c r="B35" s="458">
        <f>장기양수시험!G14</f>
        <v>16.148108374702268</v>
      </c>
      <c r="C35" s="455">
        <v>1</v>
      </c>
    </row>
    <row r="36" spans="1:3" x14ac:dyDescent="0.3">
      <c r="A36" s="453">
        <f>장기양수시험!D15</f>
        <v>10</v>
      </c>
      <c r="B36" s="458">
        <f>장기양수시험!G15</f>
        <v>21.876660907479859</v>
      </c>
      <c r="C36" s="455">
        <v>1</v>
      </c>
    </row>
    <row r="37" spans="1:3" x14ac:dyDescent="0.3">
      <c r="A37" s="453">
        <f>장기양수시험!D16</f>
        <v>15</v>
      </c>
      <c r="B37" s="458">
        <f>장기양수시험!G16</f>
        <v>25.227649322565938</v>
      </c>
      <c r="C37" s="455">
        <v>1</v>
      </c>
    </row>
    <row r="38" spans="1:3" x14ac:dyDescent="0.3">
      <c r="A38" s="453">
        <f>장기양수시험!D17</f>
        <v>20</v>
      </c>
      <c r="B38" s="458">
        <f>장기양수시험!G17</f>
        <v>27.605213440257444</v>
      </c>
      <c r="C38" s="455">
        <v>1</v>
      </c>
    </row>
    <row r="39" spans="1:3" x14ac:dyDescent="0.3">
      <c r="A39" s="453">
        <f>장기양수시험!D18</f>
        <v>25</v>
      </c>
      <c r="B39" s="458">
        <f>장기양수시험!G18</f>
        <v>29.4493954435967</v>
      </c>
      <c r="C39" s="455">
        <v>1</v>
      </c>
    </row>
    <row r="40" spans="1:3" x14ac:dyDescent="0.3">
      <c r="A40" s="453">
        <f>장기양수시험!D19</f>
        <v>30</v>
      </c>
      <c r="B40" s="458">
        <f>장기양수시험!G19</f>
        <v>30.956201855343522</v>
      </c>
      <c r="C40" s="455">
        <v>1</v>
      </c>
    </row>
    <row r="41" spans="1:3" x14ac:dyDescent="0.3">
      <c r="A41" s="453">
        <f>장기양수시험!D20</f>
        <v>35</v>
      </c>
      <c r="B41" s="458">
        <f>장기양수시험!G20</f>
        <v>32.230188523860974</v>
      </c>
      <c r="C41" s="455">
        <v>1</v>
      </c>
    </row>
    <row r="42" spans="1:3" x14ac:dyDescent="0.3">
      <c r="A42" s="453">
        <f>장기양수시험!D21</f>
        <v>40</v>
      </c>
      <c r="B42" s="458">
        <f>장기양수시험!G21</f>
        <v>33.333765973035014</v>
      </c>
      <c r="C42" s="455">
        <v>1</v>
      </c>
    </row>
    <row r="43" spans="1:3" x14ac:dyDescent="0.3">
      <c r="A43" s="453">
        <f>장기양수시험!D22</f>
        <v>45</v>
      </c>
      <c r="B43" s="458">
        <f>장기양수시험!G22</f>
        <v>34.307190270429615</v>
      </c>
      <c r="C43" s="455">
        <v>1</v>
      </c>
    </row>
    <row r="44" spans="1:3" x14ac:dyDescent="0.3">
      <c r="A44" s="453">
        <f>장기양수시험!D23</f>
        <v>50</v>
      </c>
      <c r="B44" s="458">
        <f>장기양수시험!G23</f>
        <v>35.177947976374284</v>
      </c>
      <c r="C44" s="455">
        <v>1</v>
      </c>
    </row>
    <row r="45" spans="1:3" x14ac:dyDescent="0.3">
      <c r="A45" s="453">
        <f>장기양수시험!D24</f>
        <v>55</v>
      </c>
      <c r="B45" s="458">
        <f>장기양수시험!G24</f>
        <v>35.916564135617811</v>
      </c>
      <c r="C45" s="455">
        <v>1</v>
      </c>
    </row>
    <row r="46" spans="1:3" x14ac:dyDescent="0.3">
      <c r="A46" s="453">
        <f>장기양수시험!D25</f>
        <v>60</v>
      </c>
      <c r="B46" s="458">
        <f>장기양수시험!G25</f>
        <v>36.684754388121107</v>
      </c>
      <c r="C46" s="455">
        <v>1</v>
      </c>
    </row>
    <row r="47" spans="1:3" x14ac:dyDescent="0.3">
      <c r="A47" s="453">
        <f>장기양수시험!D26</f>
        <v>75</v>
      </c>
      <c r="B47" s="458">
        <f>장기양수시험!G26</f>
        <v>38.528936391460377</v>
      </c>
      <c r="C47" s="455">
        <v>1</v>
      </c>
    </row>
    <row r="48" spans="1:3" x14ac:dyDescent="0.3">
      <c r="A48" s="453">
        <f>장기양수시험!D27</f>
        <v>90</v>
      </c>
      <c r="B48" s="458">
        <f>장기양수시험!G27</f>
        <v>40.035742803207185</v>
      </c>
      <c r="C48" s="455">
        <v>1</v>
      </c>
    </row>
    <row r="49" spans="1:3" x14ac:dyDescent="0.3">
      <c r="A49" s="453">
        <f>장기양수시험!D28</f>
        <v>105</v>
      </c>
      <c r="B49" s="458">
        <f>장기양수시험!G28</f>
        <v>41.309729471724637</v>
      </c>
      <c r="C49" s="455">
        <v>1</v>
      </c>
    </row>
    <row r="50" spans="1:3" x14ac:dyDescent="0.3">
      <c r="A50" s="453">
        <f>장기양수시험!D29</f>
        <v>120</v>
      </c>
      <c r="B50" s="458">
        <f>장기양수시험!G29</f>
        <v>42.413306920898691</v>
      </c>
      <c r="C50" s="455">
        <v>1</v>
      </c>
    </row>
    <row r="51" spans="1:3" x14ac:dyDescent="0.3">
      <c r="A51" s="453">
        <f>장기양수시험!D30</f>
        <v>140</v>
      </c>
      <c r="B51" s="458">
        <f>장기양수시험!G30</f>
        <v>43.687293589416129</v>
      </c>
      <c r="C51" s="455">
        <v>1</v>
      </c>
    </row>
    <row r="52" spans="1:3" x14ac:dyDescent="0.3">
      <c r="A52" s="453">
        <f>장기양수시험!D31</f>
        <v>160</v>
      </c>
      <c r="B52" s="458">
        <f>장기양수시험!G31</f>
        <v>44.790871038590183</v>
      </c>
      <c r="C52" s="455">
        <v>1</v>
      </c>
    </row>
    <row r="53" spans="1:3" x14ac:dyDescent="0.3">
      <c r="A53" s="453">
        <f>장기양수시험!D32</f>
        <v>180</v>
      </c>
      <c r="B53" s="458">
        <f>장기양수시험!G32</f>
        <v>45.76429533598477</v>
      </c>
      <c r="C53" s="455">
        <v>1</v>
      </c>
    </row>
    <row r="54" spans="1:3" x14ac:dyDescent="0.3">
      <c r="A54" s="453">
        <f>장기양수시험!D33</f>
        <v>240</v>
      </c>
      <c r="B54" s="458">
        <f>장기양수시험!G33</f>
        <v>48.141859453676275</v>
      </c>
      <c r="C54" s="455">
        <v>1</v>
      </c>
    </row>
    <row r="55" spans="1:3" x14ac:dyDescent="0.3">
      <c r="A55" s="453">
        <f>장기양수시험!D34</f>
        <v>300</v>
      </c>
      <c r="B55" s="458">
        <f>장기양수시험!G34</f>
        <v>49.986041457015531</v>
      </c>
      <c r="C55" s="455">
        <v>1</v>
      </c>
    </row>
    <row r="56" spans="1:3" x14ac:dyDescent="0.3">
      <c r="A56" s="453">
        <f>장기양수시험!D35</f>
        <v>360</v>
      </c>
      <c r="B56" s="458">
        <f>장기양수시험!G35</f>
        <v>51.492847868762354</v>
      </c>
      <c r="C56" s="455">
        <v>1</v>
      </c>
    </row>
    <row r="57" spans="1:3" x14ac:dyDescent="0.3">
      <c r="A57" s="453">
        <f>장기양수시험!D36</f>
        <v>420</v>
      </c>
      <c r="B57" s="458">
        <f>장기양수시험!G36</f>
        <v>52.766834537279806</v>
      </c>
      <c r="C57" s="455">
        <v>1</v>
      </c>
    </row>
    <row r="58" spans="1:3" x14ac:dyDescent="0.3">
      <c r="A58" s="453">
        <f>장기양수시험!D37</f>
        <v>480</v>
      </c>
      <c r="B58" s="458">
        <f>장기양수시험!G37</f>
        <v>53.87041198645386</v>
      </c>
      <c r="C58" s="455">
        <v>1</v>
      </c>
    </row>
    <row r="59" spans="1:3" x14ac:dyDescent="0.3">
      <c r="A59" s="453">
        <f>장기양수시험!D38</f>
        <v>540</v>
      </c>
      <c r="B59" s="458">
        <f>장기양수시험!G38</f>
        <v>54.843836283848447</v>
      </c>
      <c r="C59" s="455">
        <v>1</v>
      </c>
    </row>
    <row r="60" spans="1:3" x14ac:dyDescent="0.3">
      <c r="A60" s="453">
        <f>장기양수시험!D39</f>
        <v>600</v>
      </c>
      <c r="B60" s="458">
        <f>장기양수시험!G39</f>
        <v>55.714593989793116</v>
      </c>
      <c r="C60" s="455">
        <v>1</v>
      </c>
    </row>
    <row r="61" spans="1:3" x14ac:dyDescent="0.3">
      <c r="A61" s="453">
        <f>장기양수시험!D40</f>
        <v>660</v>
      </c>
      <c r="B61" s="458">
        <f>장기양수시험!G40</f>
        <v>56.502290149036654</v>
      </c>
      <c r="C61" s="455">
        <v>1</v>
      </c>
    </row>
    <row r="62" spans="1:3" x14ac:dyDescent="0.3">
      <c r="A62" s="453">
        <f>장기양수시험!D41</f>
        <v>720</v>
      </c>
      <c r="B62" s="458">
        <f>장기양수시험!G41</f>
        <v>57.221400401539938</v>
      </c>
      <c r="C62" s="455">
        <v>1</v>
      </c>
    </row>
    <row r="63" spans="1:3" x14ac:dyDescent="0.3">
      <c r="A63" s="453">
        <f>장기양수시험!D42</f>
        <v>780</v>
      </c>
      <c r="B63" s="458">
        <f>장기양수시험!G42</f>
        <v>57.882917707869026</v>
      </c>
      <c r="C63" s="455">
        <v>1</v>
      </c>
    </row>
    <row r="64" spans="1:3" x14ac:dyDescent="0.3">
      <c r="A64" s="453">
        <f>장기양수시험!D43</f>
        <v>840</v>
      </c>
      <c r="B64" s="458">
        <f>장기양수시험!G43</f>
        <v>58.49538707005739</v>
      </c>
      <c r="C64" s="455">
        <v>1</v>
      </c>
    </row>
    <row r="65" spans="1:3" x14ac:dyDescent="0.3">
      <c r="A65" s="453">
        <f>장기양수시험!D44</f>
        <v>900</v>
      </c>
      <c r="B65" s="458">
        <f>장기양수시험!G44</f>
        <v>59.065582404879194</v>
      </c>
      <c r="C65" s="455">
        <v>1</v>
      </c>
    </row>
    <row r="66" spans="1:3" x14ac:dyDescent="0.3">
      <c r="A66" s="453">
        <f>장기양수시험!D45</f>
        <v>960</v>
      </c>
      <c r="B66" s="458">
        <f>장기양수시험!G45</f>
        <v>59.59896451923143</v>
      </c>
      <c r="C66" s="455">
        <v>1</v>
      </c>
    </row>
    <row r="67" spans="1:3" x14ac:dyDescent="0.3">
      <c r="A67" s="453">
        <f>장기양수시험!D46</f>
        <v>1020</v>
      </c>
      <c r="B67" s="458">
        <f>장기양수시험!G46</f>
        <v>60.099999999999994</v>
      </c>
      <c r="C67" s="455">
        <v>1</v>
      </c>
    </row>
    <row r="68" spans="1:3" x14ac:dyDescent="0.3">
      <c r="A68" s="453">
        <f>장기양수시험!D47</f>
        <v>1080</v>
      </c>
      <c r="B68" s="458">
        <f>장기양수시험!G47</f>
        <v>60.099999999999994</v>
      </c>
      <c r="C68" s="455">
        <v>1</v>
      </c>
    </row>
    <row r="69" spans="1:3" x14ac:dyDescent="0.3">
      <c r="A69" s="453">
        <f>장기양수시험!D48</f>
        <v>1140</v>
      </c>
      <c r="B69" s="458">
        <f>장기양수시험!G48</f>
        <v>60.099999999999994</v>
      </c>
      <c r="C69" s="455">
        <v>1</v>
      </c>
    </row>
    <row r="70" spans="1:3" x14ac:dyDescent="0.3">
      <c r="A70" s="453">
        <f>장기양수시험!D49</f>
        <v>1200</v>
      </c>
      <c r="B70" s="458">
        <f>장기양수시험!G49</f>
        <v>60.099999999999994</v>
      </c>
      <c r="C70" s="455">
        <v>1</v>
      </c>
    </row>
    <row r="71" spans="1:3" x14ac:dyDescent="0.3">
      <c r="A71" s="453">
        <f>장기양수시험!D50</f>
        <v>1260</v>
      </c>
      <c r="B71" s="458">
        <f>장기양수시험!G50</f>
        <v>60.099999999999994</v>
      </c>
      <c r="C71" s="455">
        <v>1</v>
      </c>
    </row>
    <row r="72" spans="1:3" x14ac:dyDescent="0.3">
      <c r="A72" s="453">
        <f>장기양수시험!D51</f>
        <v>1320</v>
      </c>
      <c r="B72" s="458">
        <f>장기양수시험!G51</f>
        <v>60.099999999999994</v>
      </c>
      <c r="C72" s="455">
        <v>1</v>
      </c>
    </row>
    <row r="73" spans="1:3" x14ac:dyDescent="0.3">
      <c r="A73" s="453">
        <f>장기양수시험!D52</f>
        <v>1380</v>
      </c>
      <c r="B73" s="458">
        <f>장기양수시험!G52</f>
        <v>60.099999999999994</v>
      </c>
      <c r="C73" s="455">
        <v>1</v>
      </c>
    </row>
    <row r="74" spans="1:3" x14ac:dyDescent="0.3">
      <c r="A74" s="453">
        <f>장기양수시험!D53</f>
        <v>1440</v>
      </c>
      <c r="B74" s="458">
        <f>장기양수시험!G53</f>
        <v>60.099999999999994</v>
      </c>
      <c r="C74" s="455">
        <v>1</v>
      </c>
    </row>
    <row r="75" spans="1:3" x14ac:dyDescent="0.3">
      <c r="A75" s="453">
        <f>장기양수시험!D54</f>
        <v>1500</v>
      </c>
      <c r="B75" s="458">
        <f>장기양수시험!G54</f>
        <v>60.099999999999994</v>
      </c>
      <c r="C75" s="455">
        <v>1</v>
      </c>
    </row>
    <row r="76" spans="1:3" x14ac:dyDescent="0.3">
      <c r="A76" s="453">
        <f>장기양수시험!D55</f>
        <v>1560</v>
      </c>
      <c r="B76" s="458">
        <f>장기양수시험!G55</f>
        <v>60.099999999999994</v>
      </c>
      <c r="C76" s="455">
        <v>1</v>
      </c>
    </row>
    <row r="77" spans="1:3" x14ac:dyDescent="0.3">
      <c r="A77" s="453">
        <f>장기양수시험!D56</f>
        <v>1620</v>
      </c>
      <c r="B77" s="458">
        <f>장기양수시험!G56</f>
        <v>60.099999999999994</v>
      </c>
      <c r="C77" s="455">
        <v>1</v>
      </c>
    </row>
    <row r="78" spans="1:3" x14ac:dyDescent="0.3">
      <c r="A78" s="453">
        <f>장기양수시험!D57</f>
        <v>1680</v>
      </c>
      <c r="B78" s="458">
        <f>장기양수시험!G57</f>
        <v>60.099999999999994</v>
      </c>
      <c r="C78" s="455">
        <v>1</v>
      </c>
    </row>
    <row r="79" spans="1:3" x14ac:dyDescent="0.3">
      <c r="A79" s="453">
        <f>장기양수시험!D58</f>
        <v>1740</v>
      </c>
      <c r="B79" s="458">
        <f>장기양수시험!G58</f>
        <v>60.099999999999994</v>
      </c>
      <c r="C79" s="455">
        <v>1</v>
      </c>
    </row>
    <row r="80" spans="1:3" x14ac:dyDescent="0.3">
      <c r="A80" s="453">
        <f>장기양수시험!D59</f>
        <v>1800</v>
      </c>
      <c r="B80" s="458">
        <f>장기양수시험!G59</f>
        <v>60.099999999999994</v>
      </c>
      <c r="C80" s="455">
        <v>1</v>
      </c>
    </row>
    <row r="81" spans="1:3" x14ac:dyDescent="0.3">
      <c r="A81" s="453">
        <f>장기양수시험!D60</f>
        <v>1860</v>
      </c>
      <c r="B81" s="458">
        <f>장기양수시험!G60</f>
        <v>60.099999999999994</v>
      </c>
      <c r="C81" s="455">
        <v>1</v>
      </c>
    </row>
    <row r="82" spans="1:3" x14ac:dyDescent="0.3">
      <c r="A82" s="453">
        <f>장기양수시험!D61</f>
        <v>1920</v>
      </c>
      <c r="B82" s="458">
        <f>장기양수시험!G61</f>
        <v>60.099999999999994</v>
      </c>
      <c r="C82" s="455">
        <v>1</v>
      </c>
    </row>
    <row r="83" spans="1:3" x14ac:dyDescent="0.3">
      <c r="A83" s="453">
        <f>장기양수시험!D62</f>
        <v>1980</v>
      </c>
      <c r="B83" s="458">
        <f>장기양수시험!G62</f>
        <v>60.099999999999994</v>
      </c>
      <c r="C83" s="455">
        <v>1</v>
      </c>
    </row>
    <row r="84" spans="1:3" x14ac:dyDescent="0.3">
      <c r="A84" s="453">
        <f>장기양수시험!D63</f>
        <v>2040</v>
      </c>
      <c r="B84" s="458">
        <f>장기양수시험!G63</f>
        <v>60.099999999999994</v>
      </c>
      <c r="C84" s="455">
        <v>1</v>
      </c>
    </row>
    <row r="85" spans="1:3" x14ac:dyDescent="0.3">
      <c r="A85" s="453">
        <f>장기양수시험!D64</f>
        <v>2100</v>
      </c>
      <c r="B85" s="458">
        <f>장기양수시험!G64</f>
        <v>60.099999999999994</v>
      </c>
      <c r="C85" s="455">
        <v>1</v>
      </c>
    </row>
    <row r="86" spans="1:3" x14ac:dyDescent="0.3">
      <c r="A86" s="453">
        <f>장기양수시험!D65</f>
        <v>2160</v>
      </c>
      <c r="B86" s="458">
        <f>장기양수시험!G65</f>
        <v>60.099999999999994</v>
      </c>
      <c r="C86" s="455">
        <v>1</v>
      </c>
    </row>
    <row r="87" spans="1:3" x14ac:dyDescent="0.3">
      <c r="A87" s="453">
        <f>장기양수시험!D66</f>
        <v>2220</v>
      </c>
      <c r="B87" s="458">
        <f>장기양수시험!G66</f>
        <v>60.099999999999994</v>
      </c>
      <c r="C87" s="455">
        <v>1</v>
      </c>
    </row>
    <row r="88" spans="1:3" x14ac:dyDescent="0.3">
      <c r="A88" s="453">
        <f>장기양수시험!D67</f>
        <v>2280</v>
      </c>
      <c r="B88" s="458">
        <f>장기양수시험!G67</f>
        <v>60.099999999999994</v>
      </c>
      <c r="C88" s="455">
        <v>1</v>
      </c>
    </row>
    <row r="89" spans="1:3" x14ac:dyDescent="0.3">
      <c r="A89" s="453">
        <f>장기양수시험!D68</f>
        <v>2340</v>
      </c>
      <c r="B89" s="458">
        <f>장기양수시험!G68</f>
        <v>60.099999999999994</v>
      </c>
      <c r="C89" s="455">
        <v>1</v>
      </c>
    </row>
    <row r="90" spans="1:3" x14ac:dyDescent="0.3">
      <c r="A90" s="453">
        <f>장기양수시험!D69</f>
        <v>2400</v>
      </c>
      <c r="B90" s="458">
        <f>장기양수시험!G69</f>
        <v>60.099999999999994</v>
      </c>
      <c r="C90" s="455">
        <v>1</v>
      </c>
    </row>
    <row r="91" spans="1:3" x14ac:dyDescent="0.3">
      <c r="A91" s="453">
        <f>장기양수시험!D70</f>
        <v>2460</v>
      </c>
      <c r="B91" s="458">
        <f>장기양수시험!G70</f>
        <v>60.099999999999994</v>
      </c>
      <c r="C91" s="455">
        <v>1</v>
      </c>
    </row>
    <row r="92" spans="1:3" x14ac:dyDescent="0.3">
      <c r="A92" s="453">
        <f>장기양수시험!D71</f>
        <v>2520</v>
      </c>
      <c r="B92" s="458">
        <f>장기양수시험!G71</f>
        <v>60.099999999999994</v>
      </c>
      <c r="C92" s="455">
        <v>1</v>
      </c>
    </row>
    <row r="93" spans="1:3" x14ac:dyDescent="0.3">
      <c r="A93" s="453">
        <f>장기양수시험!D72</f>
        <v>2580</v>
      </c>
      <c r="B93" s="458">
        <f>장기양수시험!G72</f>
        <v>60.099999999999994</v>
      </c>
      <c r="C93" s="455">
        <v>1</v>
      </c>
    </row>
    <row r="94" spans="1:3" x14ac:dyDescent="0.3">
      <c r="A94" s="453">
        <f>장기양수시험!D73</f>
        <v>2640</v>
      </c>
      <c r="B94" s="458">
        <f>장기양수시험!G73</f>
        <v>60.099999999999994</v>
      </c>
      <c r="C94" s="455">
        <v>1</v>
      </c>
    </row>
    <row r="95" spans="1:3" x14ac:dyDescent="0.3">
      <c r="A95" s="453">
        <f>장기양수시험!D74</f>
        <v>2700</v>
      </c>
      <c r="B95" s="458">
        <f>장기양수시험!G74</f>
        <v>60.099999999999994</v>
      </c>
      <c r="C95" s="455">
        <v>1</v>
      </c>
    </row>
    <row r="96" spans="1:3" x14ac:dyDescent="0.3">
      <c r="A96" s="453">
        <f>장기양수시험!D75</f>
        <v>2760</v>
      </c>
      <c r="B96" s="458">
        <f>장기양수시험!G75</f>
        <v>60.099999999999994</v>
      </c>
      <c r="C96" s="455">
        <v>1</v>
      </c>
    </row>
    <row r="97" spans="1:3" x14ac:dyDescent="0.3">
      <c r="A97" s="453">
        <f>장기양수시험!D76</f>
        <v>2820</v>
      </c>
      <c r="B97" s="458">
        <f>장기양수시험!G76</f>
        <v>60.099999999999994</v>
      </c>
      <c r="C97" s="455">
        <v>1</v>
      </c>
    </row>
    <row r="98" spans="1:3" x14ac:dyDescent="0.3">
      <c r="A98" s="453">
        <f>장기양수시험!D77</f>
        <v>2880</v>
      </c>
      <c r="B98" s="458">
        <f>장기양수시험!G77</f>
        <v>60.099999999999994</v>
      </c>
      <c r="C98" s="455">
        <v>1</v>
      </c>
    </row>
    <row r="99" spans="1:3" x14ac:dyDescent="0.3">
      <c r="A99" s="453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BE725-992B-4FD5-A03E-34C735A70D0B}">
  <sheetPr codeName="Sheet8"/>
  <dimension ref="A1:C75"/>
  <sheetViews>
    <sheetView workbookViewId="0"/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Step.Select!A7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3" x14ac:dyDescent="0.3">
      <c r="A17" s="453">
        <v>0</v>
      </c>
      <c r="B17" s="453"/>
    </row>
    <row r="18" spans="1:3" x14ac:dyDescent="0.3">
      <c r="A18" s="453">
        <f>Step.Select!A18</f>
        <v>0.125</v>
      </c>
      <c r="B18" s="453"/>
    </row>
    <row r="19" spans="1:3" x14ac:dyDescent="0.3">
      <c r="A19" s="453">
        <f>Step.Select!A19</f>
        <v>0.125</v>
      </c>
      <c r="B19" s="453"/>
    </row>
    <row r="20" spans="1:3" x14ac:dyDescent="0.3">
      <c r="A20" s="453">
        <v>0</v>
      </c>
      <c r="B20" s="453"/>
    </row>
    <row r="21" spans="1:3" x14ac:dyDescent="0.3">
      <c r="A21" s="453">
        <v>0</v>
      </c>
      <c r="B21" s="453"/>
    </row>
    <row r="22" spans="1:3" x14ac:dyDescent="0.3">
      <c r="A22" s="453">
        <v>1</v>
      </c>
      <c r="B22" s="453"/>
    </row>
    <row r="23" spans="1:3" x14ac:dyDescent="0.3">
      <c r="A23" s="453">
        <v>1</v>
      </c>
      <c r="B23" s="453"/>
    </row>
    <row r="24" spans="1:3" x14ac:dyDescent="0.3">
      <c r="A24" s="455">
        <v>0</v>
      </c>
      <c r="B24" s="455">
        <f>입력표!M51</f>
        <v>201</v>
      </c>
    </row>
    <row r="25" spans="1:3" x14ac:dyDescent="0.3">
      <c r="A25" s="453" t="s">
        <v>104</v>
      </c>
      <c r="B25" s="453"/>
    </row>
    <row r="26" spans="1:3" x14ac:dyDescent="0.3">
      <c r="A26" s="453" t="str">
        <f>A15</f>
        <v>W-1</v>
      </c>
      <c r="B26" s="453"/>
    </row>
    <row r="27" spans="1:3" x14ac:dyDescent="0.3">
      <c r="A27" s="457">
        <f>스킨팩터!C9</f>
        <v>1.8818008834781128</v>
      </c>
      <c r="B27" s="453"/>
    </row>
    <row r="28" spans="1:3" x14ac:dyDescent="0.3">
      <c r="A28" s="453">
        <v>0</v>
      </c>
      <c r="B28" s="453"/>
    </row>
    <row r="29" spans="1:3" x14ac:dyDescent="0.3">
      <c r="A29" s="453">
        <v>0</v>
      </c>
      <c r="B29" s="453"/>
    </row>
    <row r="30" spans="1:3" x14ac:dyDescent="0.3">
      <c r="A30" s="455">
        <f>SUM(C31:C74)</f>
        <v>44</v>
      </c>
      <c r="B30" s="453"/>
    </row>
    <row r="31" spans="1:3" x14ac:dyDescent="0.3">
      <c r="A31" s="453">
        <f>장기양수시험!D10</f>
        <v>1</v>
      </c>
      <c r="B31" s="458">
        <f>장기양수시험!G10</f>
        <v>4.3876869192927144</v>
      </c>
      <c r="C31" s="455">
        <v>1</v>
      </c>
    </row>
    <row r="32" spans="1:3" x14ac:dyDescent="0.3">
      <c r="A32" s="453">
        <f>장기양수시험!D11</f>
        <v>2</v>
      </c>
      <c r="B32" s="458">
        <f>장기양수시험!G11</f>
        <v>8.5753738385854277</v>
      </c>
      <c r="C32" s="455">
        <v>1</v>
      </c>
    </row>
    <row r="33" spans="1:3" x14ac:dyDescent="0.3">
      <c r="A33" s="453">
        <f>장기양수시험!D12</f>
        <v>3</v>
      </c>
      <c r="B33" s="458">
        <f>장기양수시험!G12</f>
        <v>11.92636225367152</v>
      </c>
      <c r="C33" s="455">
        <v>1</v>
      </c>
    </row>
    <row r="34" spans="1:3" x14ac:dyDescent="0.3">
      <c r="A34" s="453">
        <f>장기양수시험!D13</f>
        <v>4</v>
      </c>
      <c r="B34" s="458">
        <f>장기양수시험!G13</f>
        <v>14.303926371363012</v>
      </c>
      <c r="C34" s="455">
        <v>1</v>
      </c>
    </row>
    <row r="35" spans="1:3" x14ac:dyDescent="0.3">
      <c r="A35" s="453">
        <f>장기양수시험!D14</f>
        <v>5</v>
      </c>
      <c r="B35" s="458">
        <f>장기양수시험!G14</f>
        <v>16.148108374702268</v>
      </c>
      <c r="C35" s="455">
        <v>1</v>
      </c>
    </row>
    <row r="36" spans="1:3" x14ac:dyDescent="0.3">
      <c r="A36" s="453">
        <f>장기양수시험!D15</f>
        <v>10</v>
      </c>
      <c r="B36" s="458">
        <f>장기양수시험!G15</f>
        <v>21.876660907479859</v>
      </c>
      <c r="C36" s="455">
        <v>1</v>
      </c>
    </row>
    <row r="37" spans="1:3" x14ac:dyDescent="0.3">
      <c r="A37" s="453">
        <f>장기양수시험!D16</f>
        <v>15</v>
      </c>
      <c r="B37" s="458">
        <f>장기양수시험!G16</f>
        <v>25.227649322565938</v>
      </c>
      <c r="C37" s="455">
        <v>1</v>
      </c>
    </row>
    <row r="38" spans="1:3" x14ac:dyDescent="0.3">
      <c r="A38" s="453">
        <f>장기양수시험!D17</f>
        <v>20</v>
      </c>
      <c r="B38" s="458">
        <f>장기양수시험!G17</f>
        <v>27.605213440257444</v>
      </c>
      <c r="C38" s="455">
        <v>1</v>
      </c>
    </row>
    <row r="39" spans="1:3" x14ac:dyDescent="0.3">
      <c r="A39" s="453">
        <f>장기양수시험!D18</f>
        <v>25</v>
      </c>
      <c r="B39" s="458">
        <f>장기양수시험!G18</f>
        <v>29.4493954435967</v>
      </c>
      <c r="C39" s="455">
        <v>1</v>
      </c>
    </row>
    <row r="40" spans="1:3" x14ac:dyDescent="0.3">
      <c r="A40" s="453">
        <f>장기양수시험!D19</f>
        <v>30</v>
      </c>
      <c r="B40" s="458">
        <f>장기양수시험!G19</f>
        <v>30.956201855343522</v>
      </c>
      <c r="C40" s="455">
        <v>1</v>
      </c>
    </row>
    <row r="41" spans="1:3" x14ac:dyDescent="0.3">
      <c r="A41" s="453">
        <f>장기양수시험!D20</f>
        <v>35</v>
      </c>
      <c r="B41" s="458">
        <f>장기양수시험!G20</f>
        <v>32.230188523860974</v>
      </c>
      <c r="C41" s="455">
        <v>1</v>
      </c>
    </row>
    <row r="42" spans="1:3" x14ac:dyDescent="0.3">
      <c r="A42" s="453">
        <f>장기양수시험!D21</f>
        <v>40</v>
      </c>
      <c r="B42" s="458">
        <f>장기양수시험!G21</f>
        <v>33.333765973035014</v>
      </c>
      <c r="C42" s="455">
        <v>1</v>
      </c>
    </row>
    <row r="43" spans="1:3" x14ac:dyDescent="0.3">
      <c r="A43" s="453">
        <f>장기양수시험!D22</f>
        <v>45</v>
      </c>
      <c r="B43" s="458">
        <f>장기양수시험!G22</f>
        <v>34.307190270429615</v>
      </c>
      <c r="C43" s="455">
        <v>1</v>
      </c>
    </row>
    <row r="44" spans="1:3" x14ac:dyDescent="0.3">
      <c r="A44" s="453">
        <f>장기양수시험!D23</f>
        <v>50</v>
      </c>
      <c r="B44" s="458">
        <f>장기양수시험!G23</f>
        <v>35.177947976374284</v>
      </c>
      <c r="C44" s="455">
        <v>1</v>
      </c>
    </row>
    <row r="45" spans="1:3" x14ac:dyDescent="0.3">
      <c r="A45" s="453">
        <f>장기양수시험!D24</f>
        <v>55</v>
      </c>
      <c r="B45" s="458">
        <f>장기양수시험!G24</f>
        <v>35.916564135617811</v>
      </c>
      <c r="C45" s="455">
        <v>1</v>
      </c>
    </row>
    <row r="46" spans="1:3" x14ac:dyDescent="0.3">
      <c r="A46" s="453">
        <f>장기양수시험!D25</f>
        <v>60</v>
      </c>
      <c r="B46" s="458">
        <f>장기양수시험!G25</f>
        <v>36.684754388121107</v>
      </c>
      <c r="C46" s="455">
        <v>1</v>
      </c>
    </row>
    <row r="47" spans="1:3" x14ac:dyDescent="0.3">
      <c r="A47" s="453">
        <f>장기양수시험!D26</f>
        <v>75</v>
      </c>
      <c r="B47" s="458">
        <f>장기양수시험!G26</f>
        <v>38.528936391460377</v>
      </c>
      <c r="C47" s="455">
        <v>1</v>
      </c>
    </row>
    <row r="48" spans="1:3" x14ac:dyDescent="0.3">
      <c r="A48" s="453">
        <f>장기양수시험!D27</f>
        <v>90</v>
      </c>
      <c r="B48" s="458">
        <f>장기양수시험!G27</f>
        <v>40.035742803207185</v>
      </c>
      <c r="C48" s="455">
        <v>1</v>
      </c>
    </row>
    <row r="49" spans="1:3" x14ac:dyDescent="0.3">
      <c r="A49" s="453">
        <f>장기양수시험!D28</f>
        <v>105</v>
      </c>
      <c r="B49" s="458">
        <f>장기양수시험!G28</f>
        <v>41.309729471724637</v>
      </c>
      <c r="C49" s="455">
        <v>1</v>
      </c>
    </row>
    <row r="50" spans="1:3" x14ac:dyDescent="0.3">
      <c r="A50" s="453">
        <f>장기양수시험!D29</f>
        <v>120</v>
      </c>
      <c r="B50" s="458">
        <f>장기양수시험!G29</f>
        <v>42.413306920898691</v>
      </c>
      <c r="C50" s="455">
        <v>1</v>
      </c>
    </row>
    <row r="51" spans="1:3" x14ac:dyDescent="0.3">
      <c r="A51" s="453">
        <f>장기양수시험!D30</f>
        <v>140</v>
      </c>
      <c r="B51" s="458">
        <f>장기양수시험!G30</f>
        <v>43.687293589416129</v>
      </c>
      <c r="C51" s="455">
        <v>1</v>
      </c>
    </row>
    <row r="52" spans="1:3" x14ac:dyDescent="0.3">
      <c r="A52" s="453">
        <f>장기양수시험!D31</f>
        <v>160</v>
      </c>
      <c r="B52" s="458">
        <f>장기양수시험!G31</f>
        <v>44.790871038590183</v>
      </c>
      <c r="C52" s="455">
        <v>1</v>
      </c>
    </row>
    <row r="53" spans="1:3" x14ac:dyDescent="0.3">
      <c r="A53" s="453">
        <f>장기양수시험!D32</f>
        <v>180</v>
      </c>
      <c r="B53" s="458">
        <f>장기양수시험!G32</f>
        <v>45.76429533598477</v>
      </c>
      <c r="C53" s="455">
        <v>1</v>
      </c>
    </row>
    <row r="54" spans="1:3" x14ac:dyDescent="0.3">
      <c r="A54" s="453">
        <f>장기양수시험!D33</f>
        <v>240</v>
      </c>
      <c r="B54" s="458">
        <f>장기양수시험!G33</f>
        <v>48.141859453676275</v>
      </c>
      <c r="C54" s="455">
        <v>1</v>
      </c>
    </row>
    <row r="55" spans="1:3" x14ac:dyDescent="0.3">
      <c r="A55" s="453">
        <f>장기양수시험!D34</f>
        <v>300</v>
      </c>
      <c r="B55" s="458">
        <f>장기양수시험!G34</f>
        <v>49.986041457015531</v>
      </c>
      <c r="C55" s="455">
        <v>1</v>
      </c>
    </row>
    <row r="56" spans="1:3" x14ac:dyDescent="0.3">
      <c r="A56" s="453">
        <f>장기양수시험!D35</f>
        <v>360</v>
      </c>
      <c r="B56" s="458">
        <f>장기양수시험!G35</f>
        <v>51.492847868762354</v>
      </c>
      <c r="C56" s="455">
        <v>1</v>
      </c>
    </row>
    <row r="57" spans="1:3" x14ac:dyDescent="0.3">
      <c r="A57" s="453">
        <f>장기양수시험!D36</f>
        <v>420</v>
      </c>
      <c r="B57" s="458">
        <f>장기양수시험!G36</f>
        <v>52.766834537279806</v>
      </c>
      <c r="C57" s="455">
        <v>1</v>
      </c>
    </row>
    <row r="58" spans="1:3" x14ac:dyDescent="0.3">
      <c r="A58" s="453">
        <f>장기양수시험!D37</f>
        <v>480</v>
      </c>
      <c r="B58" s="458">
        <f>장기양수시험!G37</f>
        <v>53.87041198645386</v>
      </c>
      <c r="C58" s="455">
        <v>1</v>
      </c>
    </row>
    <row r="59" spans="1:3" x14ac:dyDescent="0.3">
      <c r="A59" s="453">
        <f>장기양수시험!D38</f>
        <v>540</v>
      </c>
      <c r="B59" s="458">
        <f>장기양수시험!G38</f>
        <v>54.843836283848447</v>
      </c>
      <c r="C59" s="455">
        <v>1</v>
      </c>
    </row>
    <row r="60" spans="1:3" x14ac:dyDescent="0.3">
      <c r="A60" s="453">
        <f>장기양수시험!D39</f>
        <v>600</v>
      </c>
      <c r="B60" s="458">
        <f>장기양수시험!G39</f>
        <v>55.714593989793116</v>
      </c>
      <c r="C60" s="455">
        <v>1</v>
      </c>
    </row>
    <row r="61" spans="1:3" x14ac:dyDescent="0.3">
      <c r="A61" s="453">
        <f>장기양수시험!D40</f>
        <v>660</v>
      </c>
      <c r="B61" s="458">
        <f>장기양수시험!G40</f>
        <v>56.502290149036654</v>
      </c>
      <c r="C61" s="455">
        <v>1</v>
      </c>
    </row>
    <row r="62" spans="1:3" x14ac:dyDescent="0.3">
      <c r="A62" s="453">
        <f>장기양수시험!D41</f>
        <v>720</v>
      </c>
      <c r="B62" s="458">
        <f>장기양수시험!G41</f>
        <v>57.221400401539938</v>
      </c>
      <c r="C62" s="455">
        <v>1</v>
      </c>
    </row>
    <row r="63" spans="1:3" x14ac:dyDescent="0.3">
      <c r="A63" s="453">
        <f>장기양수시험!D42</f>
        <v>780</v>
      </c>
      <c r="B63" s="458">
        <f>장기양수시험!G42</f>
        <v>57.882917707869026</v>
      </c>
      <c r="C63" s="455">
        <v>1</v>
      </c>
    </row>
    <row r="64" spans="1:3" x14ac:dyDescent="0.3">
      <c r="A64" s="453">
        <f>장기양수시험!D43</f>
        <v>840</v>
      </c>
      <c r="B64" s="458">
        <f>장기양수시험!G43</f>
        <v>58.49538707005739</v>
      </c>
      <c r="C64" s="455">
        <v>1</v>
      </c>
    </row>
    <row r="65" spans="1:3" x14ac:dyDescent="0.3">
      <c r="A65" s="453">
        <f>장기양수시험!D44</f>
        <v>900</v>
      </c>
      <c r="B65" s="458">
        <f>장기양수시험!G44</f>
        <v>59.065582404879194</v>
      </c>
      <c r="C65" s="455">
        <v>1</v>
      </c>
    </row>
    <row r="66" spans="1:3" x14ac:dyDescent="0.3">
      <c r="A66" s="453">
        <f>장기양수시험!D45</f>
        <v>960</v>
      </c>
      <c r="B66" s="458">
        <f>장기양수시험!G45</f>
        <v>59.59896451923143</v>
      </c>
      <c r="C66" s="455">
        <v>1</v>
      </c>
    </row>
    <row r="67" spans="1:3" x14ac:dyDescent="0.3">
      <c r="A67" s="453">
        <f>장기양수시험!D46</f>
        <v>1020</v>
      </c>
      <c r="B67" s="458">
        <f>장기양수시험!G46</f>
        <v>60.099999999999994</v>
      </c>
      <c r="C67" s="455">
        <v>1</v>
      </c>
    </row>
    <row r="68" spans="1:3" x14ac:dyDescent="0.3">
      <c r="A68" s="453">
        <f>장기양수시험!D47</f>
        <v>1080</v>
      </c>
      <c r="B68" s="458">
        <f>장기양수시험!G47</f>
        <v>60.099999999999994</v>
      </c>
      <c r="C68" s="455">
        <v>1</v>
      </c>
    </row>
    <row r="69" spans="1:3" x14ac:dyDescent="0.3">
      <c r="A69" s="453">
        <f>장기양수시험!D48</f>
        <v>1140</v>
      </c>
      <c r="B69" s="458">
        <f>장기양수시험!G48</f>
        <v>60.099999999999994</v>
      </c>
      <c r="C69" s="455">
        <v>1</v>
      </c>
    </row>
    <row r="70" spans="1:3" x14ac:dyDescent="0.3">
      <c r="A70" s="453">
        <f>장기양수시험!D49</f>
        <v>1200</v>
      </c>
      <c r="B70" s="458">
        <f>장기양수시험!G49</f>
        <v>60.099999999999994</v>
      </c>
      <c r="C70" s="455">
        <v>1</v>
      </c>
    </row>
    <row r="71" spans="1:3" x14ac:dyDescent="0.3">
      <c r="A71" s="453">
        <f>장기양수시험!D50</f>
        <v>1260</v>
      </c>
      <c r="B71" s="458">
        <f>장기양수시험!G50</f>
        <v>60.099999999999994</v>
      </c>
      <c r="C71" s="455">
        <v>1</v>
      </c>
    </row>
    <row r="72" spans="1:3" x14ac:dyDescent="0.3">
      <c r="A72" s="453">
        <f>장기양수시험!D51</f>
        <v>1320</v>
      </c>
      <c r="B72" s="458">
        <f>장기양수시험!G51</f>
        <v>60.099999999999994</v>
      </c>
      <c r="C72" s="455">
        <v>1</v>
      </c>
    </row>
    <row r="73" spans="1:3" x14ac:dyDescent="0.3">
      <c r="A73" s="453">
        <f>장기양수시험!D52</f>
        <v>1380</v>
      </c>
      <c r="B73" s="458">
        <f>장기양수시험!G52</f>
        <v>60.099999999999994</v>
      </c>
      <c r="C73" s="455">
        <v>1</v>
      </c>
    </row>
    <row r="74" spans="1:3" x14ac:dyDescent="0.3">
      <c r="A74" s="453">
        <f>장기양수시험!D53</f>
        <v>1440</v>
      </c>
      <c r="B74" s="458">
        <f>장기양수시험!G53</f>
        <v>60.099999999999994</v>
      </c>
      <c r="C74" s="455">
        <v>1</v>
      </c>
    </row>
    <row r="75" spans="1:3" x14ac:dyDescent="0.3">
      <c r="A75" s="453" t="s">
        <v>105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32769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32769" r:id="rId4" name="CommandButton1"/>
      </mc:Fallback>
    </mc:AlternateContent>
    <mc:AlternateContent xmlns:mc="http://schemas.openxmlformats.org/markup-compatibility/2006">
      <mc:Choice Requires="x14">
        <control shapeId="32770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32770" r:id="rId6" name="CommandButton2"/>
      </mc:Fallback>
    </mc:AlternateContent>
    <mc:AlternateContent xmlns:mc="http://schemas.openxmlformats.org/markup-compatibility/2006">
      <mc:Choice Requires="x14">
        <control shapeId="32771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32771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53"/>
    <col min="2" max="3" width="8.88671875" style="454"/>
    <col min="4" max="16384" width="8.88671875" style="453"/>
  </cols>
  <sheetData>
    <row r="1" spans="1:2" x14ac:dyDescent="0.3">
      <c r="B1" s="453"/>
    </row>
    <row r="2" spans="1:2" x14ac:dyDescent="0.3">
      <c r="A2" s="453" t="s">
        <v>98</v>
      </c>
      <c r="B2" s="453"/>
    </row>
    <row r="3" spans="1:2" x14ac:dyDescent="0.3">
      <c r="A3" s="453">
        <v>2</v>
      </c>
      <c r="B3" s="453"/>
    </row>
    <row r="4" spans="1:2" x14ac:dyDescent="0.3">
      <c r="A4" s="453">
        <v>1</v>
      </c>
      <c r="B4" s="453"/>
    </row>
    <row r="5" spans="1:2" x14ac:dyDescent="0.3">
      <c r="A5" s="453">
        <v>6</v>
      </c>
      <c r="B5" s="453"/>
    </row>
    <row r="6" spans="1:2" x14ac:dyDescent="0.3">
      <c r="A6" s="453" t="s">
        <v>99</v>
      </c>
      <c r="B6" s="453"/>
    </row>
    <row r="7" spans="1:2" x14ac:dyDescent="0.3">
      <c r="A7" s="453">
        <f>Step.Select!A7</f>
        <v>75</v>
      </c>
      <c r="B7" s="453"/>
    </row>
    <row r="8" spans="1:2" x14ac:dyDescent="0.3">
      <c r="A8" s="453" t="s">
        <v>100</v>
      </c>
      <c r="B8" s="453"/>
    </row>
    <row r="9" spans="1:2" x14ac:dyDescent="0.3">
      <c r="A9" s="453">
        <v>1</v>
      </c>
      <c r="B9" s="453"/>
    </row>
    <row r="10" spans="1:2" x14ac:dyDescent="0.3">
      <c r="A10" s="453" t="s">
        <v>101</v>
      </c>
      <c r="B10" s="453"/>
    </row>
    <row r="11" spans="1:2" x14ac:dyDescent="0.3">
      <c r="A11" s="453">
        <v>1</v>
      </c>
      <c r="B11" s="453"/>
    </row>
    <row r="12" spans="1:2" x14ac:dyDescent="0.3">
      <c r="A12" s="453" t="s">
        <v>102</v>
      </c>
      <c r="B12" s="453"/>
    </row>
    <row r="13" spans="1:2" x14ac:dyDescent="0.3">
      <c r="A13" s="453">
        <v>1</v>
      </c>
      <c r="B13" s="453"/>
    </row>
    <row r="14" spans="1:2" x14ac:dyDescent="0.3">
      <c r="A14" s="453" t="s">
        <v>103</v>
      </c>
      <c r="B14" s="453"/>
    </row>
    <row r="15" spans="1:2" x14ac:dyDescent="0.3">
      <c r="A15" s="453" t="str">
        <f>입력표!I54</f>
        <v>W-1</v>
      </c>
      <c r="B15" s="453"/>
    </row>
    <row r="16" spans="1:2" x14ac:dyDescent="0.3">
      <c r="A16" s="453">
        <v>0</v>
      </c>
      <c r="B16" s="453"/>
    </row>
    <row r="17" spans="1:3" x14ac:dyDescent="0.3">
      <c r="A17" s="453">
        <v>0</v>
      </c>
      <c r="B17" s="453"/>
    </row>
    <row r="18" spans="1:3" x14ac:dyDescent="0.3">
      <c r="A18" s="453">
        <f>Step.Select!A18</f>
        <v>0.125</v>
      </c>
      <c r="B18" s="453"/>
    </row>
    <row r="19" spans="1:3" x14ac:dyDescent="0.3">
      <c r="A19" s="453">
        <f>Step.Select!A19</f>
        <v>0.125</v>
      </c>
      <c r="B19" s="453"/>
    </row>
    <row r="20" spans="1:3" x14ac:dyDescent="0.3">
      <c r="A20" s="453">
        <v>0</v>
      </c>
      <c r="B20" s="453"/>
    </row>
    <row r="21" spans="1:3" x14ac:dyDescent="0.3">
      <c r="A21" s="453">
        <v>0</v>
      </c>
      <c r="B21" s="453"/>
    </row>
    <row r="22" spans="1:3" x14ac:dyDescent="0.3">
      <c r="A22" s="453">
        <v>1</v>
      </c>
      <c r="B22" s="453"/>
    </row>
    <row r="23" spans="1:3" x14ac:dyDescent="0.3">
      <c r="A23" s="453">
        <v>2</v>
      </c>
      <c r="B23" s="453"/>
    </row>
    <row r="24" spans="1:3" x14ac:dyDescent="0.3">
      <c r="A24" s="455">
        <v>0</v>
      </c>
      <c r="B24" s="455">
        <f>입력표!M51</f>
        <v>201</v>
      </c>
    </row>
    <row r="25" spans="1:3" x14ac:dyDescent="0.3">
      <c r="A25" s="455">
        <v>2880</v>
      </c>
      <c r="B25" s="455">
        <v>0</v>
      </c>
    </row>
    <row r="26" spans="1:3" x14ac:dyDescent="0.3">
      <c r="A26" s="453" t="s">
        <v>104</v>
      </c>
      <c r="B26" s="453"/>
    </row>
    <row r="27" spans="1:3" x14ac:dyDescent="0.3">
      <c r="A27" s="453" t="str">
        <f>A15</f>
        <v>W-1</v>
      </c>
      <c r="B27" s="453"/>
    </row>
    <row r="28" spans="1:3" x14ac:dyDescent="0.3">
      <c r="A28" s="457">
        <f>스킨팩터!C9</f>
        <v>1.8818008834781128</v>
      </c>
      <c r="B28" s="453"/>
    </row>
    <row r="29" spans="1:3" x14ac:dyDescent="0.3">
      <c r="A29" s="453">
        <v>0</v>
      </c>
      <c r="B29" s="453"/>
    </row>
    <row r="30" spans="1:3" x14ac:dyDescent="0.3">
      <c r="A30" s="453">
        <v>0</v>
      </c>
      <c r="B30" s="453"/>
    </row>
    <row r="31" spans="1:3" x14ac:dyDescent="0.3">
      <c r="A31" s="455">
        <f>SUM(C32:C56)</f>
        <v>25</v>
      </c>
      <c r="B31" s="453"/>
    </row>
    <row r="32" spans="1:3" x14ac:dyDescent="0.3">
      <c r="A32" s="453">
        <f>장기양수시험!D77</f>
        <v>2880</v>
      </c>
      <c r="B32" s="454">
        <f>장기양수시험!G77</f>
        <v>60.099999999999994</v>
      </c>
      <c r="C32" s="455">
        <v>1</v>
      </c>
    </row>
    <row r="33" spans="1:3" x14ac:dyDescent="0.3">
      <c r="A33" s="453">
        <f>$A$32+장기양수시험!D78</f>
        <v>2881</v>
      </c>
      <c r="B33" s="454">
        <f>장기양수시험!G78</f>
        <v>33.871314076348874</v>
      </c>
      <c r="C33" s="455">
        <v>1</v>
      </c>
    </row>
    <row r="34" spans="1:3" x14ac:dyDescent="0.3">
      <c r="A34" s="453">
        <f>$A$32+장기양수시험!D79</f>
        <v>2882</v>
      </c>
      <c r="B34" s="454">
        <f>장기양수시험!G79</f>
        <v>29.954757753195366</v>
      </c>
      <c r="C34" s="455">
        <v>1</v>
      </c>
    </row>
    <row r="35" spans="1:3" x14ac:dyDescent="0.3">
      <c r="A35" s="453">
        <f>$A$32+장기양수시험!D80</f>
        <v>2883</v>
      </c>
      <c r="B35" s="454">
        <f>장기양수시험!G80</f>
        <v>26.491074719748227</v>
      </c>
      <c r="C35" s="455">
        <v>1</v>
      </c>
    </row>
    <row r="36" spans="1:3" x14ac:dyDescent="0.3">
      <c r="A36" s="453">
        <f>$A$32+장기양수시험!D81</f>
        <v>2884</v>
      </c>
      <c r="B36" s="454">
        <f>장기양수시험!G81</f>
        <v>23.427899019895193</v>
      </c>
      <c r="C36" s="455">
        <v>1</v>
      </c>
    </row>
    <row r="37" spans="1:3" x14ac:dyDescent="0.3">
      <c r="A37" s="453">
        <f>$A$32+장기양수시험!D82</f>
        <v>2885</v>
      </c>
      <c r="B37" s="454">
        <f>장기양수시험!G82</f>
        <v>20.71891979819317</v>
      </c>
      <c r="C37" s="455">
        <v>1</v>
      </c>
    </row>
    <row r="38" spans="1:3" x14ac:dyDescent="0.3">
      <c r="A38" s="453">
        <f>$A$32+장기양수시험!D83</f>
        <v>2890</v>
      </c>
      <c r="B38" s="454">
        <f>장기양수시험!G83</f>
        <v>14.330733072216853</v>
      </c>
      <c r="C38" s="455">
        <v>1</v>
      </c>
    </row>
    <row r="39" spans="1:3" x14ac:dyDescent="0.3">
      <c r="A39" s="453">
        <f>$A$32+장기양수시험!D84</f>
        <v>2895</v>
      </c>
      <c r="B39" s="454">
        <f>장기양수시험!G84</f>
        <v>13.203556170579969</v>
      </c>
      <c r="C39" s="455">
        <v>1</v>
      </c>
    </row>
    <row r="40" spans="1:3" x14ac:dyDescent="0.3">
      <c r="A40" s="453">
        <f>$A$32+장기양수시험!D85</f>
        <v>2900</v>
      </c>
      <c r="B40" s="454">
        <f>장기양수시험!G85</f>
        <v>10.326626014355407</v>
      </c>
      <c r="C40" s="455">
        <v>1</v>
      </c>
    </row>
    <row r="41" spans="1:3" x14ac:dyDescent="0.3">
      <c r="A41" s="453">
        <f>$A$32+장기양수시험!D86</f>
        <v>2905</v>
      </c>
      <c r="B41" s="454">
        <f>장기양수시험!G86</f>
        <v>9.1325532859635015</v>
      </c>
      <c r="C41" s="455">
        <v>1</v>
      </c>
    </row>
    <row r="42" spans="1:3" x14ac:dyDescent="0.3">
      <c r="A42" s="453">
        <f>$A$32+장기양수시험!D87</f>
        <v>2910</v>
      </c>
      <c r="B42" s="454">
        <f>장기양수시험!G87</f>
        <v>8.0765517609546915</v>
      </c>
      <c r="C42" s="455">
        <v>1</v>
      </c>
    </row>
    <row r="43" spans="1:3" x14ac:dyDescent="0.3">
      <c r="A43" s="453">
        <f>$A$32+장기양수시험!D88</f>
        <v>2915</v>
      </c>
      <c r="B43" s="454">
        <f>장기양수시험!G88</f>
        <v>7.7524189773257222</v>
      </c>
      <c r="C43" s="455">
        <v>1</v>
      </c>
    </row>
    <row r="44" spans="1:3" x14ac:dyDescent="0.3">
      <c r="A44" s="453">
        <f>$A$32+장기양수시험!D89</f>
        <v>2920</v>
      </c>
      <c r="B44" s="454">
        <f>장기양수시험!G89</f>
        <v>7.4412944755146162</v>
      </c>
      <c r="C44" s="455">
        <v>1</v>
      </c>
    </row>
    <row r="45" spans="1:3" x14ac:dyDescent="0.3">
      <c r="A45" s="453">
        <f>$A$32+장기양수시험!D90</f>
        <v>2925</v>
      </c>
      <c r="B45" s="454">
        <f>장기양수시험!G90</f>
        <v>7.1426561997331275</v>
      </c>
      <c r="C45" s="455">
        <v>1</v>
      </c>
    </row>
    <row r="46" spans="1:3" x14ac:dyDescent="0.3">
      <c r="A46" s="453">
        <f>$A$32+장기양수시험!D91</f>
        <v>2930</v>
      </c>
      <c r="B46" s="454">
        <f>장기양수시험!G91</f>
        <v>6.8560030456337904</v>
      </c>
      <c r="C46" s="455">
        <v>1</v>
      </c>
    </row>
    <row r="47" spans="1:3" x14ac:dyDescent="0.3">
      <c r="A47" s="453">
        <f>$A$32+장기양수시험!D92</f>
        <v>2935</v>
      </c>
      <c r="B47" s="454">
        <f>장기양수시험!G92</f>
        <v>6.5808540194747245</v>
      </c>
      <c r="C47" s="455">
        <v>1</v>
      </c>
    </row>
    <row r="48" spans="1:3" x14ac:dyDescent="0.3">
      <c r="A48" s="453">
        <f>$A$32+장기양수시험!D93</f>
        <v>2940</v>
      </c>
      <c r="B48" s="454">
        <f>장기양수시험!G93</f>
        <v>6.3167474310293468</v>
      </c>
      <c r="C48" s="455">
        <v>1</v>
      </c>
    </row>
    <row r="49" spans="1:3" x14ac:dyDescent="0.3">
      <c r="A49" s="453">
        <f>$A$32+장기양수시험!D94</f>
        <v>2955</v>
      </c>
      <c r="B49" s="454">
        <f>장기양수시험!G94</f>
        <v>6.0632401188866867</v>
      </c>
      <c r="C49" s="455">
        <v>1</v>
      </c>
    </row>
    <row r="50" spans="1:3" x14ac:dyDescent="0.3">
      <c r="A50" s="453">
        <f>$A$32+장기양수시험!D95</f>
        <v>2970</v>
      </c>
      <c r="B50" s="454">
        <f>장기양수시험!G95</f>
        <v>5.8199067068423762</v>
      </c>
      <c r="C50" s="455">
        <v>1</v>
      </c>
    </row>
    <row r="51" spans="1:3" x14ac:dyDescent="0.3">
      <c r="A51" s="453">
        <f>$A$32+장기양수시험!D96</f>
        <v>2985</v>
      </c>
      <c r="B51" s="454">
        <f>장기양수시험!G96</f>
        <v>5.586338890132593</v>
      </c>
      <c r="C51" s="455">
        <v>1</v>
      </c>
    </row>
    <row r="52" spans="1:3" x14ac:dyDescent="0.3">
      <c r="A52" s="453">
        <f>$A$32+장기양수시험!D97</f>
        <v>3000</v>
      </c>
      <c r="B52" s="454">
        <f>장기양수시험!G97</f>
        <v>4.9403878398099081</v>
      </c>
      <c r="C52" s="455">
        <v>1</v>
      </c>
    </row>
    <row r="53" spans="1:3" x14ac:dyDescent="0.3">
      <c r="A53" s="453">
        <f>$A$32+장기양수시험!D98</f>
        <v>3060</v>
      </c>
      <c r="B53" s="454">
        <f>장기양수시험!G98</f>
        <v>4.7421173761120414</v>
      </c>
      <c r="C53" s="455">
        <v>1</v>
      </c>
    </row>
    <row r="54" spans="1:3" x14ac:dyDescent="0.3">
      <c r="A54" s="453">
        <f>$A$32+장기양수시험!D99</f>
        <v>3120</v>
      </c>
      <c r="B54" s="454">
        <f>장기양수시험!G99</f>
        <v>3.7088547984065103</v>
      </c>
      <c r="C54" s="455">
        <v>1</v>
      </c>
    </row>
    <row r="55" spans="1:3" x14ac:dyDescent="0.3">
      <c r="A55" s="453">
        <f>$A$32+장기양수시험!D100</f>
        <v>3180</v>
      </c>
      <c r="B55" s="454">
        <f>장기양수시험!G100</f>
        <v>2.9007303752023366</v>
      </c>
      <c r="C55" s="455">
        <v>1</v>
      </c>
    </row>
    <row r="56" spans="1:3" x14ac:dyDescent="0.3">
      <c r="A56" s="453">
        <f>$A$32+장기양수시험!D101</f>
        <v>3240</v>
      </c>
      <c r="B56" s="454">
        <f>장기양수시험!G101</f>
        <v>2.2686886295027286</v>
      </c>
      <c r="C56" s="455">
        <v>1</v>
      </c>
    </row>
    <row r="57" spans="1:3" x14ac:dyDescent="0.3">
      <c r="A57" s="453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70"/>
    <col min="2" max="2" width="16.6640625" style="370" customWidth="1"/>
    <col min="3" max="4" width="14.6640625" style="370" customWidth="1"/>
    <col min="5" max="5" width="12" style="452" customWidth="1"/>
    <col min="6" max="6" width="12.33203125" style="452" customWidth="1"/>
    <col min="7" max="7" width="8.88671875" style="370"/>
    <col min="8" max="10" width="12.44140625" style="370" customWidth="1"/>
    <col min="11" max="11" width="8.88671875" style="370"/>
    <col min="12" max="12" width="18.21875" style="370" customWidth="1"/>
    <col min="13" max="15" width="8.88671875" style="370"/>
    <col min="16" max="16" width="10" style="370" customWidth="1"/>
    <col min="17" max="16384" width="8.88671875" style="370"/>
  </cols>
  <sheetData>
    <row r="1" spans="2:16" s="418" customFormat="1" ht="18" customHeight="1" x14ac:dyDescent="0.15">
      <c r="E1" s="419"/>
      <c r="F1" s="419"/>
    </row>
    <row r="2" spans="2:16" s="418" customFormat="1" ht="18" customHeight="1" x14ac:dyDescent="0.15">
      <c r="B2" s="418" t="s">
        <v>257</v>
      </c>
      <c r="E2" s="419"/>
      <c r="F2" s="419"/>
    </row>
    <row r="3" spans="2:16" s="418" customFormat="1" ht="18" customHeight="1" x14ac:dyDescent="0.15">
      <c r="E3" s="419"/>
      <c r="F3" s="419"/>
    </row>
    <row r="4" spans="2:16" s="422" customFormat="1" ht="26.25" customHeight="1" x14ac:dyDescent="0.15">
      <c r="B4" s="420" t="s">
        <v>258</v>
      </c>
      <c r="C4" s="421" t="s">
        <v>239</v>
      </c>
      <c r="E4" s="421"/>
      <c r="F4" s="421"/>
    </row>
    <row r="5" spans="2:16" s="418" customFormat="1" ht="18" customHeight="1" thickBot="1" x14ac:dyDescent="0.2">
      <c r="E5" s="419"/>
      <c r="F5" s="419"/>
    </row>
    <row r="6" spans="2:16" s="418" customFormat="1" ht="26.1" customHeight="1" thickBot="1" x14ac:dyDescent="0.2">
      <c r="B6" s="423" t="s">
        <v>259</v>
      </c>
      <c r="C6" s="424">
        <v>44001.458333333336</v>
      </c>
      <c r="D6" s="425"/>
      <c r="E6" s="419"/>
      <c r="F6" s="419"/>
    </row>
    <row r="7" spans="2:16" s="418" customFormat="1" ht="26.1" customHeight="1" thickBot="1" x14ac:dyDescent="0.2">
      <c r="B7" s="423" t="s">
        <v>260</v>
      </c>
      <c r="C7" s="426">
        <v>14.7</v>
      </c>
      <c r="D7" s="425"/>
      <c r="E7" s="419"/>
      <c r="F7" s="419"/>
    </row>
    <row r="8" spans="2:16" s="418" customFormat="1" ht="26.1" customHeight="1" x14ac:dyDescent="0.15">
      <c r="B8" s="427" t="s">
        <v>261</v>
      </c>
      <c r="C8" s="428">
        <v>225</v>
      </c>
      <c r="D8" s="425"/>
      <c r="E8" s="419"/>
      <c r="F8" s="419"/>
    </row>
    <row r="9" spans="2:16" s="418" customFormat="1" ht="26.1" customHeight="1" x14ac:dyDescent="0.15">
      <c r="B9" s="427" t="s">
        <v>262</v>
      </c>
      <c r="C9" s="429">
        <v>7.1</v>
      </c>
      <c r="D9" s="425"/>
      <c r="E9" s="419"/>
      <c r="F9" s="419"/>
    </row>
    <row r="10" spans="2:16" s="418" customFormat="1" ht="26.1" customHeight="1" x14ac:dyDescent="0.15">
      <c r="B10" s="427"/>
      <c r="C10" s="428"/>
      <c r="D10" s="425"/>
      <c r="E10" s="419"/>
      <c r="F10" s="419"/>
    </row>
    <row r="11" spans="2:16" s="418" customFormat="1" ht="18" customHeight="1" thickBot="1" x14ac:dyDescent="0.2">
      <c r="E11" s="419"/>
      <c r="F11" s="419"/>
      <c r="L11"/>
      <c r="M11"/>
      <c r="N11"/>
      <c r="O11"/>
      <c r="P11"/>
    </row>
    <row r="12" spans="2:16" s="419" customFormat="1" ht="26.1" customHeight="1" x14ac:dyDescent="0.15">
      <c r="B12" s="510" t="s">
        <v>263</v>
      </c>
      <c r="C12" s="511"/>
      <c r="D12" s="512" t="s">
        <v>239</v>
      </c>
      <c r="E12" s="513"/>
      <c r="F12" s="511"/>
      <c r="H12" s="510" t="s">
        <v>239</v>
      </c>
      <c r="I12" s="513"/>
      <c r="J12" s="511"/>
      <c r="L12"/>
      <c r="M12"/>
      <c r="N12"/>
      <c r="O12"/>
      <c r="P12"/>
    </row>
    <row r="13" spans="2:16" s="419" customFormat="1" ht="26.1" customHeight="1" x14ac:dyDescent="0.15">
      <c r="B13" s="430" t="s">
        <v>259</v>
      </c>
      <c r="C13" s="431" t="s">
        <v>264</v>
      </c>
      <c r="D13" s="432" t="s">
        <v>265</v>
      </c>
      <c r="E13" s="433" t="s">
        <v>266</v>
      </c>
      <c r="F13" s="431" t="s">
        <v>267</v>
      </c>
      <c r="H13" s="430" t="s">
        <v>265</v>
      </c>
      <c r="I13" s="433" t="s">
        <v>266</v>
      </c>
      <c r="J13" s="431" t="s">
        <v>267</v>
      </c>
      <c r="L13"/>
      <c r="M13"/>
      <c r="N13"/>
      <c r="O13"/>
      <c r="P13"/>
    </row>
    <row r="14" spans="2:16" s="419" customFormat="1" ht="26.1" customHeight="1" x14ac:dyDescent="0.15">
      <c r="B14" s="434">
        <f>$C$6+C14/1440</f>
        <v>44001.461805555555</v>
      </c>
      <c r="C14" s="435">
        <v>5</v>
      </c>
      <c r="D14" s="436">
        <f t="shared" ref="D14:D23" si="0">baseTemp+H14</f>
        <v>14.5</v>
      </c>
      <c r="E14" s="437">
        <f>$C$8+I14</f>
        <v>224</v>
      </c>
      <c r="F14" s="438">
        <f>$C$9+J14</f>
        <v>7</v>
      </c>
      <c r="H14" s="439">
        <v>-0.2</v>
      </c>
      <c r="I14" s="440">
        <v>-1</v>
      </c>
      <c r="J14" s="441">
        <v>-0.1</v>
      </c>
      <c r="L14"/>
      <c r="M14"/>
      <c r="N14"/>
      <c r="O14"/>
      <c r="P14"/>
    </row>
    <row r="15" spans="2:16" s="419" customFormat="1" ht="26.1" customHeight="1" x14ac:dyDescent="0.15">
      <c r="B15" s="442">
        <f t="shared" ref="B15:B23" si="1">$C$6+C15/1440</f>
        <v>44001.479166666672</v>
      </c>
      <c r="C15" s="441">
        <v>30</v>
      </c>
      <c r="D15" s="443">
        <f t="shared" si="0"/>
        <v>14.6</v>
      </c>
      <c r="E15" s="444">
        <f t="shared" ref="E15:E23" si="2">$C$8+I15</f>
        <v>224</v>
      </c>
      <c r="F15" s="445">
        <f t="shared" ref="F15:F23" si="3">$C$9+J15</f>
        <v>7.01</v>
      </c>
      <c r="H15" s="439">
        <v>-0.1</v>
      </c>
      <c r="I15" s="440">
        <v>-1</v>
      </c>
      <c r="J15" s="441">
        <v>-0.09</v>
      </c>
      <c r="L15"/>
      <c r="M15"/>
      <c r="N15"/>
      <c r="O15"/>
      <c r="P15"/>
    </row>
    <row r="16" spans="2:16" s="419" customFormat="1" ht="26.1" customHeight="1" x14ac:dyDescent="0.15">
      <c r="B16" s="442">
        <f t="shared" si="1"/>
        <v>44001.5</v>
      </c>
      <c r="C16" s="441">
        <v>60</v>
      </c>
      <c r="D16" s="443">
        <f t="shared" si="0"/>
        <v>14.799999999999999</v>
      </c>
      <c r="E16" s="444">
        <f t="shared" si="2"/>
        <v>222</v>
      </c>
      <c r="F16" s="445">
        <f t="shared" si="3"/>
        <v>6.9899999999999993</v>
      </c>
      <c r="H16" s="439">
        <v>0.1</v>
      </c>
      <c r="I16" s="440">
        <v>-3</v>
      </c>
      <c r="J16" s="441">
        <v>-0.11</v>
      </c>
      <c r="L16"/>
      <c r="M16"/>
      <c r="N16"/>
      <c r="O16"/>
      <c r="P16"/>
    </row>
    <row r="17" spans="2:16" s="419" customFormat="1" ht="26.1" customHeight="1" x14ac:dyDescent="0.15">
      <c r="B17" s="442">
        <f t="shared" si="1"/>
        <v>44001.541666666672</v>
      </c>
      <c r="C17" s="441">
        <v>120</v>
      </c>
      <c r="D17" s="443">
        <f t="shared" si="0"/>
        <v>14.6</v>
      </c>
      <c r="E17" s="444">
        <f t="shared" si="2"/>
        <v>224</v>
      </c>
      <c r="F17" s="445">
        <f t="shared" si="3"/>
        <v>7</v>
      </c>
      <c r="H17" s="439">
        <v>-0.1</v>
      </c>
      <c r="I17" s="440">
        <v>-1</v>
      </c>
      <c r="J17" s="441">
        <v>-0.1</v>
      </c>
      <c r="L17"/>
      <c r="M17"/>
      <c r="N17"/>
      <c r="O17"/>
      <c r="P17"/>
    </row>
    <row r="18" spans="2:16" s="419" customFormat="1" ht="26.1" customHeight="1" x14ac:dyDescent="0.15">
      <c r="B18" s="442">
        <f t="shared" si="1"/>
        <v>44001.625</v>
      </c>
      <c r="C18" s="441">
        <v>240</v>
      </c>
      <c r="D18" s="443">
        <f t="shared" si="0"/>
        <v>15</v>
      </c>
      <c r="E18" s="444">
        <f t="shared" si="2"/>
        <v>226</v>
      </c>
      <c r="F18" s="445">
        <f t="shared" si="3"/>
        <v>7.02</v>
      </c>
      <c r="H18" s="439">
        <v>0.3</v>
      </c>
      <c r="I18" s="440">
        <v>1</v>
      </c>
      <c r="J18" s="441">
        <v>-0.08</v>
      </c>
      <c r="L18"/>
      <c r="M18"/>
      <c r="N18"/>
      <c r="O18"/>
      <c r="P18"/>
    </row>
    <row r="19" spans="2:16" s="419" customFormat="1" ht="26.1" customHeight="1" x14ac:dyDescent="0.15">
      <c r="B19" s="442">
        <f t="shared" si="1"/>
        <v>44001.791666666672</v>
      </c>
      <c r="C19" s="441">
        <v>480</v>
      </c>
      <c r="D19" s="446">
        <f t="shared" si="0"/>
        <v>14.5</v>
      </c>
      <c r="E19" s="444">
        <f t="shared" si="2"/>
        <v>226</v>
      </c>
      <c r="F19" s="445">
        <f t="shared" si="3"/>
        <v>7.22</v>
      </c>
      <c r="H19" s="439">
        <v>-0.2</v>
      </c>
      <c r="I19" s="440">
        <v>1</v>
      </c>
      <c r="J19" s="441">
        <v>0.12</v>
      </c>
      <c r="L19"/>
      <c r="M19"/>
      <c r="N19"/>
      <c r="O19"/>
      <c r="P19"/>
    </row>
    <row r="20" spans="2:16" s="418" customFormat="1" ht="26.1" customHeight="1" x14ac:dyDescent="0.15">
      <c r="B20" s="442">
        <f t="shared" si="1"/>
        <v>44002.458333333336</v>
      </c>
      <c r="C20" s="441">
        <v>1440</v>
      </c>
      <c r="D20" s="443">
        <f t="shared" si="0"/>
        <v>14.799999999999999</v>
      </c>
      <c r="E20" s="444">
        <f t="shared" si="2"/>
        <v>223</v>
      </c>
      <c r="F20" s="445">
        <f t="shared" si="3"/>
        <v>6.97</v>
      </c>
      <c r="H20" s="439">
        <v>0.1</v>
      </c>
      <c r="I20" s="440">
        <v>-2</v>
      </c>
      <c r="J20" s="441">
        <v>-0.13</v>
      </c>
      <c r="L20"/>
      <c r="M20"/>
      <c r="N20"/>
      <c r="O20"/>
      <c r="P20"/>
    </row>
    <row r="21" spans="2:16" s="418" customFormat="1" ht="26.1" customHeight="1" x14ac:dyDescent="0.15">
      <c r="B21" s="442">
        <f t="shared" si="1"/>
        <v>44002.625</v>
      </c>
      <c r="C21" s="441">
        <v>1680</v>
      </c>
      <c r="D21" s="443">
        <f t="shared" si="0"/>
        <v>15</v>
      </c>
      <c r="E21" s="444">
        <f t="shared" si="2"/>
        <v>226</v>
      </c>
      <c r="F21" s="445">
        <f t="shared" si="3"/>
        <v>7.21</v>
      </c>
      <c r="H21" s="439">
        <v>0.3</v>
      </c>
      <c r="I21" s="440">
        <v>1</v>
      </c>
      <c r="J21" s="441">
        <v>0.11</v>
      </c>
      <c r="L21"/>
      <c r="M21"/>
      <c r="N21"/>
      <c r="O21"/>
      <c r="P21"/>
    </row>
    <row r="22" spans="2:16" s="418" customFormat="1" ht="26.1" customHeight="1" x14ac:dyDescent="0.15">
      <c r="B22" s="442">
        <f t="shared" si="1"/>
        <v>44002.791666666672</v>
      </c>
      <c r="C22" s="441">
        <v>1920</v>
      </c>
      <c r="D22" s="443">
        <f t="shared" si="0"/>
        <v>14.899999999999999</v>
      </c>
      <c r="E22" s="444">
        <f t="shared" si="2"/>
        <v>227</v>
      </c>
      <c r="F22" s="445">
        <f t="shared" si="3"/>
        <v>7.21</v>
      </c>
      <c r="H22" s="439">
        <v>0.2</v>
      </c>
      <c r="I22" s="440">
        <v>2</v>
      </c>
      <c r="J22" s="441">
        <v>0.11</v>
      </c>
      <c r="L22"/>
      <c r="M22"/>
      <c r="N22"/>
      <c r="O22"/>
      <c r="P22"/>
    </row>
    <row r="23" spans="2:16" s="418" customFormat="1" ht="26.1" customHeight="1" thickBot="1" x14ac:dyDescent="0.2">
      <c r="B23" s="442">
        <f t="shared" si="1"/>
        <v>44003.458333333336</v>
      </c>
      <c r="C23" s="441">
        <v>2880</v>
      </c>
      <c r="D23" s="443">
        <f t="shared" si="0"/>
        <v>14.899999999999999</v>
      </c>
      <c r="E23" s="444">
        <f t="shared" si="2"/>
        <v>223</v>
      </c>
      <c r="F23" s="445">
        <f t="shared" si="3"/>
        <v>7.17</v>
      </c>
      <c r="H23" s="447">
        <v>0.2</v>
      </c>
      <c r="I23" s="440">
        <v>-2</v>
      </c>
      <c r="J23" s="448">
        <v>7.0000000000000007E-2</v>
      </c>
      <c r="L23"/>
      <c r="M23"/>
      <c r="N23"/>
      <c r="O23"/>
      <c r="P23"/>
    </row>
    <row r="24" spans="2:16" s="418" customFormat="1" ht="26.1" customHeight="1" x14ac:dyDescent="0.15">
      <c r="B24" s="514" t="s">
        <v>178</v>
      </c>
      <c r="C24" s="515"/>
      <c r="D24" s="432">
        <f>MAX(D14:D23)</f>
        <v>15</v>
      </c>
      <c r="E24" s="433">
        <f t="shared" ref="E24:F24" si="4">MAX(E14:E23)</f>
        <v>227</v>
      </c>
      <c r="F24" s="431">
        <f t="shared" si="4"/>
        <v>7.22</v>
      </c>
      <c r="H24" s="419"/>
      <c r="I24" s="419"/>
      <c r="J24" s="419"/>
      <c r="L24"/>
      <c r="M24"/>
      <c r="N24"/>
      <c r="O24"/>
      <c r="P24"/>
    </row>
    <row r="25" spans="2:16" s="418" customFormat="1" ht="26.1" customHeight="1" x14ac:dyDescent="0.15">
      <c r="B25" s="514" t="s">
        <v>268</v>
      </c>
      <c r="C25" s="515"/>
      <c r="D25" s="432">
        <f>MIN(D14:D23)</f>
        <v>14.5</v>
      </c>
      <c r="E25" s="433">
        <f t="shared" ref="E25:F25" si="5">MIN(E14:E23)</f>
        <v>222</v>
      </c>
      <c r="F25" s="431">
        <f t="shared" si="5"/>
        <v>6.97</v>
      </c>
      <c r="H25" s="419"/>
      <c r="I25" s="419"/>
      <c r="J25" s="419"/>
      <c r="L25"/>
      <c r="M25"/>
      <c r="N25"/>
      <c r="O25"/>
      <c r="P25"/>
    </row>
    <row r="26" spans="2:16" s="418" customFormat="1" ht="26.1" customHeight="1" thickBot="1" x14ac:dyDescent="0.2">
      <c r="B26" s="508" t="s">
        <v>269</v>
      </c>
      <c r="C26" s="509"/>
      <c r="D26" s="449">
        <f>D24-D25</f>
        <v>0.5</v>
      </c>
      <c r="E26" s="450">
        <f t="shared" ref="E26:F26" si="6">E24-E25</f>
        <v>5</v>
      </c>
      <c r="F26" s="451">
        <f t="shared" si="6"/>
        <v>0.25</v>
      </c>
      <c r="H26" s="419"/>
      <c r="I26" s="419"/>
      <c r="J26" s="419"/>
      <c r="L26"/>
      <c r="M26"/>
      <c r="N26"/>
      <c r="O26"/>
      <c r="P26"/>
    </row>
    <row r="27" spans="2:16" s="418" customFormat="1" ht="18" customHeight="1" x14ac:dyDescent="0.15">
      <c r="E27" s="419"/>
      <c r="F27" s="419"/>
      <c r="L27"/>
      <c r="M27"/>
      <c r="N27"/>
      <c r="O27"/>
      <c r="P27"/>
    </row>
    <row r="28" spans="2:16" s="418" customFormat="1" ht="18" customHeight="1" x14ac:dyDescent="0.15">
      <c r="E28" s="419"/>
      <c r="F28" s="419"/>
      <c r="L28"/>
      <c r="M28"/>
      <c r="N28"/>
      <c r="O28"/>
      <c r="P28"/>
    </row>
    <row r="29" spans="2:16" s="418" customFormat="1" ht="18" customHeight="1" x14ac:dyDescent="0.15">
      <c r="E29" s="419"/>
      <c r="F29" s="419"/>
    </row>
    <row r="30" spans="2:16" s="418" customFormat="1" ht="18" customHeight="1" x14ac:dyDescent="0.15">
      <c r="E30" s="419"/>
      <c r="F30" s="419"/>
    </row>
    <row r="31" spans="2:16" s="418" customFormat="1" ht="18" customHeight="1" x14ac:dyDescent="0.15">
      <c r="E31" s="419"/>
      <c r="F31" s="419"/>
    </row>
    <row r="32" spans="2:16" s="418" customFormat="1" ht="18" customHeight="1" x14ac:dyDescent="0.15">
      <c r="E32" s="419"/>
      <c r="F32" s="419"/>
    </row>
    <row r="33" spans="5:6" s="418" customFormat="1" ht="18" customHeight="1" x14ac:dyDescent="0.15">
      <c r="E33" s="419"/>
      <c r="F33" s="419"/>
    </row>
    <row r="34" spans="5:6" s="418" customFormat="1" ht="18" customHeight="1" x14ac:dyDescent="0.15">
      <c r="E34" s="419"/>
      <c r="F34" s="419"/>
    </row>
    <row r="35" spans="5:6" s="418" customFormat="1" ht="18" customHeight="1" x14ac:dyDescent="0.15">
      <c r="E35" s="419"/>
      <c r="F35" s="419"/>
    </row>
    <row r="36" spans="5:6" s="418" customFormat="1" ht="18" customHeight="1" x14ac:dyDescent="0.15">
      <c r="E36" s="419"/>
      <c r="F36" s="419"/>
    </row>
    <row r="37" spans="5:6" s="418" customFormat="1" ht="18" customHeight="1" x14ac:dyDescent="0.15">
      <c r="E37" s="419"/>
      <c r="F37" s="419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6">
    <mergeCell ref="B26:C26"/>
    <mergeCell ref="B12:C12"/>
    <mergeCell ref="D12:F12"/>
    <mergeCell ref="H12:J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16" t="s">
        <v>152</v>
      </c>
      <c r="B1" s="516"/>
      <c r="C1" s="516"/>
      <c r="D1" s="516"/>
      <c r="E1" s="516"/>
      <c r="F1" s="516"/>
      <c r="G1" s="516"/>
      <c r="H1" s="516"/>
      <c r="I1" s="516"/>
      <c r="J1" s="516"/>
      <c r="K1" s="516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7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</vt:i4>
      </vt:variant>
    </vt:vector>
  </HeadingPairs>
  <TitlesOfParts>
    <vt:vector size="27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d3_janggi_02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2020-06-24T12:18:45Z</cp:lastPrinted>
  <dcterms:created xsi:type="dcterms:W3CDTF">1998-04-14T02:17:03Z</dcterms:created>
  <dcterms:modified xsi:type="dcterms:W3CDTF">2020-06-25T10:32:14Z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