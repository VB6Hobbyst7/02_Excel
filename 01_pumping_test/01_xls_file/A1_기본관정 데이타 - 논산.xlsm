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4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comments1.xml" ContentType="application/vnd.openxmlformats-officedocument.spreadsheetml.comments+xml"/>
  <Override PartName="/xl/drawings/drawing5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drawings/drawing6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730" codeName="{B08E4597-CF32-672E-EC9B-63DB714DCB7F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D:\09_hardRain\05_ihanseol - 2020\09_논산시 노성면 장구리 436-3 , 관정개발 - 동해엔지니어링\"/>
    </mc:Choice>
  </mc:AlternateContent>
  <xr:revisionPtr revIDLastSave="0" documentId="13_ncr:1_{2F89A5B0-DB88-4771-907C-9DD2DEE871A4}" xr6:coauthVersionLast="45" xr6:coauthVersionMax="45" xr10:uidLastSave="{00000000-0000-0000-0000-000000000000}"/>
  <bookViews>
    <workbookView xWindow="7320" yWindow="3030" windowWidth="27480" windowHeight="17010" tabRatio="668" xr2:uid="{00000000-000D-0000-FFFF-FFFF00000000}"/>
  </bookViews>
  <sheets>
    <sheet name="30Year" sheetId="54" r:id="rId1"/>
    <sheet name="Y" sheetId="25" r:id="rId2"/>
    <sheet name="M" sheetId="26" r:id="rId3"/>
    <sheet name="Recharge" sheetId="23" r:id="rId4"/>
    <sheet name="drastic" sheetId="84" state="hidden" r:id="rId5"/>
    <sheet name="Well" sheetId="52" r:id="rId6"/>
    <sheet name="1" sheetId="55" r:id="rId7"/>
    <sheet name="Q1" sheetId="114" r:id="rId8"/>
    <sheet name="Q2" sheetId="115" r:id="rId9"/>
    <sheet name="w1" sheetId="100" r:id="rId10"/>
  </sheets>
  <functionGroups builtInGroupCount="19"/>
  <externalReferences>
    <externalReference r:id="rId11"/>
    <externalReference r:id="rId12"/>
  </externalReferences>
  <definedNames>
    <definedName name="allow_ratio">Recharge!$C$27</definedName>
    <definedName name="baseTemp" localSheetId="7">'Q1'!$C$7</definedName>
    <definedName name="baseTemp" localSheetId="8">'Q2'!$C$7</definedName>
    <definedName name="baseTemp" localSheetId="9">'w1'!$C$7</definedName>
    <definedName name="baseTemp">#REF!</definedName>
    <definedName name="max" localSheetId="7">[1]지하수함양량!$C$27</definedName>
    <definedName name="max" localSheetId="8">[1]지하수함양량!$C$27</definedName>
    <definedName name="max" localSheetId="9">[2]지하수함양량!$C$30</definedName>
    <definedName name="max">Recharge!$C$26</definedName>
    <definedName name="min" localSheetId="7">[1]지하수함양량!$C$26</definedName>
    <definedName name="min" localSheetId="8">[1]지하수함양량!$C$26</definedName>
    <definedName name="min" localSheetId="9">[2]지하수함양량!$C$29</definedName>
    <definedName name="min">Recharge!$C$25</definedName>
    <definedName name="rf_1" localSheetId="7">[1]지하수함양량!$C$29</definedName>
    <definedName name="rf_1" localSheetId="8">[1]지하수함양량!$C$29</definedName>
    <definedName name="rf_1" localSheetId="9">[2]지하수함양량!$C$32</definedName>
    <definedName name="rf_1">Recharge!$C$29</definedName>
    <definedName name="rf_2" localSheetId="7">[1]지하수함양량!$D$29</definedName>
    <definedName name="rf_2" localSheetId="8">[1]지하수함양량!$D$29</definedName>
    <definedName name="rf_2" localSheetId="9">[2]지하수함양량!$D$32</definedName>
    <definedName name="rf_2">Recharge!$D$29</definedName>
  </definedNames>
  <calcPr calcId="191029"/>
  <fileRecoveryPr autoRecover="0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E21" i="55" l="1"/>
  <c r="F21" i="55"/>
  <c r="E17" i="55"/>
  <c r="C19" i="55"/>
  <c r="C18" i="55"/>
  <c r="C17" i="55"/>
  <c r="C16" i="55"/>
  <c r="C15" i="55"/>
  <c r="C8" i="55"/>
  <c r="C7" i="55"/>
  <c r="C6" i="55"/>
  <c r="C5" i="55"/>
  <c r="C4" i="55"/>
  <c r="C3" i="55"/>
  <c r="C2" i="55"/>
  <c r="B59" i="23" l="1"/>
  <c r="B65" i="23" s="1"/>
  <c r="B62" i="23" l="1"/>
  <c r="B63" i="23" s="1"/>
  <c r="B6" i="23" l="1"/>
  <c r="B7" i="23"/>
  <c r="B8" i="23"/>
  <c r="B9" i="23"/>
  <c r="B10" i="23"/>
  <c r="B11" i="23"/>
  <c r="B12" i="23"/>
  <c r="B13" i="23"/>
  <c r="B14" i="23"/>
  <c r="B5" i="23"/>
  <c r="C22" i="55" l="1"/>
  <c r="I23" i="100"/>
  <c r="I14" i="100"/>
  <c r="I15" i="100"/>
  <c r="I20" i="100"/>
  <c r="I21" i="100"/>
  <c r="I17" i="100"/>
  <c r="I18" i="100"/>
  <c r="I22" i="100"/>
  <c r="I19" i="100"/>
  <c r="I16" i="100"/>
  <c r="I5" i="52" l="1"/>
  <c r="B23" i="115" l="1"/>
  <c r="B22" i="115"/>
  <c r="B21" i="115"/>
  <c r="B20" i="115"/>
  <c r="B19" i="115"/>
  <c r="B18" i="115"/>
  <c r="B17" i="115"/>
  <c r="B16" i="115"/>
  <c r="B15" i="115"/>
  <c r="B14" i="115"/>
  <c r="F40" i="115"/>
  <c r="E33" i="115"/>
  <c r="D34" i="115"/>
  <c r="E34" i="115"/>
  <c r="F36" i="115"/>
  <c r="L37" i="115"/>
  <c r="L34" i="115"/>
  <c r="J32" i="115"/>
  <c r="E38" i="115"/>
  <c r="H37" i="115"/>
  <c r="N40" i="115"/>
  <c r="L32" i="115"/>
  <c r="F35" i="115"/>
  <c r="L39" i="115"/>
  <c r="I35" i="115"/>
  <c r="F39" i="115"/>
  <c r="M34" i="115"/>
  <c r="N35" i="115"/>
  <c r="E35" i="115"/>
  <c r="F37" i="115"/>
  <c r="I38" i="115"/>
  <c r="H39" i="115"/>
  <c r="M38" i="115"/>
  <c r="M35" i="115"/>
  <c r="I32" i="115"/>
  <c r="D37" i="115"/>
  <c r="M39" i="115"/>
  <c r="M32" i="115"/>
  <c r="E39" i="115"/>
  <c r="E36" i="115"/>
  <c r="H32" i="115"/>
  <c r="L35" i="115"/>
  <c r="D40" i="115"/>
  <c r="L40" i="115"/>
  <c r="I33" i="115"/>
  <c r="I39" i="115"/>
  <c r="E40" i="115"/>
  <c r="J31" i="115"/>
  <c r="D31" i="115"/>
  <c r="J35" i="115"/>
  <c r="N39" i="115"/>
  <c r="J36" i="115"/>
  <c r="D32" i="115"/>
  <c r="F32" i="115"/>
  <c r="N31" i="115"/>
  <c r="I31" i="115"/>
  <c r="H40" i="115"/>
  <c r="N32" i="115"/>
  <c r="H38" i="115"/>
  <c r="N33" i="115"/>
  <c r="H31" i="115"/>
  <c r="E37" i="115"/>
  <c r="E32" i="115"/>
  <c r="I34" i="115"/>
  <c r="H33" i="115"/>
  <c r="N36" i="115"/>
  <c r="L38" i="115"/>
  <c r="F31" i="115"/>
  <c r="I36" i="115"/>
  <c r="I40" i="115"/>
  <c r="N38" i="115"/>
  <c r="D35" i="115"/>
  <c r="L33" i="115"/>
  <c r="H34" i="115"/>
  <c r="M40" i="115"/>
  <c r="F38" i="115"/>
  <c r="L36" i="115"/>
  <c r="J38" i="115"/>
  <c r="J33" i="115"/>
  <c r="D33" i="115"/>
  <c r="M31" i="115"/>
  <c r="L31" i="115"/>
  <c r="N34" i="115"/>
  <c r="H35" i="115"/>
  <c r="F33" i="115"/>
  <c r="E31" i="115"/>
  <c r="M36" i="115"/>
  <c r="M37" i="115"/>
  <c r="N37" i="115"/>
  <c r="H36" i="115"/>
  <c r="D39" i="115"/>
  <c r="D36" i="115"/>
  <c r="M33" i="115"/>
  <c r="I37" i="115"/>
  <c r="F34" i="115"/>
  <c r="D38" i="115"/>
  <c r="J39" i="115"/>
  <c r="J34" i="115"/>
  <c r="J37" i="115"/>
  <c r="J40" i="115"/>
  <c r="E15" i="115" l="1"/>
  <c r="H16" i="115"/>
  <c r="G17" i="115"/>
  <c r="J18" i="115"/>
  <c r="D20" i="115"/>
  <c r="L20" i="115"/>
  <c r="K21" i="115"/>
  <c r="I23" i="115"/>
  <c r="G14" i="115"/>
  <c r="K14" i="115"/>
  <c r="F15" i="115"/>
  <c r="J15" i="115"/>
  <c r="E16" i="115"/>
  <c r="I16" i="115"/>
  <c r="D17" i="115"/>
  <c r="H17" i="115"/>
  <c r="L17" i="115"/>
  <c r="G18" i="115"/>
  <c r="K18" i="115"/>
  <c r="F19" i="115"/>
  <c r="J19" i="115"/>
  <c r="E20" i="115"/>
  <c r="I20" i="115"/>
  <c r="D21" i="115"/>
  <c r="H21" i="115"/>
  <c r="L21" i="115"/>
  <c r="G22" i="115"/>
  <c r="K22" i="115"/>
  <c r="F23" i="115"/>
  <c r="J23" i="115"/>
  <c r="J14" i="115"/>
  <c r="D16" i="115"/>
  <c r="K17" i="115"/>
  <c r="I19" i="115"/>
  <c r="J22" i="115"/>
  <c r="D14" i="115"/>
  <c r="H14" i="115"/>
  <c r="L14" i="115"/>
  <c r="G15" i="115"/>
  <c r="K15" i="115"/>
  <c r="F16" i="115"/>
  <c r="J16" i="115"/>
  <c r="E17" i="115"/>
  <c r="I17" i="115"/>
  <c r="D18" i="115"/>
  <c r="H18" i="115"/>
  <c r="L18" i="115"/>
  <c r="G19" i="115"/>
  <c r="K19" i="115"/>
  <c r="F20" i="115"/>
  <c r="J20" i="115"/>
  <c r="E21" i="115"/>
  <c r="I21" i="115"/>
  <c r="D22" i="115"/>
  <c r="H22" i="115"/>
  <c r="L22" i="115"/>
  <c r="G23" i="115"/>
  <c r="K23" i="115"/>
  <c r="F14" i="115"/>
  <c r="I15" i="115"/>
  <c r="L16" i="115"/>
  <c r="F18" i="115"/>
  <c r="E19" i="115"/>
  <c r="H20" i="115"/>
  <c r="G21" i="115"/>
  <c r="F22" i="115"/>
  <c r="E23" i="115"/>
  <c r="E14" i="115"/>
  <c r="I14" i="115"/>
  <c r="D15" i="115"/>
  <c r="H15" i="115"/>
  <c r="L15" i="115"/>
  <c r="G16" i="115"/>
  <c r="K16" i="115"/>
  <c r="F17" i="115"/>
  <c r="J17" i="115"/>
  <c r="E18" i="115"/>
  <c r="I18" i="115"/>
  <c r="D19" i="115"/>
  <c r="H19" i="115"/>
  <c r="L19" i="115"/>
  <c r="G20" i="115"/>
  <c r="K20" i="115"/>
  <c r="F21" i="115"/>
  <c r="J21" i="115"/>
  <c r="E22" i="115"/>
  <c r="I22" i="115"/>
  <c r="D23" i="115"/>
  <c r="H23" i="115"/>
  <c r="L23" i="115"/>
  <c r="E24" i="115" l="1"/>
  <c r="E25" i="115"/>
  <c r="D24" i="115"/>
  <c r="D25" i="115"/>
  <c r="F25" i="115"/>
  <c r="F24" i="115"/>
  <c r="J25" i="115"/>
  <c r="J24" i="115"/>
  <c r="L24" i="115"/>
  <c r="L25" i="115"/>
  <c r="K25" i="115"/>
  <c r="K24" i="115"/>
  <c r="I25" i="115"/>
  <c r="I24" i="115"/>
  <c r="H24" i="115"/>
  <c r="H25" i="115"/>
  <c r="G25" i="115"/>
  <c r="G24" i="115"/>
  <c r="L26" i="115" l="1"/>
  <c r="E26" i="115"/>
  <c r="D26" i="115"/>
  <c r="H26" i="115"/>
  <c r="K26" i="115"/>
  <c r="J26" i="115"/>
  <c r="G26" i="115"/>
  <c r="I26" i="115"/>
  <c r="F26" i="115"/>
  <c r="B23" i="114" l="1"/>
  <c r="B22" i="114"/>
  <c r="B21" i="114"/>
  <c r="B20" i="114"/>
  <c r="B19" i="114"/>
  <c r="B18" i="114"/>
  <c r="B17" i="114"/>
  <c r="B16" i="114"/>
  <c r="B15" i="114"/>
  <c r="B14" i="114"/>
  <c r="E34" i="114"/>
  <c r="F39" i="114"/>
  <c r="J34" i="114"/>
  <c r="J37" i="114"/>
  <c r="F31" i="114"/>
  <c r="H36" i="114"/>
  <c r="J23" i="100"/>
  <c r="H38" i="114"/>
  <c r="J38" i="114"/>
  <c r="I31" i="114"/>
  <c r="D32" i="114"/>
  <c r="F33" i="114"/>
  <c r="D33" i="114"/>
  <c r="I35" i="114"/>
  <c r="E37" i="114"/>
  <c r="J35" i="114"/>
  <c r="H35" i="114"/>
  <c r="J39" i="114"/>
  <c r="E33" i="114"/>
  <c r="D37" i="114"/>
  <c r="H37" i="114"/>
  <c r="E35" i="114"/>
  <c r="J40" i="114"/>
  <c r="D34" i="114"/>
  <c r="D38" i="114"/>
  <c r="E39" i="114"/>
  <c r="I39" i="114"/>
  <c r="J14" i="100"/>
  <c r="F37" i="114"/>
  <c r="J22" i="100"/>
  <c r="D40" i="114"/>
  <c r="H32" i="114"/>
  <c r="I37" i="114"/>
  <c r="F38" i="114"/>
  <c r="J17" i="100"/>
  <c r="D39" i="114"/>
  <c r="I32" i="114"/>
  <c r="E31" i="114"/>
  <c r="F40" i="114"/>
  <c r="H39" i="114"/>
  <c r="I38" i="114"/>
  <c r="I34" i="114"/>
  <c r="I40" i="114"/>
  <c r="D31" i="114"/>
  <c r="F36" i="114"/>
  <c r="F34" i="114"/>
  <c r="H31" i="114"/>
  <c r="J15" i="100"/>
  <c r="F35" i="114"/>
  <c r="J18" i="100"/>
  <c r="E36" i="114"/>
  <c r="J36" i="114"/>
  <c r="I36" i="114"/>
  <c r="J32" i="114"/>
  <c r="J19" i="100"/>
  <c r="H40" i="114"/>
  <c r="J33" i="114"/>
  <c r="D36" i="114"/>
  <c r="J20" i="100"/>
  <c r="D35" i="114"/>
  <c r="J31" i="114"/>
  <c r="H34" i="114"/>
  <c r="I33" i="114"/>
  <c r="J16" i="100"/>
  <c r="E40" i="114"/>
  <c r="E32" i="114"/>
  <c r="F32" i="114"/>
  <c r="J21" i="100"/>
  <c r="E38" i="114"/>
  <c r="H33" i="114"/>
  <c r="D14" i="114" l="1"/>
  <c r="F15" i="114"/>
  <c r="H16" i="114"/>
  <c r="D18" i="114"/>
  <c r="H18" i="114"/>
  <c r="D20" i="114"/>
  <c r="F21" i="114"/>
  <c r="D22" i="114"/>
  <c r="F23" i="114"/>
  <c r="E14" i="114"/>
  <c r="I14" i="114"/>
  <c r="G15" i="114"/>
  <c r="E16" i="114"/>
  <c r="I16" i="114"/>
  <c r="G17" i="114"/>
  <c r="E18" i="114"/>
  <c r="I18" i="114"/>
  <c r="G19" i="114"/>
  <c r="E20" i="114"/>
  <c r="I20" i="114"/>
  <c r="G21" i="114"/>
  <c r="E22" i="114"/>
  <c r="I22" i="114"/>
  <c r="G23" i="114"/>
  <c r="H14" i="114"/>
  <c r="D16" i="114"/>
  <c r="F17" i="114"/>
  <c r="F19" i="114"/>
  <c r="H20" i="114"/>
  <c r="H22" i="114"/>
  <c r="F14" i="114"/>
  <c r="D15" i="114"/>
  <c r="H15" i="114"/>
  <c r="F16" i="114"/>
  <c r="D17" i="114"/>
  <c r="H17" i="114"/>
  <c r="F18" i="114"/>
  <c r="D19" i="114"/>
  <c r="H19" i="114"/>
  <c r="F20" i="114"/>
  <c r="D21" i="114"/>
  <c r="H21" i="114"/>
  <c r="F22" i="114"/>
  <c r="D23" i="114"/>
  <c r="H23" i="114"/>
  <c r="G14" i="114"/>
  <c r="E15" i="114"/>
  <c r="I15" i="114"/>
  <c r="G16" i="114"/>
  <c r="E17" i="114"/>
  <c r="I17" i="114"/>
  <c r="G18" i="114"/>
  <c r="E19" i="114"/>
  <c r="I19" i="114"/>
  <c r="G20" i="114"/>
  <c r="E21" i="114"/>
  <c r="I21" i="114"/>
  <c r="G22" i="114"/>
  <c r="E23" i="114"/>
  <c r="I23" i="114"/>
  <c r="F24" i="114" l="1"/>
  <c r="F25" i="114"/>
  <c r="I24" i="114"/>
  <c r="I25" i="114"/>
  <c r="G25" i="114"/>
  <c r="G24" i="114"/>
  <c r="E24" i="114"/>
  <c r="E25" i="114"/>
  <c r="H24" i="114"/>
  <c r="H25" i="114"/>
  <c r="D24" i="114"/>
  <c r="D25" i="114"/>
  <c r="I26" i="114" l="1"/>
  <c r="E26" i="114"/>
  <c r="D26" i="114"/>
  <c r="F26" i="114"/>
  <c r="H26" i="114"/>
  <c r="G26" i="114"/>
  <c r="H14" i="100"/>
  <c r="H18" i="100"/>
  <c r="H17" i="100"/>
  <c r="H16" i="100"/>
  <c r="H21" i="100"/>
  <c r="H23" i="100"/>
  <c r="H15" i="100"/>
  <c r="H20" i="100"/>
  <c r="H22" i="100"/>
  <c r="H19" i="100"/>
  <c r="B33" i="25" l="1"/>
  <c r="D56" i="54"/>
  <c r="E56" i="54"/>
  <c r="F56" i="54"/>
  <c r="G56" i="54"/>
  <c r="H56" i="54"/>
  <c r="I56" i="54"/>
  <c r="J56" i="54"/>
  <c r="K56" i="54"/>
  <c r="L56" i="54"/>
  <c r="M56" i="54"/>
  <c r="N56" i="54"/>
  <c r="C56" i="54"/>
  <c r="O7" i="54" l="1"/>
  <c r="O8" i="54"/>
  <c r="P8" i="54" s="1"/>
  <c r="O9" i="54"/>
  <c r="P9" i="54" s="1"/>
  <c r="O10" i="54"/>
  <c r="P10" i="54" s="1"/>
  <c r="O11" i="54"/>
  <c r="P11" i="54" s="1"/>
  <c r="O12" i="54"/>
  <c r="P12" i="54" s="1"/>
  <c r="O13" i="54"/>
  <c r="P13" i="54" s="1"/>
  <c r="O14" i="54"/>
  <c r="P14" i="54" s="1"/>
  <c r="O15" i="54"/>
  <c r="P15" i="54" s="1"/>
  <c r="O16" i="54"/>
  <c r="P16" i="54" s="1"/>
  <c r="O17" i="54"/>
  <c r="P17" i="54" s="1"/>
  <c r="O18" i="54"/>
  <c r="P18" i="54" s="1"/>
  <c r="O19" i="54"/>
  <c r="P19" i="54" s="1"/>
  <c r="O20" i="54"/>
  <c r="P20" i="54" s="1"/>
  <c r="O21" i="54"/>
  <c r="P21" i="54" s="1"/>
  <c r="O22" i="54"/>
  <c r="P22" i="54" s="1"/>
  <c r="O23" i="54"/>
  <c r="P23" i="54" s="1"/>
  <c r="O24" i="54"/>
  <c r="P24" i="54" s="1"/>
  <c r="O25" i="54"/>
  <c r="P25" i="54" s="1"/>
  <c r="O26" i="54"/>
  <c r="P26" i="54" s="1"/>
  <c r="O27" i="54"/>
  <c r="P27" i="54" s="1"/>
  <c r="O28" i="54"/>
  <c r="P28" i="54" s="1"/>
  <c r="O29" i="54"/>
  <c r="P29" i="54" s="1"/>
  <c r="O30" i="54"/>
  <c r="P30" i="54" s="1"/>
  <c r="O31" i="54"/>
  <c r="P31" i="54" s="1"/>
  <c r="O32" i="54"/>
  <c r="P32" i="54" s="1"/>
  <c r="O33" i="54"/>
  <c r="P33" i="54" s="1"/>
  <c r="O34" i="54"/>
  <c r="P34" i="54" s="1"/>
  <c r="O35" i="54"/>
  <c r="P35" i="54" s="1"/>
  <c r="O6" i="54"/>
  <c r="P6" i="54" s="1"/>
  <c r="D4" i="26"/>
  <c r="E4" i="26"/>
  <c r="F4" i="26"/>
  <c r="G4" i="26"/>
  <c r="H4" i="26"/>
  <c r="I4" i="26"/>
  <c r="J4" i="26"/>
  <c r="K4" i="26"/>
  <c r="L4" i="26"/>
  <c r="M4" i="26"/>
  <c r="N4" i="26"/>
  <c r="C4" i="26"/>
  <c r="D18" i="25"/>
  <c r="E18" i="25"/>
  <c r="F18" i="25"/>
  <c r="G18" i="25"/>
  <c r="H18" i="25"/>
  <c r="I18" i="25"/>
  <c r="J18" i="25"/>
  <c r="K18" i="25"/>
  <c r="L18" i="25"/>
  <c r="M18" i="25"/>
  <c r="N18" i="25"/>
  <c r="C18" i="25"/>
  <c r="B9" i="25"/>
  <c r="B24" i="25" s="1"/>
  <c r="C9" i="25"/>
  <c r="D9" i="25"/>
  <c r="E9" i="25"/>
  <c r="F9" i="25"/>
  <c r="G9" i="25"/>
  <c r="H9" i="25"/>
  <c r="I9" i="25"/>
  <c r="J9" i="25"/>
  <c r="K9" i="25"/>
  <c r="L9" i="25"/>
  <c r="M9" i="25"/>
  <c r="N9" i="25"/>
  <c r="B10" i="25"/>
  <c r="B25" i="25" s="1"/>
  <c r="C10" i="25"/>
  <c r="D10" i="25"/>
  <c r="E10" i="25"/>
  <c r="F10" i="25"/>
  <c r="G10" i="25"/>
  <c r="H10" i="25"/>
  <c r="I10" i="25"/>
  <c r="J10" i="25"/>
  <c r="K10" i="25"/>
  <c r="L10" i="25"/>
  <c r="M10" i="25"/>
  <c r="N10" i="25"/>
  <c r="B11" i="25"/>
  <c r="B26" i="25" s="1"/>
  <c r="C11" i="25"/>
  <c r="D11" i="25"/>
  <c r="E11" i="25"/>
  <c r="F11" i="25"/>
  <c r="G11" i="25"/>
  <c r="H11" i="25"/>
  <c r="I11" i="25"/>
  <c r="J11" i="25"/>
  <c r="K11" i="25"/>
  <c r="L11" i="25"/>
  <c r="M11" i="25"/>
  <c r="N11" i="25"/>
  <c r="B12" i="25"/>
  <c r="B27" i="25" s="1"/>
  <c r="C12" i="25"/>
  <c r="D12" i="25"/>
  <c r="E12" i="25"/>
  <c r="F12" i="25"/>
  <c r="G12" i="25"/>
  <c r="H12" i="25"/>
  <c r="I12" i="25"/>
  <c r="J12" i="25"/>
  <c r="K12" i="25"/>
  <c r="L12" i="25"/>
  <c r="M12" i="25"/>
  <c r="N12" i="25"/>
  <c r="B13" i="25"/>
  <c r="B28" i="25" s="1"/>
  <c r="C13" i="25"/>
  <c r="D13" i="25"/>
  <c r="E13" i="25"/>
  <c r="F13" i="25"/>
  <c r="G13" i="25"/>
  <c r="H13" i="25"/>
  <c r="I13" i="25"/>
  <c r="J13" i="25"/>
  <c r="K13" i="25"/>
  <c r="L13" i="25"/>
  <c r="M13" i="25"/>
  <c r="N13" i="25"/>
  <c r="B14" i="25"/>
  <c r="B29" i="25" s="1"/>
  <c r="C14" i="25"/>
  <c r="D14" i="25"/>
  <c r="E14" i="25"/>
  <c r="F14" i="25"/>
  <c r="G14" i="25"/>
  <c r="H14" i="25"/>
  <c r="I14" i="25"/>
  <c r="J14" i="25"/>
  <c r="K14" i="25"/>
  <c r="L14" i="25"/>
  <c r="M14" i="25"/>
  <c r="N14" i="25"/>
  <c r="B15" i="25"/>
  <c r="B30" i="25" s="1"/>
  <c r="C15" i="25"/>
  <c r="D15" i="25"/>
  <c r="E15" i="25"/>
  <c r="F15" i="25"/>
  <c r="G15" i="25"/>
  <c r="H15" i="25"/>
  <c r="I15" i="25"/>
  <c r="J15" i="25"/>
  <c r="K15" i="25"/>
  <c r="L15" i="25"/>
  <c r="M15" i="25"/>
  <c r="N15" i="25"/>
  <c r="B16" i="25"/>
  <c r="B31" i="25" s="1"/>
  <c r="C16" i="25"/>
  <c r="D16" i="25"/>
  <c r="E16" i="25"/>
  <c r="F16" i="25"/>
  <c r="G16" i="25"/>
  <c r="H16" i="25"/>
  <c r="I16" i="25"/>
  <c r="J16" i="25"/>
  <c r="K16" i="25"/>
  <c r="L16" i="25"/>
  <c r="M16" i="25"/>
  <c r="N16" i="25"/>
  <c r="B17" i="25"/>
  <c r="B32" i="25" s="1"/>
  <c r="C17" i="25"/>
  <c r="D17" i="25"/>
  <c r="E17" i="25"/>
  <c r="F17" i="25"/>
  <c r="G17" i="25"/>
  <c r="H17" i="25"/>
  <c r="I17" i="25"/>
  <c r="J17" i="25"/>
  <c r="K17" i="25"/>
  <c r="L17" i="25"/>
  <c r="M17" i="25"/>
  <c r="N17" i="25"/>
  <c r="C8" i="25"/>
  <c r="D8" i="25"/>
  <c r="E8" i="25"/>
  <c r="F8" i="25"/>
  <c r="G8" i="25"/>
  <c r="H8" i="25"/>
  <c r="I8" i="25"/>
  <c r="J8" i="25"/>
  <c r="K8" i="25"/>
  <c r="L8" i="25"/>
  <c r="M8" i="25"/>
  <c r="N8" i="25"/>
  <c r="O45" i="54"/>
  <c r="P45" i="54" s="1"/>
  <c r="O46" i="54"/>
  <c r="O10" i="25" s="1"/>
  <c r="C25" i="25" s="1"/>
  <c r="O47" i="54"/>
  <c r="O11" i="25" s="1"/>
  <c r="C26" i="25" s="1"/>
  <c r="O48" i="54"/>
  <c r="P48" i="54" s="1"/>
  <c r="O49" i="54"/>
  <c r="O13" i="25" s="1"/>
  <c r="C28" i="25" s="1"/>
  <c r="O50" i="54"/>
  <c r="O14" i="25" s="1"/>
  <c r="C29" i="25" s="1"/>
  <c r="O51" i="54"/>
  <c r="O15" i="25" s="1"/>
  <c r="C30" i="25" s="1"/>
  <c r="O52" i="54"/>
  <c r="O13" i="23" s="1"/>
  <c r="O53" i="54"/>
  <c r="O17" i="25" s="1"/>
  <c r="C32" i="25" s="1"/>
  <c r="O44" i="54"/>
  <c r="O8" i="25" s="1"/>
  <c r="C23" i="25" s="1"/>
  <c r="B8" i="25"/>
  <c r="B23" i="25" s="1"/>
  <c r="D38" i="54"/>
  <c r="D18" i="23" s="1"/>
  <c r="E38" i="54"/>
  <c r="E18" i="23" s="1"/>
  <c r="F38" i="54"/>
  <c r="F19" i="25" s="1"/>
  <c r="G38" i="54"/>
  <c r="G19" i="25" s="1"/>
  <c r="H38" i="54"/>
  <c r="H19" i="25" s="1"/>
  <c r="I38" i="54"/>
  <c r="I19" i="25" s="1"/>
  <c r="J38" i="54"/>
  <c r="J19" i="25" s="1"/>
  <c r="K38" i="54"/>
  <c r="K18" i="23" s="1"/>
  <c r="L38" i="54"/>
  <c r="L19" i="25" s="1"/>
  <c r="M38" i="54"/>
  <c r="M18" i="23" s="1"/>
  <c r="N38" i="54"/>
  <c r="N19" i="25" s="1"/>
  <c r="C38" i="54"/>
  <c r="C18" i="23" s="1"/>
  <c r="D37" i="54"/>
  <c r="E37" i="54"/>
  <c r="F37" i="54"/>
  <c r="G37" i="54"/>
  <c r="H37" i="54"/>
  <c r="I37" i="54"/>
  <c r="J37" i="54"/>
  <c r="K37" i="54"/>
  <c r="L37" i="54"/>
  <c r="M37" i="54"/>
  <c r="N37" i="54"/>
  <c r="C37" i="54"/>
  <c r="D36" i="54"/>
  <c r="E36" i="54"/>
  <c r="F36" i="54"/>
  <c r="G36" i="54"/>
  <c r="H36" i="54"/>
  <c r="I36" i="54"/>
  <c r="J36" i="54"/>
  <c r="K36" i="54"/>
  <c r="L36" i="54"/>
  <c r="M36" i="54"/>
  <c r="N36" i="54"/>
  <c r="C36" i="54"/>
  <c r="C6" i="23"/>
  <c r="D6" i="23"/>
  <c r="E6" i="23"/>
  <c r="F6" i="23"/>
  <c r="G6" i="23"/>
  <c r="H6" i="23"/>
  <c r="I6" i="23"/>
  <c r="J6" i="23"/>
  <c r="K6" i="23"/>
  <c r="L6" i="23"/>
  <c r="M6" i="23"/>
  <c r="N6" i="23"/>
  <c r="C7" i="23"/>
  <c r="D7" i="23"/>
  <c r="E7" i="23"/>
  <c r="F7" i="23"/>
  <c r="G7" i="23"/>
  <c r="H7" i="23"/>
  <c r="I7" i="23"/>
  <c r="J7" i="23"/>
  <c r="K7" i="23"/>
  <c r="L7" i="23"/>
  <c r="M7" i="23"/>
  <c r="N7" i="23"/>
  <c r="C8" i="23"/>
  <c r="D8" i="23"/>
  <c r="E8" i="23"/>
  <c r="F8" i="23"/>
  <c r="G8" i="23"/>
  <c r="H8" i="23"/>
  <c r="I8" i="23"/>
  <c r="J8" i="23"/>
  <c r="K8" i="23"/>
  <c r="L8" i="23"/>
  <c r="M8" i="23"/>
  <c r="N8" i="23"/>
  <c r="C9" i="23"/>
  <c r="D9" i="23"/>
  <c r="E9" i="23"/>
  <c r="F9" i="23"/>
  <c r="G9" i="23"/>
  <c r="H9" i="23"/>
  <c r="I9" i="23"/>
  <c r="J9" i="23"/>
  <c r="K9" i="23"/>
  <c r="L9" i="23"/>
  <c r="M9" i="23"/>
  <c r="N9" i="23"/>
  <c r="C10" i="23"/>
  <c r="D10" i="23"/>
  <c r="E10" i="23"/>
  <c r="F10" i="23"/>
  <c r="G10" i="23"/>
  <c r="H10" i="23"/>
  <c r="I10" i="23"/>
  <c r="J10" i="23"/>
  <c r="K10" i="23"/>
  <c r="L10" i="23"/>
  <c r="M10" i="23"/>
  <c r="N10" i="23"/>
  <c r="O10" i="23"/>
  <c r="C11" i="23"/>
  <c r="D11" i="23"/>
  <c r="E11" i="23"/>
  <c r="F11" i="23"/>
  <c r="G11" i="23"/>
  <c r="H11" i="23"/>
  <c r="I11" i="23"/>
  <c r="J11" i="23"/>
  <c r="K11" i="23"/>
  <c r="L11" i="23"/>
  <c r="M11" i="23"/>
  <c r="N11" i="23"/>
  <c r="C12" i="23"/>
  <c r="D12" i="23"/>
  <c r="E12" i="23"/>
  <c r="F12" i="23"/>
  <c r="G12" i="23"/>
  <c r="H12" i="23"/>
  <c r="I12" i="23"/>
  <c r="J12" i="23"/>
  <c r="K12" i="23"/>
  <c r="L12" i="23"/>
  <c r="M12" i="23"/>
  <c r="N12" i="23"/>
  <c r="O12" i="23"/>
  <c r="C13" i="23"/>
  <c r="D13" i="23"/>
  <c r="E13" i="23"/>
  <c r="F13" i="23"/>
  <c r="G13" i="23"/>
  <c r="H13" i="23"/>
  <c r="I13" i="23"/>
  <c r="J13" i="23"/>
  <c r="K13" i="23"/>
  <c r="L13" i="23"/>
  <c r="M13" i="23"/>
  <c r="N13" i="23"/>
  <c r="C14" i="23"/>
  <c r="D14" i="23"/>
  <c r="E14" i="23"/>
  <c r="F14" i="23"/>
  <c r="G14" i="23"/>
  <c r="H14" i="23"/>
  <c r="I14" i="23"/>
  <c r="J14" i="23"/>
  <c r="K14" i="23"/>
  <c r="L14" i="23"/>
  <c r="M14" i="23"/>
  <c r="N14" i="23"/>
  <c r="C17" i="23"/>
  <c r="D17" i="23"/>
  <c r="E17" i="23"/>
  <c r="F17" i="23"/>
  <c r="G17" i="23"/>
  <c r="H17" i="23"/>
  <c r="I17" i="23"/>
  <c r="J17" i="23"/>
  <c r="K17" i="23"/>
  <c r="L17" i="23"/>
  <c r="M17" i="23"/>
  <c r="N17" i="23"/>
  <c r="D5" i="23"/>
  <c r="E5" i="23"/>
  <c r="F5" i="23"/>
  <c r="G5" i="23"/>
  <c r="H5" i="23"/>
  <c r="I5" i="23"/>
  <c r="J5" i="23"/>
  <c r="K5" i="23"/>
  <c r="L5" i="23"/>
  <c r="M5" i="23"/>
  <c r="N5" i="23"/>
  <c r="C5" i="23"/>
  <c r="O7" i="23" l="1"/>
  <c r="O14" i="23"/>
  <c r="O11" i="23"/>
  <c r="O8" i="23"/>
  <c r="N18" i="23"/>
  <c r="J18" i="23"/>
  <c r="F18" i="23"/>
  <c r="P44" i="54"/>
  <c r="P5" i="23" s="1"/>
  <c r="P49" i="54"/>
  <c r="I18" i="23"/>
  <c r="G18" i="23"/>
  <c r="O38" i="54"/>
  <c r="O18" i="23" s="1"/>
  <c r="H18" i="23"/>
  <c r="D21" i="23"/>
  <c r="O9" i="23"/>
  <c r="L18" i="23"/>
  <c r="P6" i="23"/>
  <c r="P9" i="25"/>
  <c r="P9" i="23"/>
  <c r="P12" i="25"/>
  <c r="P53" i="54"/>
  <c r="O9" i="25"/>
  <c r="C24" i="25" s="1"/>
  <c r="O56" i="54"/>
  <c r="O18" i="25" s="1"/>
  <c r="C33" i="25" s="1"/>
  <c r="P52" i="54"/>
  <c r="P51" i="54"/>
  <c r="E19" i="25"/>
  <c r="O6" i="23"/>
  <c r="P50" i="54"/>
  <c r="O16" i="25"/>
  <c r="C31" i="25" s="1"/>
  <c r="O12" i="25"/>
  <c r="C27" i="25" s="1"/>
  <c r="D19" i="25"/>
  <c r="C19" i="25"/>
  <c r="P7" i="54"/>
  <c r="P36" i="54" s="1"/>
  <c r="P47" i="54"/>
  <c r="M19" i="25"/>
  <c r="P46" i="54"/>
  <c r="K19" i="25"/>
  <c r="P8" i="25"/>
  <c r="O37" i="54"/>
  <c r="O36" i="54"/>
  <c r="O5" i="23"/>
  <c r="E11" i="55"/>
  <c r="P56" i="54" l="1"/>
  <c r="O4" i="26" s="1"/>
  <c r="O19" i="25"/>
  <c r="P13" i="25"/>
  <c r="P10" i="23"/>
  <c r="P38" i="54"/>
  <c r="P18" i="23" s="1"/>
  <c r="P37" i="54"/>
  <c r="P8" i="23"/>
  <c r="P11" i="25"/>
  <c r="P13" i="23"/>
  <c r="P16" i="25"/>
  <c r="P15" i="25"/>
  <c r="P12" i="23"/>
  <c r="P14" i="23"/>
  <c r="P17" i="25"/>
  <c r="P14" i="25"/>
  <c r="P11" i="23"/>
  <c r="P10" i="25"/>
  <c r="P7" i="23"/>
  <c r="F23" i="100"/>
  <c r="E23" i="100"/>
  <c r="D23" i="100"/>
  <c r="B23" i="100"/>
  <c r="F22" i="100"/>
  <c r="E22" i="100"/>
  <c r="D22" i="100"/>
  <c r="B22" i="100"/>
  <c r="F21" i="100"/>
  <c r="E21" i="100"/>
  <c r="D21" i="100"/>
  <c r="B21" i="100"/>
  <c r="F20" i="100"/>
  <c r="E20" i="100"/>
  <c r="D20" i="100"/>
  <c r="B20" i="100"/>
  <c r="F19" i="100"/>
  <c r="E19" i="100"/>
  <c r="D19" i="100"/>
  <c r="B19" i="100"/>
  <c r="F18" i="100"/>
  <c r="E18" i="100"/>
  <c r="D18" i="100"/>
  <c r="B18" i="100"/>
  <c r="F17" i="100"/>
  <c r="E17" i="100"/>
  <c r="D17" i="100"/>
  <c r="B17" i="100"/>
  <c r="F16" i="100"/>
  <c r="E16" i="100"/>
  <c r="D16" i="100"/>
  <c r="B16" i="100"/>
  <c r="F15" i="100"/>
  <c r="E15" i="100"/>
  <c r="D15" i="100"/>
  <c r="B15" i="100"/>
  <c r="F14" i="100"/>
  <c r="E14" i="100"/>
  <c r="D14" i="100"/>
  <c r="B14" i="100"/>
  <c r="P19" i="25" l="1"/>
  <c r="P18" i="25"/>
  <c r="E25" i="100"/>
  <c r="F25" i="100"/>
  <c r="F24" i="100"/>
  <c r="D25" i="100"/>
  <c r="D24" i="100"/>
  <c r="E24" i="100"/>
  <c r="E26" i="100" l="1"/>
  <c r="F26" i="100"/>
  <c r="D26" i="100"/>
  <c r="O17" i="23" l="1"/>
  <c r="D22" i="23" s="1"/>
  <c r="O55" i="54"/>
  <c r="O16" i="23" s="1"/>
  <c r="D55" i="54"/>
  <c r="D16" i="23" s="1"/>
  <c r="E55" i="54"/>
  <c r="E16" i="23" s="1"/>
  <c r="F55" i="54"/>
  <c r="F16" i="23" s="1"/>
  <c r="G55" i="54"/>
  <c r="G16" i="23" s="1"/>
  <c r="H55" i="54"/>
  <c r="H16" i="23" s="1"/>
  <c r="I55" i="54"/>
  <c r="I16" i="23" s="1"/>
  <c r="J55" i="54"/>
  <c r="J16" i="23" s="1"/>
  <c r="K55" i="54"/>
  <c r="K16" i="23" s="1"/>
  <c r="L55" i="54"/>
  <c r="L16" i="23" s="1"/>
  <c r="M55" i="54"/>
  <c r="M16" i="23" s="1"/>
  <c r="N55" i="54"/>
  <c r="N16" i="23" s="1"/>
  <c r="C55" i="54"/>
  <c r="C16" i="23" s="1"/>
  <c r="D54" i="54"/>
  <c r="D15" i="23" s="1"/>
  <c r="E54" i="54"/>
  <c r="E15" i="23" s="1"/>
  <c r="F54" i="54"/>
  <c r="F15" i="23" s="1"/>
  <c r="G54" i="54"/>
  <c r="G15" i="23" s="1"/>
  <c r="H54" i="54"/>
  <c r="H15" i="23" s="1"/>
  <c r="I54" i="54"/>
  <c r="I15" i="23" s="1"/>
  <c r="J54" i="54"/>
  <c r="J15" i="23" s="1"/>
  <c r="K54" i="54"/>
  <c r="K15" i="23" s="1"/>
  <c r="L54" i="54"/>
  <c r="L15" i="23" s="1"/>
  <c r="M54" i="54"/>
  <c r="M15" i="23" s="1"/>
  <c r="N54" i="54"/>
  <c r="N15" i="23" s="1"/>
  <c r="O54" i="54"/>
  <c r="O15" i="23" s="1"/>
  <c r="P54" i="54"/>
  <c r="P15" i="23" s="1"/>
  <c r="C54" i="54"/>
  <c r="C15" i="23" s="1"/>
  <c r="P17" i="23"/>
  <c r="P55" i="54" l="1"/>
  <c r="P16" i="23" s="1"/>
  <c r="F29" i="55"/>
  <c r="K16" i="55" l="1"/>
  <c r="K17" i="55" s="1"/>
  <c r="K18" i="55" s="1"/>
  <c r="L18" i="55" s="1"/>
  <c r="L12" i="55"/>
  <c r="H26" i="55" l="1"/>
  <c r="C9" i="55" l="1"/>
  <c r="C28" i="23" l="1"/>
  <c r="D26" i="55" l="1"/>
  <c r="J29" i="55"/>
  <c r="I29" i="55"/>
  <c r="H29" i="55"/>
  <c r="G29" i="55"/>
  <c r="E29" i="55"/>
  <c r="D29" i="55"/>
  <c r="K29" i="55" l="1"/>
  <c r="E19" i="55" l="1"/>
  <c r="C12" i="55" l="1"/>
  <c r="A13" i="55" s="1"/>
  <c r="A12" i="55" l="1"/>
  <c r="C14" i="55"/>
  <c r="G7" i="55"/>
  <c r="E7" i="55"/>
  <c r="J26" i="55" l="1"/>
  <c r="F5" i="55"/>
  <c r="F7" i="55"/>
  <c r="F6" i="55"/>
  <c r="C26" i="23"/>
  <c r="D31" i="23" l="1"/>
  <c r="C31" i="23"/>
  <c r="C33" i="23"/>
  <c r="C34" i="23" s="1"/>
  <c r="F17" i="55"/>
  <c r="G17" i="55" s="1"/>
  <c r="F19" i="55"/>
  <c r="G19" i="55" s="1"/>
  <c r="C25" i="23" l="1"/>
  <c r="C36" i="23" l="1"/>
  <c r="C37" i="23" s="1"/>
  <c r="C38" i="23" s="1"/>
  <c r="G21" i="55"/>
  <c r="D23" i="23"/>
  <c r="E26" i="55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G25" authorId="0" shapeId="0" xr:uid="{8BA14A94-CA24-41DA-81FC-7CB52062DB6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지금보니까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금강서해가</t>
        </r>
        <r>
          <rPr>
            <sz val="9"/>
            <color indexed="81"/>
            <rFont val="Tahoma"/>
            <family val="2"/>
          </rPr>
          <t xml:space="preserve"> 17.5 </t>
        </r>
        <r>
          <rPr>
            <sz val="9"/>
            <color indexed="81"/>
            <rFont val="돋움"/>
            <family val="3"/>
            <charset val="129"/>
          </rPr>
          <t>이다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C31" authorId="1" shapeId="0" xr:uid="{00000000-0006-0000-0300-000001000000}">
      <text>
        <r>
          <rPr>
            <b/>
            <sz val="9"/>
            <color indexed="81"/>
            <rFont val="Tahoma"/>
            <family val="2"/>
          </rPr>
          <t xml:space="preserve">hwa soo min: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보령상부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rf_1 -- 0.1447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사용한값</t>
        </r>
      </text>
    </comment>
    <comment ref="D31" authorId="1" shapeId="0" xr:uid="{00000000-0006-0000-03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보령하부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rf_2 -- 0.1535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사용한값</t>
        </r>
      </text>
    </comment>
    <comment ref="C33" authorId="1" shapeId="0" xr:uid="{AF96B6B4-A60C-420E-B926-FFA0D9748C4C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년평균강우량을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기준으로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삼는다</t>
        </r>
        <r>
          <rPr>
            <sz val="9"/>
            <color indexed="81"/>
            <rFont val="Tahoma"/>
            <family val="2"/>
          </rPr>
          <t>.</t>
        </r>
      </text>
    </comment>
    <comment ref="C36" authorId="1" shapeId="0" xr:uid="{21B28D38-3B13-4998-90B4-0535B745C6F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지하수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가능량은
</t>
        </r>
        <r>
          <rPr>
            <sz val="9"/>
            <color indexed="81"/>
            <rFont val="Tahoma"/>
            <family val="2"/>
          </rPr>
          <t>10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빈도시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강수량으로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잡는다</t>
        </r>
        <r>
          <rPr>
            <sz val="9"/>
            <color indexed="81"/>
            <rFont val="Tahoma"/>
            <family val="2"/>
          </rPr>
          <t>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</authors>
  <commentList>
    <comment ref="F5" authorId="0" shapeId="0" xr:uid="{00000000-0006-0000-0600-000001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10" authorId="0" shapeId="0" xr:uid="{00000000-0006-0000-06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J11" authorId="0" shapeId="0" xr:uid="{00000000-0006-0000-0600-00000300000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0" shapeId="0" xr:uid="{00000000-0006-0000-0600-00000400000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0" shapeId="0" xr:uid="{00000000-0006-0000-0600-000005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0" shapeId="0" xr:uid="{00000000-0006-0000-0600-000006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5" authorId="0" shapeId="0" xr:uid="{00000000-0006-0000-0600-000007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16" authorId="0" shapeId="0" xr:uid="{00000000-0006-0000-0600-000008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I22" authorId="0" shapeId="0" xr:uid="{63974DCB-2FF5-48E9-9A8D-DCEB933B200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25" authorId="0" shapeId="0" xr:uid="{00000000-0006-0000-0600-000009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0" shapeId="0" xr:uid="{00000000-0006-0000-0600-00000A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sharedStrings.xml><?xml version="1.0" encoding="utf-8"?>
<sst xmlns="http://schemas.openxmlformats.org/spreadsheetml/2006/main" count="350" uniqueCount="226">
  <si>
    <t>순번</t>
    <phoneticPr fontId="7" type="noConversion"/>
  </si>
  <si>
    <t>착정구경
(㎜)</t>
    <phoneticPr fontId="7" type="noConversion"/>
  </si>
  <si>
    <t>착정심도
(m)</t>
    <phoneticPr fontId="7" type="noConversion"/>
  </si>
  <si>
    <t>수중모터
(HP)</t>
    <phoneticPr fontId="7" type="noConversion"/>
  </si>
  <si>
    <t>설치심도
(m)</t>
    <phoneticPr fontId="7" type="noConversion"/>
  </si>
  <si>
    <t>토출경
(㎜)</t>
    <phoneticPr fontId="7" type="noConversion"/>
  </si>
  <si>
    <t>허가번호</t>
    <phoneticPr fontId="7" type="noConversion"/>
  </si>
  <si>
    <t>1월</t>
    <phoneticPr fontId="14" type="noConversion"/>
  </si>
  <si>
    <t>2월</t>
    <phoneticPr fontId="14" type="noConversion"/>
  </si>
  <si>
    <t>3월</t>
    <phoneticPr fontId="14" type="noConversion"/>
  </si>
  <si>
    <t>4월</t>
    <phoneticPr fontId="14" type="noConversion"/>
  </si>
  <si>
    <t>5월</t>
    <phoneticPr fontId="14" type="noConversion"/>
  </si>
  <si>
    <t>6월</t>
  </si>
  <si>
    <t>7월</t>
  </si>
  <si>
    <t>8월</t>
  </si>
  <si>
    <t>9월</t>
  </si>
  <si>
    <t>10월</t>
  </si>
  <si>
    <t>11월</t>
  </si>
  <si>
    <t>12월</t>
  </si>
  <si>
    <t>전년</t>
    <phoneticPr fontId="14" type="noConversion"/>
  </si>
  <si>
    <t>평균</t>
    <phoneticPr fontId="14" type="noConversion"/>
  </si>
  <si>
    <t>최대</t>
    <phoneticPr fontId="14" type="noConversion"/>
  </si>
  <si>
    <t>최소</t>
    <phoneticPr fontId="14" type="noConversion"/>
  </si>
  <si>
    <t>30년평균</t>
    <phoneticPr fontId="14" type="noConversion"/>
  </si>
  <si>
    <t>5월 ~ 9월 강수량</t>
    <phoneticPr fontId="14" type="noConversion"/>
  </si>
  <si>
    <t>지하수함양량</t>
    <phoneticPr fontId="14" type="noConversion"/>
  </si>
  <si>
    <t>지하수개발가능량</t>
    <phoneticPr fontId="14" type="noConversion"/>
  </si>
  <si>
    <t>30년 평균강우량</t>
    <phoneticPr fontId="7" type="noConversion"/>
  </si>
  <si>
    <t>유역면적</t>
    <phoneticPr fontId="7" type="noConversion"/>
  </si>
  <si>
    <t>mm/year</t>
    <phoneticPr fontId="7" type="noConversion"/>
  </si>
  <si>
    <t>mm/year</t>
    <phoneticPr fontId="7" type="noConversion"/>
  </si>
  <si>
    <t>㎡</t>
    <phoneticPr fontId="7" type="noConversion"/>
  </si>
  <si>
    <t>적용함양계수</t>
    <phoneticPr fontId="7" type="noConversion"/>
  </si>
  <si>
    <t>㎥/day</t>
    <phoneticPr fontId="14" type="noConversion"/>
  </si>
  <si>
    <t>㎥/year</t>
    <phoneticPr fontId="14" type="noConversion"/>
  </si>
  <si>
    <t>㎥/day</t>
    <phoneticPr fontId="14" type="noConversion"/>
  </si>
  <si>
    <t>㎥/year</t>
    <phoneticPr fontId="14" type="noConversion"/>
  </si>
  <si>
    <t>조사지역 년도별 강수량 변화</t>
    <phoneticPr fontId="14" type="noConversion"/>
  </si>
  <si>
    <t>조사지역의 월평균 강수량 (2007-2016)</t>
    <phoneticPr fontId="14" type="noConversion"/>
  </si>
  <si>
    <t>강우량(mm)</t>
    <phoneticPr fontId="14" type="noConversion"/>
  </si>
  <si>
    <t>년도</t>
    <phoneticPr fontId="14" type="noConversion"/>
  </si>
  <si>
    <t>평균</t>
  </si>
  <si>
    <t>조사지역 월별 강우량 변화</t>
    <phoneticPr fontId="14" type="noConversion"/>
  </si>
  <si>
    <t>1월</t>
  </si>
  <si>
    <t>2월</t>
  </si>
  <si>
    <t>3월</t>
  </si>
  <si>
    <t>4월</t>
  </si>
  <si>
    <t>5월</t>
  </si>
  <si>
    <t>최대</t>
    <phoneticPr fontId="7" type="noConversion"/>
  </si>
  <si>
    <t>최소</t>
    <phoneticPr fontId="7" type="noConversion"/>
  </si>
  <si>
    <t>주소</t>
    <phoneticPr fontId="7" type="noConversion"/>
  </si>
  <si>
    <t>공사명</t>
    <phoneticPr fontId="7" type="noConversion"/>
  </si>
  <si>
    <t>회사명</t>
    <phoneticPr fontId="7" type="noConversion"/>
  </si>
  <si>
    <t>유역면적 (㎡)</t>
    <phoneticPr fontId="7" type="noConversion"/>
  </si>
  <si>
    <t>연도</t>
  </si>
  <si>
    <t>연도</t>
    <phoneticPr fontId="7" type="noConversion"/>
  </si>
  <si>
    <t>1월</t>
    <phoneticPr fontId="7" type="noConversion"/>
  </si>
  <si>
    <t>전년</t>
  </si>
  <si>
    <t>전년</t>
    <phoneticPr fontId="7" type="noConversion"/>
  </si>
  <si>
    <t>평균</t>
    <phoneticPr fontId="7" type="noConversion"/>
  </si>
  <si>
    <t>최대</t>
  </si>
  <si>
    <t>최소</t>
  </si>
  <si>
    <t>%</t>
    <phoneticPr fontId="7" type="noConversion"/>
  </si>
  <si>
    <t>허가번호</t>
    <phoneticPr fontId="7" type="noConversion"/>
  </si>
  <si>
    <t>W-1</t>
    <phoneticPr fontId="14" type="noConversion"/>
  </si>
  <si>
    <t>S</t>
    <phoneticPr fontId="14" type="noConversion"/>
  </si>
  <si>
    <t>동경</t>
    <phoneticPr fontId="14" type="noConversion"/>
  </si>
  <si>
    <t>단 계</t>
  </si>
  <si>
    <t>북위</t>
    <phoneticPr fontId="14" type="noConversion"/>
  </si>
  <si>
    <t>장 기</t>
  </si>
  <si>
    <t>주소</t>
    <phoneticPr fontId="14" type="noConversion"/>
  </si>
  <si>
    <t>심도</t>
    <phoneticPr fontId="14" type="noConversion"/>
  </si>
  <si>
    <t>회 복</t>
  </si>
  <si>
    <t>-</t>
  </si>
  <si>
    <t>굴착지름(정호경)</t>
    <phoneticPr fontId="14" type="noConversion"/>
  </si>
  <si>
    <t>평 균</t>
  </si>
  <si>
    <t>케이싱</t>
    <phoneticPr fontId="14" type="noConversion"/>
  </si>
  <si>
    <t>토사</t>
    <phoneticPr fontId="14" type="noConversion"/>
  </si>
  <si>
    <t>영향반경</t>
    <phoneticPr fontId="14" type="noConversion"/>
  </si>
  <si>
    <t>풍화암</t>
    <phoneticPr fontId="14" type="noConversion"/>
  </si>
  <si>
    <t>평균영향반경</t>
    <phoneticPr fontId="7" type="noConversion"/>
  </si>
  <si>
    <t>연암</t>
    <phoneticPr fontId="14" type="noConversion"/>
  </si>
  <si>
    <t>경암</t>
    <phoneticPr fontId="14" type="noConversion"/>
  </si>
  <si>
    <t>대수층 두께</t>
    <phoneticPr fontId="7" type="noConversion"/>
  </si>
  <si>
    <t>허가량(채수계획량)</t>
    <phoneticPr fontId="14" type="noConversion"/>
  </si>
  <si>
    <t>양수량</t>
    <phoneticPr fontId="14" type="noConversion"/>
  </si>
  <si>
    <t>마력</t>
    <phoneticPr fontId="14" type="noConversion"/>
  </si>
  <si>
    <t>수중모터 설치심도</t>
    <phoneticPr fontId="14" type="noConversion"/>
  </si>
  <si>
    <t>유역면적(㎡)</t>
    <phoneticPr fontId="14" type="noConversion"/>
  </si>
  <si>
    <t>함양량(㎥/day)</t>
    <phoneticPr fontId="14" type="noConversion"/>
  </si>
  <si>
    <t>개발가능량(㎥/day)</t>
    <phoneticPr fontId="7" type="noConversion"/>
  </si>
  <si>
    <t>토출관</t>
    <phoneticPr fontId="14" type="noConversion"/>
  </si>
  <si>
    <t>자연수위</t>
    <phoneticPr fontId="14" type="noConversion"/>
  </si>
  <si>
    <t>기사용량(㎥/day)</t>
    <phoneticPr fontId="14" type="noConversion"/>
  </si>
  <si>
    <t>잔량(㎥/day)</t>
    <phoneticPr fontId="14" type="noConversion"/>
  </si>
  <si>
    <t>안정수위</t>
    <phoneticPr fontId="14" type="noConversion"/>
  </si>
  <si>
    <t>양수정의 수질 변화기록</t>
    <phoneticPr fontId="7" type="noConversion"/>
  </si>
  <si>
    <t>측정일시</t>
    <phoneticPr fontId="7" type="noConversion"/>
  </si>
  <si>
    <t>기본 온도</t>
    <phoneticPr fontId="7" type="noConversion"/>
  </si>
  <si>
    <t>기본 EC</t>
    <phoneticPr fontId="7" type="noConversion"/>
  </si>
  <si>
    <t>기본 PH</t>
    <phoneticPr fontId="7" type="noConversion"/>
  </si>
  <si>
    <t>항목</t>
    <phoneticPr fontId="7" type="noConversion"/>
  </si>
  <si>
    <t>W-1</t>
    <phoneticPr fontId="7" type="noConversion"/>
  </si>
  <si>
    <t>경과</t>
    <phoneticPr fontId="7" type="noConversion"/>
  </si>
  <si>
    <t>온도( ℃ )</t>
    <phoneticPr fontId="7" type="noConversion"/>
  </si>
  <si>
    <t>EC (μs/㎝)</t>
    <phoneticPr fontId="7" type="noConversion"/>
  </si>
  <si>
    <t>pH</t>
    <phoneticPr fontId="7" type="noConversion"/>
  </si>
  <si>
    <t>변화량</t>
    <phoneticPr fontId="7" type="noConversion"/>
  </si>
  <si>
    <t>경도</t>
    <phoneticPr fontId="7" type="noConversion"/>
  </si>
  <si>
    <t>수질 1번</t>
    <phoneticPr fontId="7" type="noConversion"/>
  </si>
  <si>
    <t>금회채수계획(㎥/day)</t>
    <phoneticPr fontId="14" type="noConversion"/>
  </si>
  <si>
    <t>10년빈도시최소강수량</t>
    <phoneticPr fontId="7" type="noConversion"/>
  </si>
  <si>
    <t>개발가능량(㎥/year)</t>
    <phoneticPr fontId="7" type="noConversion"/>
  </si>
  <si>
    <t>년함양량(㎥/year)</t>
    <phoneticPr fontId="14" type="noConversion"/>
  </si>
  <si>
    <t>1, 2, 3, 5, 7.5 마력</t>
    <phoneticPr fontId="7" type="noConversion"/>
  </si>
  <si>
    <t>양수능력(㎥/일)</t>
    <phoneticPr fontId="7" type="noConversion"/>
  </si>
  <si>
    <t>기사용량(㎥/일)</t>
    <phoneticPr fontId="7" type="noConversion"/>
  </si>
  <si>
    <t>채수계획
(㎥/일)</t>
    <phoneticPr fontId="7" type="noConversion"/>
  </si>
  <si>
    <t>양수량(㎥/일)</t>
    <phoneticPr fontId="7" type="noConversion"/>
  </si>
  <si>
    <t>cm/year</t>
    <phoneticPr fontId="7" type="noConversion"/>
  </si>
  <si>
    <t>구분</t>
    <phoneticPr fontId="14" type="noConversion"/>
  </si>
  <si>
    <t>Aquifer media
(대수층두께)</t>
    <phoneticPr fontId="14" type="noConversion"/>
  </si>
  <si>
    <t>Soil Media
(토질)</t>
    <phoneticPr fontId="14" type="noConversion"/>
  </si>
  <si>
    <t>Impact of the vadose zone media
(비포화대의구성물질)</t>
    <phoneticPr fontId="14" type="noConversion"/>
  </si>
  <si>
    <t>Hydraulic
Conductivity
of Acquifer
(수리전도도)</t>
    <phoneticPr fontId="14" type="noConversion"/>
  </si>
  <si>
    <t>Drastic Index</t>
    <phoneticPr fontId="14" type="noConversion"/>
  </si>
  <si>
    <t>W-1</t>
    <phoneticPr fontId="14" type="noConversion"/>
  </si>
  <si>
    <t>Range</t>
    <phoneticPr fontId="14" type="noConversion"/>
  </si>
  <si>
    <t>Rating</t>
    <phoneticPr fontId="14" type="noConversion"/>
  </si>
  <si>
    <t>Weight</t>
    <phoneticPr fontId="14" type="noConversion"/>
  </si>
  <si>
    <t>Index</t>
    <phoneticPr fontId="14" type="noConversion"/>
  </si>
  <si>
    <t>Depth of water
(자연수위, m)</t>
    <phoneticPr fontId="14" type="noConversion"/>
  </si>
  <si>
    <t>Net Recharge
(함양량,cm/year)</t>
    <phoneticPr fontId="14" type="noConversion"/>
  </si>
  <si>
    <t>K(m/day)</t>
    <phoneticPr fontId="14" type="noConversion"/>
  </si>
  <si>
    <t>Shultze</t>
    <phoneticPr fontId="7" type="noConversion"/>
  </si>
  <si>
    <t>Webber</t>
    <phoneticPr fontId="7" type="noConversion"/>
  </si>
  <si>
    <t>Jacob</t>
    <phoneticPr fontId="7" type="noConversion"/>
  </si>
  <si>
    <t>거리</t>
    <phoneticPr fontId="7" type="noConversion"/>
  </si>
  <si>
    <t>관정높이</t>
    <phoneticPr fontId="7" type="noConversion"/>
  </si>
  <si>
    <t>지표수표고</t>
    <phoneticPr fontId="7" type="noConversion"/>
  </si>
  <si>
    <t xml:space="preserve">높이차 </t>
    <phoneticPr fontId="7" type="noConversion"/>
  </si>
  <si>
    <t>동수구배</t>
    <phoneticPr fontId="7" type="noConversion"/>
  </si>
  <si>
    <t>지형구배</t>
    <phoneticPr fontId="7" type="noConversion"/>
  </si>
  <si>
    <t>시설명</t>
    <phoneticPr fontId="7" type="noConversion"/>
  </si>
  <si>
    <t>T(㎡/day)</t>
    <phoneticPr fontId="14" type="noConversion"/>
  </si>
  <si>
    <t>유향</t>
    <phoneticPr fontId="7" type="noConversion"/>
  </si>
  <si>
    <t>자연수위높이</t>
    <phoneticPr fontId="7" type="noConversion"/>
  </si>
  <si>
    <t>Topography
(지형구배 %)</t>
    <phoneticPr fontId="14" type="noConversion"/>
  </si>
  <si>
    <t xml:space="preserve"> </t>
    <phoneticPr fontId="7" type="noConversion"/>
  </si>
  <si>
    <t>Shale</t>
    <phoneticPr fontId="7" type="noConversion"/>
  </si>
  <si>
    <t>Metamorphic/Igneous</t>
    <phoneticPr fontId="7" type="noConversion"/>
  </si>
  <si>
    <t>Weathered Metamorphic / Igneous</t>
    <phoneticPr fontId="7" type="noConversion"/>
  </si>
  <si>
    <t>Glacial Till</t>
    <phoneticPr fontId="7" type="noConversion"/>
  </si>
  <si>
    <t>Bedded SandStone</t>
    <phoneticPr fontId="7" type="noConversion"/>
  </si>
  <si>
    <t>Limestone</t>
    <phoneticPr fontId="7" type="noConversion"/>
  </si>
  <si>
    <t>Sand and Gravel</t>
    <phoneticPr fontId="7" type="noConversion"/>
  </si>
  <si>
    <t>Basalt</t>
    <phoneticPr fontId="7" type="noConversion"/>
  </si>
  <si>
    <t>Karst Limestone</t>
    <phoneticPr fontId="7" type="noConversion"/>
  </si>
  <si>
    <t>Massive Limestone</t>
    <phoneticPr fontId="7" type="noConversion"/>
  </si>
  <si>
    <t>Massive Shale</t>
    <phoneticPr fontId="7" type="noConversion"/>
  </si>
  <si>
    <t>Massive Sandstone</t>
    <phoneticPr fontId="7" type="noConversion"/>
  </si>
  <si>
    <t>Thin or Absecnt</t>
    <phoneticPr fontId="7" type="noConversion"/>
  </si>
  <si>
    <t>Gravel</t>
    <phoneticPr fontId="7" type="noConversion"/>
  </si>
  <si>
    <t>Sand</t>
    <phoneticPr fontId="7" type="noConversion"/>
  </si>
  <si>
    <t>Peat</t>
    <phoneticPr fontId="7" type="noConversion"/>
  </si>
  <si>
    <t>Shringing or Aggregated Clay</t>
    <phoneticPr fontId="7" type="noConversion"/>
  </si>
  <si>
    <t>Sandy Loam</t>
    <phoneticPr fontId="7" type="noConversion"/>
  </si>
  <si>
    <t>Loam</t>
    <phoneticPr fontId="7" type="noConversion"/>
  </si>
  <si>
    <t>Silty Loam</t>
    <phoneticPr fontId="7" type="noConversion"/>
  </si>
  <si>
    <t>Clay Loam</t>
    <phoneticPr fontId="7" type="noConversion"/>
  </si>
  <si>
    <t>Mud</t>
    <phoneticPr fontId="7" type="noConversion"/>
  </si>
  <si>
    <t>Nonshrinking and Nonaggregated Clay</t>
    <phoneticPr fontId="7" type="noConversion"/>
  </si>
  <si>
    <t>Typical Rating</t>
    <phoneticPr fontId="7" type="noConversion"/>
  </si>
  <si>
    <t>Rating</t>
    <phoneticPr fontId="7" type="noConversion"/>
  </si>
  <si>
    <t>비포화대의 영향에 대한 등급 (Ir)</t>
    <phoneticPr fontId="7" type="noConversion"/>
  </si>
  <si>
    <t>토양특성에 대한 등급 Sr</t>
    <phoneticPr fontId="7" type="noConversion"/>
  </si>
  <si>
    <t>대수층 특성에 대한 등급 Ar</t>
    <phoneticPr fontId="7" type="noConversion"/>
  </si>
  <si>
    <t>Confining Layer</t>
    <phoneticPr fontId="7" type="noConversion"/>
  </si>
  <si>
    <t>Silt/Clay</t>
    <phoneticPr fontId="7" type="noConversion"/>
  </si>
  <si>
    <t>Sandstone</t>
    <phoneticPr fontId="7" type="noConversion"/>
  </si>
  <si>
    <t>Bedded Limestone, Sandstone, Shale</t>
    <phoneticPr fontId="7" type="noConversion"/>
  </si>
  <si>
    <t>Sand and Gravel with Significant Silt and Clay</t>
    <phoneticPr fontId="7" type="noConversion"/>
  </si>
  <si>
    <t>Metamorphic/Igneous</t>
  </si>
  <si>
    <t>W1</t>
    <phoneticPr fontId="7" type="noConversion"/>
  </si>
  <si>
    <t>W-1</t>
    <phoneticPr fontId="7" type="noConversion"/>
  </si>
  <si>
    <t>W-2</t>
    <phoneticPr fontId="7" type="noConversion"/>
  </si>
  <si>
    <t>W-3</t>
    <phoneticPr fontId="7" type="noConversion"/>
  </si>
  <si>
    <t>Silty Loam</t>
  </si>
  <si>
    <t xml:space="preserve">위도 </t>
    <phoneticPr fontId="7" type="noConversion"/>
  </si>
  <si>
    <t>펌프마력산정하는것</t>
  </si>
  <si>
    <t>굴착심도</t>
  </si>
  <si>
    <t>Q(물량)-양수량</t>
  </si>
  <si>
    <t>Depth(모터설치심도)</t>
  </si>
  <si>
    <t>Height(양정고)</t>
  </si>
  <si>
    <t>Sum (합계)</t>
  </si>
  <si>
    <t>E (효율)</t>
  </si>
  <si>
    <t>계산식</t>
  </si>
  <si>
    <t>허가필증의 마력</t>
  </si>
  <si>
    <t>이론상 양수능력</t>
  </si>
  <si>
    <t>W-1</t>
  </si>
  <si>
    <t>강우량</t>
    <phoneticPr fontId="7" type="noConversion"/>
  </si>
  <si>
    <t>온도(℃)</t>
    <phoneticPr fontId="7" type="noConversion"/>
  </si>
  <si>
    <r>
      <t>EC(</t>
    </r>
    <r>
      <rPr>
        <sz val="11"/>
        <rFont val="Calibri"/>
        <family val="3"/>
        <charset val="161"/>
      </rPr>
      <t>μ</t>
    </r>
    <r>
      <rPr>
        <sz val="11"/>
        <rFont val="Cambria"/>
        <family val="3"/>
        <charset val="129"/>
        <scheme val="major"/>
      </rPr>
      <t>s/㎝)</t>
    </r>
    <phoneticPr fontId="7" type="noConversion"/>
  </si>
  <si>
    <t>온도</t>
    <phoneticPr fontId="7" type="noConversion"/>
  </si>
  <si>
    <t>EC</t>
    <phoneticPr fontId="7" type="noConversion"/>
  </si>
  <si>
    <t>수위강하량</t>
    <phoneticPr fontId="7" type="noConversion"/>
  </si>
  <si>
    <t>함양량대비개발가능량</t>
    <phoneticPr fontId="7" type="noConversion"/>
  </si>
  <si>
    <t>30년 부여 데이터, 2019/2/16  일날, 기상청 기상자료를 바탕으로 데이터 획득</t>
    <phoneticPr fontId="7" type="noConversion"/>
  </si>
  <si>
    <t>127, 9, 0</t>
    <phoneticPr fontId="7" type="noConversion"/>
  </si>
  <si>
    <t>36, 9, 11</t>
    <phoneticPr fontId="7" type="noConversion"/>
  </si>
  <si>
    <t>2020  논산시 노성면 장구리 436-3번지</t>
    <phoneticPr fontId="7" type="noConversion"/>
  </si>
  <si>
    <t>장구리 436-3</t>
    <phoneticPr fontId="7" type="noConversion"/>
  </si>
  <si>
    <t>동해엔지니어링</t>
    <phoneticPr fontId="7" type="noConversion"/>
  </si>
  <si>
    <t>금강공주</t>
    <phoneticPr fontId="7" type="noConversion"/>
  </si>
  <si>
    <t>높음</t>
    <phoneticPr fontId="7" type="noConversion"/>
  </si>
  <si>
    <t>조사지역의 월평균 강수량 (2009-2018)</t>
  </si>
  <si>
    <t>10년간 평균강수량</t>
  </si>
  <si>
    <t>30년평균함양량</t>
  </si>
  <si>
    <t xml:space="preserve">함양량의 약 </t>
  </si>
  <si>
    <t>q = 물량,양수량</t>
  </si>
  <si>
    <t>depth = 설치심도</t>
  </si>
  <si>
    <t>height = 양정고</t>
  </si>
  <si>
    <t>sum = depth + height</t>
  </si>
  <si>
    <t>e = 효율값</t>
  </si>
  <si>
    <t>결국 양정고를 결정하는것,</t>
  </si>
  <si>
    <t>양정고를 가지고 모터마력을 맟춘다.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</si>
</sst>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6">
    <numFmt numFmtId="41" formatCode="_-* #,##0_-;\-* #,##0_-;_-* &quot;-&quot;_-;_-@_-"/>
    <numFmt numFmtId="44" formatCode="_-&quot;₩&quot;* #,##0.00_-;\-&quot;₩&quot;* #,##0.00_-;_-&quot;₩&quot;* &quot;-&quot;??_-;_-@_-"/>
    <numFmt numFmtId="164" formatCode="\$#,##0_);[Red]\(\$#,##0\)"/>
    <numFmt numFmtId="165" formatCode="_(* #,##0.00_);_(* \(#,##0.00\);_(* &quot;-&quot;??_);_(@_)"/>
    <numFmt numFmtId="166" formatCode="_ * #,##0_ ;_ * \-#,##0_ ;_ * &quot;-&quot;_ ;_ @_ "/>
    <numFmt numFmtId="167" formatCode="mm&quot;월&quot;dd&quot;일&quot;"/>
    <numFmt numFmtId="168" formatCode="&quot;?#,##0.00;\-&quot;&quot;?&quot;#,##0.00"/>
    <numFmt numFmtId="169" formatCode="_-* #,##0.0_-;\-* #,##0.0_-;_-* &quot;-&quot;??_-;_-@_-"/>
    <numFmt numFmtId="170" formatCode="_ * #,##0.00_ ;_ * \-#,##0.00_ ;_ * &quot;-&quot;??_ ;_ @_ "/>
    <numFmt numFmtId="171" formatCode="#,##0.000_);[Red]\(#,##0.000\)"/>
    <numFmt numFmtId="172" formatCode="#,##0;&quot;-&quot;#,##0"/>
    <numFmt numFmtId="173" formatCode="#,##0.0_);[Red]\(#,##0.0\)"/>
    <numFmt numFmtId="174" formatCode="#,##0.0_ "/>
    <numFmt numFmtId="175" formatCode="0.0_ "/>
    <numFmt numFmtId="176" formatCode="#,##0_ "/>
    <numFmt numFmtId="177" formatCode="#,##0.0000_ "/>
    <numFmt numFmtId="178" formatCode="0.0"/>
    <numFmt numFmtId="179" formatCode="_(* #,##0.0_);_(* \(#,##0.0\);_(* &quot;-&quot;??_);_(@_)"/>
    <numFmt numFmtId="180" formatCode="#,##0_ ;[Red]\-#,##0\ "/>
    <numFmt numFmtId="181" formatCode="yy&quot;-&quot;m&quot;-&quot;d\ h:mm;@"/>
    <numFmt numFmtId="182" formatCode="#,##0.00_ "/>
    <numFmt numFmtId="183" formatCode="0.0000"/>
    <numFmt numFmtId="184" formatCode="0.00_ "/>
    <numFmt numFmtId="185" formatCode="0.0\ &quot;도&quot;"/>
    <numFmt numFmtId="186" formatCode="0.000\ &quot;%&quot;"/>
    <numFmt numFmtId="187" formatCode="yyyy&quot;-&quot;mm&quot;-&quot;dd\ h:mm;@"/>
  </numFmts>
  <fonts count="47">
    <font>
      <sz val="11"/>
      <name val="돋움"/>
      <family val="3"/>
      <charset val="129"/>
    </font>
    <font>
      <sz val="11"/>
      <color theme="1"/>
      <name val="Calibri"/>
      <family val="2"/>
      <charset val="129"/>
      <scheme val="minor"/>
    </font>
    <font>
      <sz val="11"/>
      <color theme="1"/>
      <name val="Calibri"/>
      <family val="2"/>
      <charset val="129"/>
      <scheme val="minor"/>
    </font>
    <font>
      <sz val="11"/>
      <color theme="1"/>
      <name val="Calibri"/>
      <family val="2"/>
      <charset val="129"/>
      <scheme val="minor"/>
    </font>
    <font>
      <sz val="11"/>
      <color theme="1"/>
      <name val="Calibri"/>
      <family val="2"/>
      <charset val="129"/>
      <scheme val="minor"/>
    </font>
    <font>
      <sz val="11"/>
      <color theme="1"/>
      <name val="Calibri"/>
      <family val="2"/>
      <charset val="129"/>
      <scheme val="minor"/>
    </font>
    <font>
      <sz val="11"/>
      <name val="돋움"/>
      <family val="3"/>
      <charset val="129"/>
    </font>
    <font>
      <sz val="8"/>
      <name val="돋움"/>
      <family val="3"/>
      <charset val="129"/>
    </font>
    <font>
      <sz val="10"/>
      <name val="MS Sans Serif"/>
      <family val="2"/>
    </font>
    <font>
      <sz val="12"/>
      <name val="바탕체"/>
      <family val="1"/>
      <charset val="129"/>
    </font>
    <font>
      <u/>
      <sz val="10"/>
      <color indexed="14"/>
      <name val="돋움체"/>
      <family val="3"/>
      <charset val="129"/>
    </font>
    <font>
      <sz val="10"/>
      <name val="궁서(English)"/>
      <family val="3"/>
      <charset val="129"/>
    </font>
    <font>
      <sz val="11"/>
      <name val="굴림체"/>
      <family val="3"/>
      <charset val="129"/>
    </font>
    <font>
      <b/>
      <sz val="12"/>
      <name val="Arial"/>
      <family val="2"/>
    </font>
    <font>
      <sz val="8"/>
      <name val="Calibri"/>
      <family val="2"/>
      <charset val="129"/>
      <scheme val="minor"/>
    </font>
    <font>
      <sz val="11"/>
      <name val="Cambria"/>
      <family val="3"/>
      <charset val="129"/>
      <scheme val="major"/>
    </font>
    <font>
      <b/>
      <sz val="11"/>
      <name val="Cambria"/>
      <family val="3"/>
      <charset val="129"/>
      <scheme val="major"/>
    </font>
    <font>
      <sz val="10"/>
      <color theme="1"/>
      <name val="맑은 고딕"/>
      <family val="3"/>
      <charset val="129"/>
    </font>
    <font>
      <sz val="10"/>
      <color rgb="FF000000"/>
      <name val="맑은 고딕"/>
      <family val="3"/>
      <charset val="129"/>
    </font>
    <font>
      <b/>
      <sz val="10"/>
      <color rgb="FF000000"/>
      <name val="맑은 고딕"/>
      <family val="3"/>
      <charset val="129"/>
    </font>
    <font>
      <sz val="11"/>
      <color rgb="FF000000"/>
      <name val="맑은 고딕"/>
      <family val="3"/>
      <charset val="129"/>
    </font>
    <font>
      <sz val="11"/>
      <color theme="1"/>
      <name val="맑은 고딕"/>
      <family val="3"/>
      <charset val="129"/>
    </font>
    <font>
      <i/>
      <sz val="11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b/>
      <i/>
      <sz val="14"/>
      <color theme="1"/>
      <name val="맑은 고딕"/>
      <family val="3"/>
      <charset val="129"/>
    </font>
    <font>
      <i/>
      <sz val="12"/>
      <color theme="1"/>
      <name val="맑은 고딕"/>
      <family val="3"/>
      <charset val="129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sz val="11"/>
      <name val="맑은 고딕"/>
      <family val="3"/>
      <charset val="129"/>
    </font>
    <font>
      <b/>
      <sz val="20"/>
      <name val="맑은 고딕"/>
      <family val="3"/>
      <charset val="129"/>
    </font>
    <font>
      <i/>
      <sz val="20"/>
      <color theme="1"/>
      <name val="맑은 고딕"/>
      <family val="3"/>
      <charset val="129"/>
    </font>
    <font>
      <b/>
      <sz val="11"/>
      <name val="맑은 고딕"/>
      <family val="3"/>
      <charset val="129"/>
    </font>
    <font>
      <b/>
      <i/>
      <sz val="14"/>
      <name val="Cambria"/>
      <family val="3"/>
      <charset val="129"/>
      <scheme val="major"/>
    </font>
    <font>
      <i/>
      <sz val="14"/>
      <name val="Cambria"/>
      <family val="3"/>
      <charset val="129"/>
      <scheme val="major"/>
    </font>
    <font>
      <b/>
      <sz val="11"/>
      <color rgb="FFFF0000"/>
      <name val="맑은 고딕"/>
      <family val="3"/>
      <charset val="129"/>
    </font>
    <font>
      <sz val="11"/>
      <color rgb="FFFF0000"/>
      <name val="Cambria"/>
      <family val="3"/>
      <charset val="129"/>
      <scheme val="major"/>
    </font>
    <font>
      <sz val="11"/>
      <name val="Calibri"/>
      <family val="3"/>
      <charset val="161"/>
    </font>
    <font>
      <sz val="11"/>
      <color rgb="FF006100"/>
      <name val="Calibri"/>
      <family val="2"/>
      <charset val="129"/>
      <scheme val="minor"/>
    </font>
    <font>
      <b/>
      <sz val="11"/>
      <color theme="1"/>
      <name val="맑은 고딕"/>
      <family val="3"/>
      <charset val="129"/>
    </font>
    <font>
      <b/>
      <i/>
      <sz val="11"/>
      <color theme="1"/>
      <name val="맑은 고딕"/>
      <family val="3"/>
      <charset val="129"/>
    </font>
    <font>
      <b/>
      <sz val="12"/>
      <color theme="1"/>
      <name val="맑은 고딕"/>
      <family val="3"/>
      <charset val="129"/>
    </font>
    <font>
      <sz val="12"/>
      <color theme="1"/>
      <name val="맑은 고딕"/>
      <family val="3"/>
      <charset val="129"/>
    </font>
    <font>
      <b/>
      <i/>
      <sz val="12"/>
      <color rgb="FFFF0000"/>
      <name val="맑은 고딕"/>
      <family val="3"/>
      <charset val="129"/>
    </font>
    <font>
      <b/>
      <i/>
      <sz val="12"/>
      <color theme="1"/>
      <name val="맑은 고딕"/>
      <family val="3"/>
      <charset val="129"/>
    </font>
    <font>
      <b/>
      <i/>
      <sz val="12"/>
      <name val="맑은 고딕"/>
      <family val="3"/>
      <charset val="129"/>
    </font>
    <font>
      <b/>
      <sz val="10"/>
      <name val="맑은 고딕"/>
      <family val="3"/>
      <charset val="129"/>
    </font>
  </fonts>
  <fills count="22">
    <fill>
      <patternFill patternType="none"/>
    </fill>
    <fill>
      <patternFill patternType="gray125"/>
    </fill>
    <fill>
      <patternFill patternType="solid">
        <fgColor theme="7" tint="0.79998168889431442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6" tint="0.79995117038483843"/>
        <bgColor indexed="64"/>
      </patternFill>
    </fill>
    <fill>
      <patternFill patternType="solid">
        <fgColor theme="5" tint="0.7999511703848384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C6EFCE"/>
      </patternFill>
    </fill>
  </fills>
  <borders count="103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ck">
        <color auto="1"/>
      </left>
      <right/>
      <top style="thick">
        <color auto="1"/>
      </top>
      <bottom/>
      <diagonal/>
    </border>
    <border>
      <left/>
      <right/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 style="thick">
        <color auto="1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medium">
        <color indexed="64"/>
      </bottom>
      <diagonal/>
    </border>
    <border>
      <left/>
      <right style="dashed">
        <color indexed="64"/>
      </right>
      <top/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thick">
        <color auto="1"/>
      </left>
      <right/>
      <top style="thick">
        <color auto="1"/>
      </top>
      <bottom style="thick">
        <color auto="1"/>
      </bottom>
      <diagonal/>
    </border>
    <border>
      <left/>
      <right/>
      <top style="thick">
        <color auto="1"/>
      </top>
      <bottom style="thick">
        <color auto="1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ck">
        <color indexed="64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/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dashed">
        <color indexed="64"/>
      </right>
      <top/>
      <bottom/>
      <diagonal/>
    </border>
    <border>
      <left style="dashed">
        <color indexed="64"/>
      </left>
      <right style="dashed">
        <color indexed="64"/>
      </right>
      <top/>
      <bottom/>
      <diagonal/>
    </border>
    <border>
      <left/>
      <right style="thin">
        <color indexed="64"/>
      </right>
      <top style="thin">
        <color auto="1"/>
      </top>
      <bottom style="medium">
        <color indexed="64"/>
      </bottom>
      <diagonal/>
    </border>
    <border>
      <left style="thin">
        <color indexed="64"/>
      </left>
      <right/>
      <top style="thin">
        <color auto="1"/>
      </top>
      <bottom style="medium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tted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indexed="64"/>
      </top>
      <bottom/>
      <diagonal/>
    </border>
    <border>
      <left style="medium">
        <color indexed="64"/>
      </left>
      <right style="dashed">
        <color auto="1"/>
      </right>
      <top style="thin">
        <color auto="1"/>
      </top>
      <bottom style="dashed">
        <color auto="1"/>
      </bottom>
      <diagonal/>
    </border>
    <border>
      <left style="dashed">
        <color auto="1"/>
      </left>
      <right style="dashed">
        <color auto="1"/>
      </right>
      <top style="thin">
        <color auto="1"/>
      </top>
      <bottom style="dashed">
        <color auto="1"/>
      </bottom>
      <diagonal/>
    </border>
    <border>
      <left style="dashed">
        <color auto="1"/>
      </left>
      <right style="medium">
        <color indexed="64"/>
      </right>
      <top style="thin">
        <color auto="1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/>
      <diagonal/>
    </border>
    <border>
      <left style="dashed">
        <color indexed="64"/>
      </left>
      <right style="dashed">
        <color indexed="64"/>
      </right>
      <top style="dashed">
        <color indexed="64"/>
      </top>
      <bottom/>
      <diagonal/>
    </border>
    <border>
      <left style="dashed">
        <color indexed="64"/>
      </left>
      <right style="medium">
        <color indexed="64"/>
      </right>
      <top style="dashed">
        <color indexed="64"/>
      </top>
      <bottom/>
      <diagonal/>
    </border>
    <border>
      <left style="medium">
        <color indexed="64"/>
      </left>
      <right style="dashed">
        <color auto="1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dashed">
        <color indexed="64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medium">
        <color indexed="64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 style="dashed">
        <color indexed="64"/>
      </right>
      <top style="medium">
        <color indexed="64"/>
      </top>
      <bottom style="dashed">
        <color auto="1"/>
      </bottom>
      <diagonal/>
    </border>
    <border>
      <left/>
      <right style="dashed">
        <color indexed="64"/>
      </right>
      <top style="dashed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auto="1"/>
      </bottom>
      <diagonal/>
    </border>
    <border>
      <left style="medium">
        <color indexed="64"/>
      </left>
      <right style="medium">
        <color indexed="64"/>
      </right>
      <top style="dashed">
        <color auto="1"/>
      </top>
      <bottom style="dashed">
        <color auto="1"/>
      </bottom>
      <diagonal/>
    </border>
    <border>
      <left style="medium">
        <color indexed="64"/>
      </left>
      <right style="medium">
        <color indexed="64"/>
      </right>
      <top style="dashed">
        <color auto="1"/>
      </top>
      <bottom style="medium">
        <color indexed="64"/>
      </bottom>
      <diagonal/>
    </border>
    <border>
      <left/>
      <right style="dashed">
        <color indexed="64"/>
      </right>
      <top/>
      <bottom style="medium">
        <color indexed="64"/>
      </bottom>
      <diagonal/>
    </border>
    <border>
      <left style="dashed">
        <color indexed="64"/>
      </left>
      <right style="dashed">
        <color indexed="64"/>
      </right>
      <top/>
      <bottom style="medium">
        <color indexed="64"/>
      </bottom>
      <diagonal/>
    </border>
    <border>
      <left style="dashed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dashed">
        <color auto="1"/>
      </right>
      <top/>
      <bottom style="dashed">
        <color auto="1"/>
      </bottom>
      <diagonal/>
    </border>
    <border>
      <left style="dashed">
        <color indexed="64"/>
      </left>
      <right style="medium">
        <color indexed="64"/>
      </right>
      <top/>
      <bottom style="dashed">
        <color indexed="64"/>
      </bottom>
      <diagonal/>
    </border>
    <border>
      <left style="dashed">
        <color indexed="64"/>
      </left>
      <right style="dashed">
        <color indexed="64"/>
      </right>
      <top/>
      <bottom style="dashed">
        <color indexed="64"/>
      </bottom>
      <diagonal/>
    </border>
    <border>
      <left style="medium">
        <color indexed="64"/>
      </left>
      <right style="dashed">
        <color auto="1"/>
      </right>
      <top/>
      <bottom/>
      <diagonal/>
    </border>
    <border>
      <left style="dashed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 style="dotted">
        <color indexed="64"/>
      </bottom>
      <diagonal/>
    </border>
    <border>
      <left/>
      <right style="medium">
        <color indexed="64"/>
      </right>
      <top style="dotted">
        <color indexed="64"/>
      </top>
      <bottom style="dotted">
        <color indexed="64"/>
      </bottom>
      <diagonal/>
    </border>
    <border>
      <left/>
      <right style="medium">
        <color indexed="64"/>
      </right>
      <top style="dotted">
        <color indexed="64"/>
      </top>
      <bottom style="medium">
        <color indexed="64"/>
      </bottom>
      <diagonal/>
    </border>
    <border>
      <left/>
      <right style="medium">
        <color indexed="64"/>
      </right>
      <top style="dotted">
        <color indexed="64"/>
      </top>
      <bottom/>
      <diagonal/>
    </border>
    <border>
      <left style="medium">
        <color indexed="64"/>
      </left>
      <right style="dashed">
        <color indexed="64"/>
      </right>
      <top style="medium">
        <color indexed="64"/>
      </top>
      <bottom style="medium">
        <color indexed="64"/>
      </bottom>
      <diagonal/>
    </border>
    <border>
      <left style="dashed">
        <color indexed="64"/>
      </left>
      <right style="dashed">
        <color indexed="64"/>
      </right>
      <top style="medium">
        <color indexed="64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7">
    <xf numFmtId="0" fontId="0" fillId="0" borderId="0"/>
    <xf numFmtId="164" fontId="8" fillId="0" borderId="0" applyFont="0" applyFill="0" applyBorder="0" applyAlignment="0" applyProtection="0"/>
    <xf numFmtId="167" fontId="6" fillId="0" borderId="0" applyNumberFormat="0" applyFont="0" applyFill="0" applyBorder="0" applyAlignment="0" applyProtection="0"/>
    <xf numFmtId="168" fontId="9" fillId="0" borderId="0" applyNumberFormat="0" applyFont="0" applyFill="0" applyBorder="0" applyAlignment="0" applyProtection="0"/>
    <xf numFmtId="167" fontId="6" fillId="0" borderId="0" applyNumberFormat="0" applyFont="0" applyFill="0" applyBorder="0" applyAlignment="0" applyProtection="0"/>
    <xf numFmtId="168" fontId="9" fillId="0" borderId="0" applyNumberFormat="0" applyFont="0" applyFill="0" applyBorder="0" applyAlignment="0" applyProtection="0"/>
    <xf numFmtId="0" fontId="10" fillId="0" borderId="0" applyNumberFormat="0" applyFill="0" applyBorder="0" applyAlignment="0" applyProtection="0"/>
    <xf numFmtId="169" fontId="9" fillId="0" borderId="0" applyFont="0" applyFill="0" applyBorder="0" applyAlignment="0" applyProtection="0"/>
    <xf numFmtId="172" fontId="11" fillId="0" borderId="0" applyFont="0" applyFill="0" applyBorder="0" applyAlignment="0" applyProtection="0"/>
    <xf numFmtId="171" fontId="6" fillId="0" borderId="0" applyFont="0" applyFill="0" applyBorder="0" applyAlignment="0" applyProtection="0"/>
    <xf numFmtId="49" fontId="12" fillId="0" borderId="1" applyNumberFormat="0" applyAlignment="0"/>
    <xf numFmtId="0" fontId="9" fillId="0" borderId="0"/>
    <xf numFmtId="166" fontId="9" fillId="0" borderId="0" applyFont="0" applyFill="0" applyBorder="0" applyAlignment="0" applyProtection="0"/>
    <xf numFmtId="170" fontId="9" fillId="0" borderId="0" applyFont="0" applyFill="0" applyBorder="0" applyAlignment="0" applyProtection="0"/>
    <xf numFmtId="0" fontId="13" fillId="0" borderId="2" applyNumberFormat="0" applyAlignment="0" applyProtection="0">
      <alignment horizontal="left" vertical="center"/>
    </xf>
    <xf numFmtId="0" fontId="13" fillId="0" borderId="3">
      <alignment horizontal="left" vertical="center"/>
    </xf>
    <xf numFmtId="0" fontId="5" fillId="2" borderId="0" applyNumberFormat="0" applyBorder="0" applyAlignment="0" applyProtection="0">
      <alignment vertical="center"/>
    </xf>
    <xf numFmtId="0" fontId="5" fillId="0" borderId="0">
      <alignment vertical="center"/>
    </xf>
    <xf numFmtId="165" fontId="6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2" borderId="0" applyNumberFormat="0" applyBorder="0" applyAlignment="0" applyProtection="0">
      <alignment vertical="center"/>
    </xf>
    <xf numFmtId="41" fontId="6" fillId="0" borderId="0" applyFont="0" applyFill="0" applyBorder="0" applyAlignment="0" applyProtection="0">
      <alignment vertical="center"/>
    </xf>
    <xf numFmtId="0" fontId="3" fillId="13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0" borderId="0">
      <alignment vertical="center"/>
    </xf>
    <xf numFmtId="0" fontId="38" fillId="21" borderId="0" applyNumberFormat="0" applyBorder="0" applyAlignment="0" applyProtection="0">
      <alignment vertical="center"/>
    </xf>
  </cellStyleXfs>
  <cellXfs count="388">
    <xf numFmtId="0" fontId="0" fillId="0" borderId="0" xfId="0"/>
    <xf numFmtId="0" fontId="15" fillId="0" borderId="0" xfId="0" applyFont="1" applyAlignment="1">
      <alignment horizontal="center" vertical="center"/>
    </xf>
    <xf numFmtId="0" fontId="17" fillId="0" borderId="0" xfId="19" applyFont="1">
      <alignment vertical="center"/>
    </xf>
    <xf numFmtId="0" fontId="17" fillId="0" borderId="45" xfId="19" applyFont="1" applyBorder="1" applyAlignment="1">
      <alignment horizontal="center" vertical="center"/>
    </xf>
    <xf numFmtId="0" fontId="17" fillId="0" borderId="46" xfId="19" applyFont="1" applyBorder="1" applyAlignment="1">
      <alignment horizontal="center" vertical="center"/>
    </xf>
    <xf numFmtId="0" fontId="17" fillId="0" borderId="47" xfId="19" applyFont="1" applyBorder="1" applyAlignment="1">
      <alignment horizontal="center" vertical="center"/>
    </xf>
    <xf numFmtId="180" fontId="17" fillId="0" borderId="15" xfId="19" applyNumberFormat="1" applyFont="1" applyBorder="1" applyAlignment="1">
      <alignment horizontal="center" vertical="center"/>
    </xf>
    <xf numFmtId="0" fontId="17" fillId="0" borderId="48" xfId="19" applyFont="1" applyBorder="1" applyAlignment="1">
      <alignment horizontal="center" vertical="center"/>
    </xf>
    <xf numFmtId="0" fontId="18" fillId="0" borderId="49" xfId="19" applyFont="1" applyBorder="1" applyAlignment="1">
      <alignment horizontal="center" vertical="center" wrapText="1"/>
    </xf>
    <xf numFmtId="0" fontId="18" fillId="0" borderId="14" xfId="19" applyFont="1" applyBorder="1" applyAlignment="1">
      <alignment horizontal="center" vertical="center" wrapText="1"/>
    </xf>
    <xf numFmtId="0" fontId="18" fillId="0" borderId="8" xfId="19" applyFont="1" applyBorder="1" applyAlignment="1">
      <alignment horizontal="center" vertical="center" wrapText="1"/>
    </xf>
    <xf numFmtId="0" fontId="18" fillId="0" borderId="48" xfId="19" applyFont="1" applyBorder="1" applyAlignment="1">
      <alignment horizontal="center" vertical="center" wrapText="1"/>
    </xf>
    <xf numFmtId="0" fontId="17" fillId="0" borderId="50" xfId="19" applyFont="1" applyBorder="1">
      <alignment vertical="center"/>
    </xf>
    <xf numFmtId="0" fontId="19" fillId="9" borderId="51" xfId="19" applyFont="1" applyFill="1" applyBorder="1" applyAlignment="1">
      <alignment horizontal="center" vertical="center" wrapText="1"/>
    </xf>
    <xf numFmtId="0" fontId="19" fillId="9" borderId="53" xfId="19" applyFont="1" applyFill="1" applyBorder="1" applyAlignment="1">
      <alignment horizontal="center" vertical="center" wrapText="1"/>
    </xf>
    <xf numFmtId="0" fontId="18" fillId="10" borderId="54" xfId="19" applyFont="1" applyFill="1" applyBorder="1" applyAlignment="1">
      <alignment horizontal="center" vertical="center" wrapText="1"/>
    </xf>
    <xf numFmtId="0" fontId="20" fillId="10" borderId="55" xfId="19" applyFont="1" applyFill="1" applyBorder="1" applyAlignment="1">
      <alignment horizontal="center" vertical="center" wrapText="1"/>
    </xf>
    <xf numFmtId="0" fontId="20" fillId="10" borderId="52" xfId="19" applyFont="1" applyFill="1" applyBorder="1" applyAlignment="1">
      <alignment horizontal="center" vertical="center" wrapText="1"/>
    </xf>
    <xf numFmtId="0" fontId="20" fillId="10" borderId="53" xfId="19" applyFont="1" applyFill="1" applyBorder="1" applyAlignment="1">
      <alignment horizontal="center" vertical="center" wrapText="1"/>
    </xf>
    <xf numFmtId="174" fontId="17" fillId="0" borderId="0" xfId="20" applyNumberFormat="1" applyFont="1" applyFill="1">
      <alignment vertical="center"/>
    </xf>
    <xf numFmtId="0" fontId="17" fillId="0" borderId="0" xfId="20" applyFont="1" applyFill="1">
      <alignment vertical="center"/>
    </xf>
    <xf numFmtId="0" fontId="17" fillId="0" borderId="0" xfId="19" applyFont="1" applyAlignment="1">
      <alignment horizontal="center" vertical="center"/>
    </xf>
    <xf numFmtId="0" fontId="21" fillId="0" borderId="0" xfId="19" applyFont="1">
      <alignment vertical="center"/>
    </xf>
    <xf numFmtId="173" fontId="17" fillId="0" borderId="0" xfId="19" applyNumberFormat="1" applyFont="1">
      <alignment vertical="center"/>
    </xf>
    <xf numFmtId="174" fontId="17" fillId="0" borderId="0" xfId="19" applyNumberFormat="1" applyFont="1">
      <alignment vertical="center"/>
    </xf>
    <xf numFmtId="0" fontId="18" fillId="0" borderId="0" xfId="19" applyFont="1" applyAlignment="1">
      <alignment horizontal="center" vertical="center" wrapText="1"/>
    </xf>
    <xf numFmtId="0" fontId="17" fillId="0" borderId="56" xfId="19" applyFont="1" applyBorder="1" applyAlignment="1">
      <alignment horizontal="center" vertical="center"/>
    </xf>
    <xf numFmtId="176" fontId="22" fillId="3" borderId="56" xfId="19" applyNumberFormat="1" applyFont="1" applyFill="1" applyBorder="1">
      <alignment vertical="center"/>
    </xf>
    <xf numFmtId="0" fontId="17" fillId="0" borderId="57" xfId="19" applyFont="1" applyBorder="1" applyAlignment="1">
      <alignment horizontal="center" vertical="center"/>
    </xf>
    <xf numFmtId="0" fontId="19" fillId="0" borderId="0" xfId="19" applyFont="1" applyAlignment="1">
      <alignment horizontal="center" vertical="center" wrapText="1"/>
    </xf>
    <xf numFmtId="0" fontId="15" fillId="0" borderId="0" xfId="0" applyFont="1" applyAlignment="1">
      <alignment vertical="center"/>
    </xf>
    <xf numFmtId="0" fontId="15" fillId="4" borderId="58" xfId="0" applyFont="1" applyFill="1" applyBorder="1" applyAlignment="1">
      <alignment horizontal="center" vertical="center"/>
    </xf>
    <xf numFmtId="181" fontId="15" fillId="4" borderId="0" xfId="0" applyNumberFormat="1" applyFont="1" applyFill="1" applyAlignment="1">
      <alignment horizontal="center" vertical="center"/>
    </xf>
    <xf numFmtId="173" fontId="15" fillId="4" borderId="54" xfId="0" applyNumberFormat="1" applyFont="1" applyFill="1" applyBorder="1" applyAlignment="1">
      <alignment horizontal="center" vertical="center"/>
    </xf>
    <xf numFmtId="0" fontId="15" fillId="4" borderId="0" xfId="0" applyFont="1" applyFill="1" applyAlignment="1">
      <alignment horizontal="center" vertical="center"/>
    </xf>
    <xf numFmtId="173" fontId="15" fillId="4" borderId="0" xfId="0" applyNumberFormat="1" applyFont="1" applyFill="1" applyAlignment="1">
      <alignment horizontal="center" vertical="center"/>
    </xf>
    <xf numFmtId="0" fontId="15" fillId="0" borderId="0" xfId="0" applyFont="1" applyAlignment="1">
      <alignment horizontal="center"/>
    </xf>
    <xf numFmtId="0" fontId="15" fillId="0" borderId="0" xfId="0" applyFont="1"/>
    <xf numFmtId="0" fontId="24" fillId="0" borderId="0" xfId="19" applyFont="1" applyAlignment="1">
      <alignment horizontal="center" vertical="center"/>
    </xf>
    <xf numFmtId="0" fontId="17" fillId="0" borderId="11" xfId="19" applyFont="1" applyBorder="1" applyAlignment="1">
      <alignment horizontal="center" vertical="center"/>
    </xf>
    <xf numFmtId="0" fontId="17" fillId="0" borderId="9" xfId="19" applyFont="1" applyBorder="1" applyAlignment="1">
      <alignment horizontal="center" vertical="center"/>
    </xf>
    <xf numFmtId="0" fontId="17" fillId="0" borderId="10" xfId="19" applyFont="1" applyBorder="1" applyAlignment="1">
      <alignment horizontal="center" vertical="center"/>
    </xf>
    <xf numFmtId="170" fontId="17" fillId="0" borderId="0" xfId="13" applyFont="1" applyAlignment="1">
      <alignment vertical="center"/>
    </xf>
    <xf numFmtId="0" fontId="17" fillId="11" borderId="11" xfId="19" applyFont="1" applyFill="1" applyBorder="1" applyAlignment="1">
      <alignment horizontal="center" vertical="center"/>
    </xf>
    <xf numFmtId="174" fontId="25" fillId="11" borderId="39" xfId="19" applyNumberFormat="1" applyFont="1" applyFill="1" applyBorder="1">
      <alignment vertical="center"/>
    </xf>
    <xf numFmtId="0" fontId="17" fillId="12" borderId="11" xfId="19" applyFont="1" applyFill="1" applyBorder="1" applyAlignment="1">
      <alignment horizontal="center" vertical="center"/>
    </xf>
    <xf numFmtId="174" fontId="25" fillId="12" borderId="39" xfId="19" applyNumberFormat="1" applyFont="1" applyFill="1" applyBorder="1">
      <alignment vertical="center"/>
    </xf>
    <xf numFmtId="0" fontId="17" fillId="0" borderId="53" xfId="19" applyFont="1" applyBorder="1" applyAlignment="1">
      <alignment horizontal="center" vertical="center"/>
    </xf>
    <xf numFmtId="0" fontId="19" fillId="0" borderId="56" xfId="19" applyFont="1" applyBorder="1" applyAlignment="1">
      <alignment horizontal="center" vertical="center" wrapText="1"/>
    </xf>
    <xf numFmtId="0" fontId="19" fillId="0" borderId="61" xfId="19" applyFont="1" applyBorder="1" applyAlignment="1">
      <alignment horizontal="center" vertical="center" wrapText="1"/>
    </xf>
    <xf numFmtId="0" fontId="18" fillId="3" borderId="14" xfId="19" applyFont="1" applyFill="1" applyBorder="1" applyAlignment="1">
      <alignment horizontal="center" vertical="center" wrapText="1"/>
    </xf>
    <xf numFmtId="183" fontId="18" fillId="0" borderId="8" xfId="19" applyNumberFormat="1" applyFont="1" applyBorder="1" applyAlignment="1">
      <alignment horizontal="center" vertical="center" wrapText="1"/>
    </xf>
    <xf numFmtId="183" fontId="19" fillId="0" borderId="62" xfId="19" applyNumberFormat="1" applyFont="1" applyBorder="1" applyAlignment="1">
      <alignment horizontal="center" vertical="center" wrapText="1"/>
    </xf>
    <xf numFmtId="0" fontId="19" fillId="9" borderId="52" xfId="19" applyFont="1" applyFill="1" applyBorder="1" applyAlignment="1">
      <alignment horizontal="center" vertical="center" wrapText="1"/>
    </xf>
    <xf numFmtId="0" fontId="29" fillId="0" borderId="24" xfId="17" applyFont="1" applyBorder="1">
      <alignment vertical="center"/>
    </xf>
    <xf numFmtId="0" fontId="29" fillId="12" borderId="19" xfId="17" applyFont="1" applyFill="1" applyBorder="1">
      <alignment vertical="center"/>
    </xf>
    <xf numFmtId="0" fontId="29" fillId="0" borderId="18" xfId="17" applyFont="1" applyBorder="1">
      <alignment vertical="center"/>
    </xf>
    <xf numFmtId="0" fontId="29" fillId="12" borderId="21" xfId="17" applyFont="1" applyFill="1" applyBorder="1">
      <alignment vertical="center"/>
    </xf>
    <xf numFmtId="184" fontId="29" fillId="0" borderId="21" xfId="17" applyNumberFormat="1" applyFont="1" applyBorder="1">
      <alignment vertical="center"/>
    </xf>
    <xf numFmtId="0" fontId="29" fillId="0" borderId="25" xfId="17" applyFont="1" applyBorder="1">
      <alignment vertical="center"/>
    </xf>
    <xf numFmtId="0" fontId="29" fillId="0" borderId="23" xfId="17" applyFont="1" applyBorder="1">
      <alignment vertical="center"/>
    </xf>
    <xf numFmtId="0" fontId="29" fillId="0" borderId="0" xfId="0" applyFont="1" applyAlignment="1">
      <alignment horizontal="center" vertical="center"/>
    </xf>
    <xf numFmtId="0" fontId="29" fillId="0" borderId="0" xfId="0" applyFont="1" applyAlignment="1">
      <alignment vertical="center"/>
    </xf>
    <xf numFmtId="0" fontId="30" fillId="0" borderId="0" xfId="0" applyFont="1" applyAlignment="1">
      <alignment horizontal="left" vertical="center"/>
    </xf>
    <xf numFmtId="41" fontId="29" fillId="0" borderId="0" xfId="21" applyFont="1" applyAlignment="1">
      <alignment horizontal="center" vertical="center"/>
    </xf>
    <xf numFmtId="178" fontId="21" fillId="0" borderId="53" xfId="19" applyNumberFormat="1" applyFont="1" applyBorder="1" applyAlignment="1">
      <alignment horizontal="center" vertical="center"/>
    </xf>
    <xf numFmtId="0" fontId="31" fillId="0" borderId="0" xfId="19" applyFont="1">
      <alignment vertical="center"/>
    </xf>
    <xf numFmtId="0" fontId="29" fillId="0" borderId="53" xfId="17" applyFont="1" applyBorder="1">
      <alignment vertical="center"/>
    </xf>
    <xf numFmtId="185" fontId="29" fillId="12" borderId="54" xfId="17" applyNumberFormat="1" applyFont="1" applyFill="1" applyBorder="1">
      <alignment vertical="center"/>
    </xf>
    <xf numFmtId="0" fontId="29" fillId="0" borderId="0" xfId="17" applyFont="1">
      <alignment vertical="center"/>
    </xf>
    <xf numFmtId="186" fontId="29" fillId="0" borderId="0" xfId="17" applyNumberFormat="1" applyFont="1">
      <alignment vertical="center"/>
    </xf>
    <xf numFmtId="0" fontId="29" fillId="0" borderId="0" xfId="0" applyFont="1"/>
    <xf numFmtId="0" fontId="29" fillId="0" borderId="0" xfId="0" applyFont="1" applyAlignment="1">
      <alignment horizontal="center"/>
    </xf>
    <xf numFmtId="0" fontId="29" fillId="0" borderId="63" xfId="0" applyFont="1" applyBorder="1"/>
    <xf numFmtId="0" fontId="29" fillId="0" borderId="65" xfId="0" applyFont="1" applyBorder="1"/>
    <xf numFmtId="0" fontId="29" fillId="12" borderId="1" xfId="0" applyFont="1" applyFill="1" applyBorder="1"/>
    <xf numFmtId="0" fontId="29" fillId="12" borderId="0" xfId="0" applyFont="1" applyFill="1"/>
    <xf numFmtId="0" fontId="29" fillId="12" borderId="63" xfId="0" applyFont="1" applyFill="1" applyBorder="1"/>
    <xf numFmtId="0" fontId="29" fillId="12" borderId="0" xfId="0" applyFont="1" applyFill="1" applyAlignment="1">
      <alignment horizontal="center" vertical="center"/>
    </xf>
    <xf numFmtId="0" fontId="29" fillId="12" borderId="65" xfId="0" applyFont="1" applyFill="1" applyBorder="1"/>
    <xf numFmtId="0" fontId="32" fillId="0" borderId="0" xfId="0" applyFont="1"/>
    <xf numFmtId="0" fontId="32" fillId="0" borderId="0" xfId="0" applyFont="1" applyAlignment="1">
      <alignment horizontal="center" vertical="center"/>
    </xf>
    <xf numFmtId="0" fontId="32" fillId="0" borderId="0" xfId="0" applyFont="1" applyAlignment="1">
      <alignment horizontal="center"/>
    </xf>
    <xf numFmtId="0" fontId="32" fillId="12" borderId="6" xfId="0" applyFont="1" applyFill="1" applyBorder="1" applyAlignment="1">
      <alignment horizontal="center" vertical="center"/>
    </xf>
    <xf numFmtId="0" fontId="32" fillId="0" borderId="64" xfId="0" applyFont="1" applyBorder="1" applyAlignment="1">
      <alignment horizontal="center" vertical="center"/>
    </xf>
    <xf numFmtId="0" fontId="32" fillId="12" borderId="64" xfId="0" applyFont="1" applyFill="1" applyBorder="1" applyAlignment="1">
      <alignment horizontal="center" vertical="center"/>
    </xf>
    <xf numFmtId="0" fontId="32" fillId="0" borderId="17" xfId="0" applyFont="1" applyBorder="1" applyAlignment="1">
      <alignment horizontal="center" vertical="center"/>
    </xf>
    <xf numFmtId="0" fontId="32" fillId="12" borderId="6" xfId="0" applyFont="1" applyFill="1" applyBorder="1" applyAlignment="1">
      <alignment horizontal="center"/>
    </xf>
    <xf numFmtId="0" fontId="32" fillId="0" borderId="64" xfId="0" applyFont="1" applyBorder="1" applyAlignment="1">
      <alignment horizontal="center"/>
    </xf>
    <xf numFmtId="0" fontId="32" fillId="12" borderId="64" xfId="0" applyFont="1" applyFill="1" applyBorder="1" applyAlignment="1">
      <alignment horizontal="center"/>
    </xf>
    <xf numFmtId="0" fontId="32" fillId="12" borderId="17" xfId="0" applyFont="1" applyFill="1" applyBorder="1" applyAlignment="1">
      <alignment horizontal="center"/>
    </xf>
    <xf numFmtId="0" fontId="32" fillId="12" borderId="6" xfId="0" applyFont="1" applyFill="1" applyBorder="1"/>
    <xf numFmtId="0" fontId="32" fillId="0" borderId="64" xfId="0" applyFont="1" applyBorder="1"/>
    <xf numFmtId="0" fontId="32" fillId="12" borderId="64" xfId="0" applyFont="1" applyFill="1" applyBorder="1"/>
    <xf numFmtId="0" fontId="32" fillId="12" borderId="17" xfId="0" applyFont="1" applyFill="1" applyBorder="1"/>
    <xf numFmtId="0" fontId="30" fillId="0" borderId="0" xfId="0" applyFont="1" applyAlignment="1">
      <alignment horizontal="center" vertical="center"/>
    </xf>
    <xf numFmtId="0" fontId="33" fillId="0" borderId="0" xfId="0" applyFont="1" applyAlignment="1">
      <alignment horizontal="center" vertical="center"/>
    </xf>
    <xf numFmtId="0" fontId="34" fillId="0" borderId="0" xfId="0" applyFont="1" applyAlignment="1">
      <alignment horizontal="center" vertical="center"/>
    </xf>
    <xf numFmtId="0" fontId="34" fillId="0" borderId="0" xfId="0" applyFont="1" applyAlignment="1">
      <alignment vertical="center"/>
    </xf>
    <xf numFmtId="181" fontId="15" fillId="4" borderId="54" xfId="0" applyNumberFormat="1" applyFont="1" applyFill="1" applyBorder="1" applyAlignment="1">
      <alignment horizontal="center" vertical="center"/>
    </xf>
    <xf numFmtId="40" fontId="15" fillId="4" borderId="0" xfId="0" applyNumberFormat="1" applyFont="1" applyFill="1" applyAlignment="1">
      <alignment horizontal="center" vertical="center"/>
    </xf>
    <xf numFmtId="0" fontId="3" fillId="15" borderId="0" xfId="22" applyFill="1" applyAlignment="1">
      <alignment horizontal="center" vertical="center"/>
    </xf>
    <xf numFmtId="185" fontId="35" fillId="0" borderId="0" xfId="17" applyNumberFormat="1" applyFont="1">
      <alignment vertical="center"/>
    </xf>
    <xf numFmtId="0" fontId="15" fillId="0" borderId="73" xfId="0" applyFont="1" applyBorder="1" applyAlignment="1">
      <alignment horizontal="center" vertical="center"/>
    </xf>
    <xf numFmtId="0" fontId="15" fillId="0" borderId="75" xfId="0" applyFont="1" applyBorder="1" applyAlignment="1">
      <alignment horizontal="center" vertical="center"/>
    </xf>
    <xf numFmtId="0" fontId="15" fillId="0" borderId="81" xfId="0" applyFont="1" applyBorder="1" applyAlignment="1">
      <alignment horizontal="center" vertical="center"/>
    </xf>
    <xf numFmtId="0" fontId="15" fillId="20" borderId="73" xfId="0" applyFont="1" applyFill="1" applyBorder="1" applyAlignment="1">
      <alignment horizontal="center" vertical="center"/>
    </xf>
    <xf numFmtId="0" fontId="15" fillId="20" borderId="74" xfId="0" applyFont="1" applyFill="1" applyBorder="1" applyAlignment="1">
      <alignment horizontal="center" vertical="center"/>
    </xf>
    <xf numFmtId="0" fontId="15" fillId="20" borderId="31" xfId="0" applyFont="1" applyFill="1" applyBorder="1" applyAlignment="1">
      <alignment horizontal="center" vertical="center"/>
    </xf>
    <xf numFmtId="0" fontId="15" fillId="20" borderId="30" xfId="0" applyFont="1" applyFill="1" applyBorder="1" applyAlignment="1">
      <alignment horizontal="center" vertical="center"/>
    </xf>
    <xf numFmtId="187" fontId="15" fillId="0" borderId="91" xfId="0" applyNumberFormat="1" applyFont="1" applyBorder="1" applyAlignment="1">
      <alignment horizontal="center" vertical="center"/>
    </xf>
    <xf numFmtId="0" fontId="15" fillId="0" borderId="92" xfId="0" applyFont="1" applyBorder="1" applyAlignment="1">
      <alignment horizontal="center" vertical="center"/>
    </xf>
    <xf numFmtId="0" fontId="15" fillId="0" borderId="33" xfId="0" applyFont="1" applyBorder="1" applyAlignment="1">
      <alignment horizontal="center" vertical="center"/>
    </xf>
    <xf numFmtId="38" fontId="15" fillId="0" borderId="93" xfId="0" applyNumberFormat="1" applyFont="1" applyBorder="1" applyAlignment="1">
      <alignment horizontal="center" vertical="center"/>
    </xf>
    <xf numFmtId="182" fontId="15" fillId="0" borderId="92" xfId="0" applyNumberFormat="1" applyFont="1" applyBorder="1" applyAlignment="1">
      <alignment horizontal="center" vertical="center"/>
    </xf>
    <xf numFmtId="187" fontId="15" fillId="0" borderId="73" xfId="0" applyNumberFormat="1" applyFont="1" applyBorder="1" applyAlignment="1">
      <alignment horizontal="center" vertical="center"/>
    </xf>
    <xf numFmtId="0" fontId="15" fillId="0" borderId="74" xfId="0" applyFont="1" applyBorder="1" applyAlignment="1">
      <alignment horizontal="center" vertical="center"/>
    </xf>
    <xf numFmtId="0" fontId="15" fillId="0" borderId="31" xfId="0" applyFont="1" applyBorder="1" applyAlignment="1">
      <alignment horizontal="center" vertical="center"/>
    </xf>
    <xf numFmtId="38" fontId="15" fillId="0" borderId="30" xfId="0" applyNumberFormat="1" applyFont="1" applyBorder="1" applyAlignment="1">
      <alignment horizontal="center" vertical="center"/>
    </xf>
    <xf numFmtId="182" fontId="15" fillId="0" borderId="74" xfId="0" applyNumberFormat="1" applyFont="1" applyBorder="1" applyAlignment="1">
      <alignment horizontal="center" vertical="center"/>
    </xf>
    <xf numFmtId="178" fontId="15" fillId="0" borderId="31" xfId="0" applyNumberFormat="1" applyFont="1" applyBorder="1" applyAlignment="1">
      <alignment horizontal="center" vertical="center"/>
    </xf>
    <xf numFmtId="0" fontId="15" fillId="20" borderId="34" xfId="0" applyFont="1" applyFill="1" applyBorder="1" applyAlignment="1">
      <alignment horizontal="center" vertical="center"/>
    </xf>
    <xf numFmtId="0" fontId="15" fillId="20" borderId="32" xfId="0" applyFont="1" applyFill="1" applyBorder="1" applyAlignment="1">
      <alignment horizontal="center" vertical="center"/>
    </xf>
    <xf numFmtId="0" fontId="15" fillId="20" borderId="82" xfId="0" applyFont="1" applyFill="1" applyBorder="1" applyAlignment="1">
      <alignment horizontal="center" vertical="center"/>
    </xf>
    <xf numFmtId="0" fontId="15" fillId="0" borderId="30" xfId="0" applyFont="1" applyBorder="1" applyAlignment="1">
      <alignment horizontal="center" vertical="center"/>
    </xf>
    <xf numFmtId="0" fontId="15" fillId="0" borderId="32" xfId="0" applyFont="1" applyBorder="1" applyAlignment="1">
      <alignment horizontal="center" vertical="center"/>
    </xf>
    <xf numFmtId="0" fontId="15" fillId="0" borderId="82" xfId="0" applyFont="1" applyBorder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36" fillId="4" borderId="58" xfId="0" applyFont="1" applyFill="1" applyBorder="1" applyAlignment="1">
      <alignment horizontal="center" vertical="center"/>
    </xf>
    <xf numFmtId="181" fontId="36" fillId="4" borderId="54" xfId="0" applyNumberFormat="1" applyFont="1" applyFill="1" applyBorder="1" applyAlignment="1">
      <alignment horizontal="center" vertical="center"/>
    </xf>
    <xf numFmtId="181" fontId="15" fillId="0" borderId="91" xfId="0" applyNumberFormat="1" applyFont="1" applyBorder="1" applyAlignment="1">
      <alignment horizontal="center" vertical="center"/>
    </xf>
    <xf numFmtId="0" fontId="15" fillId="0" borderId="91" xfId="0" applyFont="1" applyBorder="1" applyAlignment="1">
      <alignment horizontal="center" vertical="center"/>
    </xf>
    <xf numFmtId="173" fontId="15" fillId="0" borderId="93" xfId="0" applyNumberFormat="1" applyFont="1" applyBorder="1" applyAlignment="1">
      <alignment horizontal="center" vertical="center"/>
    </xf>
    <xf numFmtId="175" fontId="15" fillId="0" borderId="91" xfId="0" applyNumberFormat="1" applyFont="1" applyBorder="1" applyAlignment="1">
      <alignment horizontal="center" vertical="center"/>
    </xf>
    <xf numFmtId="181" fontId="15" fillId="0" borderId="73" xfId="0" applyNumberFormat="1" applyFont="1" applyBorder="1" applyAlignment="1">
      <alignment horizontal="center" vertical="center"/>
    </xf>
    <xf numFmtId="173" fontId="15" fillId="0" borderId="30" xfId="0" applyNumberFormat="1" applyFont="1" applyBorder="1" applyAlignment="1">
      <alignment horizontal="center" vertical="center"/>
    </xf>
    <xf numFmtId="181" fontId="15" fillId="0" borderId="75" xfId="0" applyNumberFormat="1" applyFont="1" applyBorder="1" applyAlignment="1">
      <alignment horizontal="center" vertical="center"/>
    </xf>
    <xf numFmtId="0" fontId="15" fillId="0" borderId="77" xfId="0" applyFont="1" applyBorder="1" applyAlignment="1">
      <alignment horizontal="center" vertical="center"/>
    </xf>
    <xf numFmtId="173" fontId="15" fillId="0" borderId="76" xfId="0" applyNumberFormat="1" applyFont="1" applyBorder="1" applyAlignment="1">
      <alignment horizontal="center" vertical="center"/>
    </xf>
    <xf numFmtId="182" fontId="15" fillId="0" borderId="77" xfId="0" applyNumberFormat="1" applyFont="1" applyBorder="1" applyAlignment="1">
      <alignment horizontal="center" vertical="center"/>
    </xf>
    <xf numFmtId="175" fontId="15" fillId="0" borderId="94" xfId="0" applyNumberFormat="1" applyFont="1" applyBorder="1" applyAlignment="1">
      <alignment horizontal="center" vertical="center"/>
    </xf>
    <xf numFmtId="173" fontId="15" fillId="0" borderId="60" xfId="0" applyNumberFormat="1" applyFont="1" applyBorder="1" applyAlignment="1">
      <alignment horizontal="center" vertical="center"/>
    </xf>
    <xf numFmtId="2" fontId="15" fillId="20" borderId="74" xfId="0" applyNumberFormat="1" applyFont="1" applyFill="1" applyBorder="1" applyAlignment="1">
      <alignment horizontal="center" vertical="center"/>
    </xf>
    <xf numFmtId="0" fontId="15" fillId="20" borderId="81" xfId="0" applyFont="1" applyFill="1" applyBorder="1" applyAlignment="1">
      <alignment horizontal="center" vertical="center"/>
    </xf>
    <xf numFmtId="178" fontId="15" fillId="0" borderId="73" xfId="0" applyNumberFormat="1" applyFont="1" applyBorder="1" applyAlignment="1">
      <alignment horizontal="center" vertical="center"/>
    </xf>
    <xf numFmtId="2" fontId="15" fillId="0" borderId="74" xfId="0" applyNumberFormat="1" applyFont="1" applyBorder="1" applyAlignment="1">
      <alignment horizontal="center" vertical="center"/>
    </xf>
    <xf numFmtId="178" fontId="15" fillId="0" borderId="91" xfId="0" applyNumberFormat="1" applyFont="1" applyBorder="1" applyAlignment="1">
      <alignment horizontal="center" vertical="center"/>
    </xf>
    <xf numFmtId="0" fontId="15" fillId="0" borderId="93" xfId="0" applyFont="1" applyBorder="1" applyAlignment="1">
      <alignment horizontal="center" vertical="center"/>
    </xf>
    <xf numFmtId="2" fontId="15" fillId="0" borderId="92" xfId="0" applyNumberFormat="1" applyFont="1" applyBorder="1" applyAlignment="1">
      <alignment horizontal="center" vertical="center"/>
    </xf>
    <xf numFmtId="178" fontId="15" fillId="0" borderId="81" xfId="0" applyNumberFormat="1" applyFont="1" applyBorder="1" applyAlignment="1">
      <alignment horizontal="center" vertical="center"/>
    </xf>
    <xf numFmtId="2" fontId="15" fillId="0" borderId="82" xfId="0" applyNumberFormat="1" applyFont="1" applyBorder="1" applyAlignment="1">
      <alignment horizontal="center" vertical="center"/>
    </xf>
    <xf numFmtId="2" fontId="15" fillId="0" borderId="90" xfId="0" applyNumberFormat="1" applyFont="1" applyBorder="1" applyAlignment="1">
      <alignment horizontal="center" vertical="center"/>
    </xf>
    <xf numFmtId="175" fontId="15" fillId="0" borderId="33" xfId="0" applyNumberFormat="1" applyFont="1" applyBorder="1" applyAlignment="1">
      <alignment horizontal="center" vertical="center"/>
    </xf>
    <xf numFmtId="182" fontId="15" fillId="0" borderId="95" xfId="0" applyNumberFormat="1" applyFont="1" applyBorder="1" applyAlignment="1">
      <alignment horizontal="center" vertical="center"/>
    </xf>
    <xf numFmtId="175" fontId="15" fillId="0" borderId="59" xfId="0" applyNumberFormat="1" applyFont="1" applyBorder="1" applyAlignment="1">
      <alignment horizontal="center" vertical="center"/>
    </xf>
    <xf numFmtId="0" fontId="38" fillId="21" borderId="0" xfId="26" applyAlignment="1">
      <alignment horizontal="center" vertical="center"/>
    </xf>
    <xf numFmtId="0" fontId="15" fillId="4" borderId="0" xfId="0" applyNumberFormat="1" applyFont="1" applyFill="1" applyAlignment="1">
      <alignment horizontal="center" vertical="center"/>
    </xf>
    <xf numFmtId="0" fontId="15" fillId="20" borderId="73" xfId="0" applyFont="1" applyFill="1" applyBorder="1" applyAlignment="1">
      <alignment horizontal="center" vertical="center"/>
    </xf>
    <xf numFmtId="0" fontId="15" fillId="20" borderId="74" xfId="0" applyFont="1" applyFill="1" applyBorder="1" applyAlignment="1">
      <alignment horizontal="center" vertical="center"/>
    </xf>
    <xf numFmtId="0" fontId="29" fillId="0" borderId="100" xfId="0" applyFont="1" applyBorder="1" applyAlignment="1">
      <alignment horizontal="center" vertical="center"/>
    </xf>
    <xf numFmtId="0" fontId="29" fillId="0" borderId="101" xfId="0" applyFont="1" applyBorder="1" applyAlignment="1">
      <alignment horizontal="center" vertical="center"/>
    </xf>
    <xf numFmtId="0" fontId="3" fillId="15" borderId="101" xfId="22" applyFill="1" applyBorder="1" applyAlignment="1">
      <alignment horizontal="center" vertical="center"/>
    </xf>
    <xf numFmtId="0" fontId="21" fillId="0" borderId="101" xfId="0" applyFont="1" applyBorder="1" applyAlignment="1">
      <alignment horizontal="center" vertical="center" wrapText="1"/>
    </xf>
    <xf numFmtId="0" fontId="21" fillId="0" borderId="101" xfId="0" applyFont="1" applyBorder="1" applyAlignment="1">
      <alignment horizontal="center" vertical="center"/>
    </xf>
    <xf numFmtId="41" fontId="29" fillId="0" borderId="101" xfId="21" applyFont="1" applyBorder="1">
      <alignment vertical="center"/>
    </xf>
    <xf numFmtId="0" fontId="29" fillId="0" borderId="102" xfId="0" applyFont="1" applyBorder="1" applyAlignment="1">
      <alignment horizontal="center" vertical="center"/>
    </xf>
    <xf numFmtId="0" fontId="29" fillId="0" borderId="53" xfId="0" applyFont="1" applyBorder="1" applyAlignment="1">
      <alignment horizontal="center" vertical="center"/>
    </xf>
    <xf numFmtId="0" fontId="15" fillId="19" borderId="31" xfId="0" applyFont="1" applyFill="1" applyBorder="1" applyAlignment="1">
      <alignment horizontal="center" vertical="center"/>
    </xf>
    <xf numFmtId="0" fontId="15" fillId="19" borderId="30" xfId="0" applyFont="1" applyFill="1" applyBorder="1" applyAlignment="1">
      <alignment horizontal="center" vertical="center"/>
    </xf>
    <xf numFmtId="0" fontId="15" fillId="19" borderId="74" xfId="0" applyFont="1" applyFill="1" applyBorder="1" applyAlignment="1">
      <alignment horizontal="center" vertical="center"/>
    </xf>
    <xf numFmtId="0" fontId="15" fillId="19" borderId="34" xfId="0" applyFont="1" applyFill="1" applyBorder="1" applyAlignment="1">
      <alignment horizontal="center" vertical="center"/>
    </xf>
    <xf numFmtId="0" fontId="15" fillId="19" borderId="32" xfId="0" applyFont="1" applyFill="1" applyBorder="1" applyAlignment="1">
      <alignment horizontal="center" vertical="center"/>
    </xf>
    <xf numFmtId="0" fontId="15" fillId="19" borderId="82" xfId="0" applyFont="1" applyFill="1" applyBorder="1" applyAlignment="1">
      <alignment horizontal="center" vertical="center"/>
    </xf>
    <xf numFmtId="0" fontId="15" fillId="19" borderId="73" xfId="0" applyFont="1" applyFill="1" applyBorder="1" applyAlignment="1">
      <alignment horizontal="center" vertical="center"/>
    </xf>
    <xf numFmtId="0" fontId="29" fillId="0" borderId="78" xfId="0" applyFont="1" applyBorder="1" applyAlignment="1">
      <alignment horizontal="center" vertical="center"/>
    </xf>
    <xf numFmtId="0" fontId="29" fillId="0" borderId="81" xfId="0" applyFont="1" applyBorder="1" applyAlignment="1">
      <alignment horizontal="center" vertical="center"/>
    </xf>
    <xf numFmtId="0" fontId="29" fillId="0" borderId="78" xfId="0" applyFont="1" applyBorder="1" applyAlignment="1">
      <alignment horizontal="center" vertical="center"/>
    </xf>
    <xf numFmtId="0" fontId="29" fillId="0" borderId="81" xfId="0" applyFont="1" applyBorder="1" applyAlignment="1">
      <alignment horizontal="center" vertical="center"/>
    </xf>
    <xf numFmtId="0" fontId="29" fillId="0" borderId="79" xfId="0" applyFont="1" applyBorder="1" applyAlignment="1">
      <alignment horizontal="center" vertical="center"/>
    </xf>
    <xf numFmtId="0" fontId="29" fillId="0" borderId="32" xfId="0" applyFont="1" applyBorder="1" applyAlignment="1">
      <alignment horizontal="center" vertical="center"/>
    </xf>
    <xf numFmtId="0" fontId="3" fillId="15" borderId="79" xfId="22" applyFill="1" applyBorder="1" applyAlignment="1">
      <alignment horizontal="center" vertical="center" wrapText="1"/>
    </xf>
    <xf numFmtId="0" fontId="3" fillId="15" borderId="32" xfId="22" applyFill="1" applyBorder="1" applyAlignment="1">
      <alignment horizontal="center" vertical="center" wrapText="1"/>
    </xf>
    <xf numFmtId="0" fontId="29" fillId="0" borderId="80" xfId="0" applyFont="1" applyBorder="1" applyAlignment="1">
      <alignment horizontal="center" vertical="center"/>
    </xf>
    <xf numFmtId="0" fontId="29" fillId="0" borderId="82" xfId="0" applyFont="1" applyBorder="1" applyAlignment="1">
      <alignment horizontal="center" vertical="center"/>
    </xf>
    <xf numFmtId="0" fontId="29" fillId="0" borderId="79" xfId="0" applyFont="1" applyBorder="1" applyAlignment="1">
      <alignment horizontal="center" vertical="center" wrapText="1"/>
    </xf>
    <xf numFmtId="0" fontId="29" fillId="0" borderId="32" xfId="0" applyFont="1" applyBorder="1" applyAlignment="1">
      <alignment horizontal="center" vertical="center" wrapText="1"/>
    </xf>
    <xf numFmtId="41" fontId="29" fillId="0" borderId="79" xfId="21" applyFont="1" applyBorder="1" applyAlignment="1">
      <alignment horizontal="center" vertical="center" wrapText="1"/>
    </xf>
    <xf numFmtId="41" fontId="29" fillId="0" borderId="32" xfId="21" applyFont="1" applyBorder="1" applyAlignment="1">
      <alignment horizontal="center" vertical="center" wrapText="1"/>
    </xf>
    <xf numFmtId="0" fontId="29" fillId="0" borderId="58" xfId="17" applyFont="1" applyBorder="1" applyAlignment="1">
      <alignment horizontal="center" vertical="center"/>
    </xf>
    <xf numFmtId="0" fontId="29" fillId="0" borderId="54" xfId="17" applyFont="1" applyBorder="1" applyAlignment="1">
      <alignment horizontal="center" vertical="center"/>
    </xf>
    <xf numFmtId="0" fontId="15" fillId="20" borderId="78" xfId="0" applyFont="1" applyFill="1" applyBorder="1" applyAlignment="1">
      <alignment horizontal="center" vertical="center"/>
    </xf>
    <xf numFmtId="0" fontId="15" fillId="20" borderId="79" xfId="0" applyFont="1" applyFill="1" applyBorder="1" applyAlignment="1">
      <alignment horizontal="center" vertical="center"/>
    </xf>
    <xf numFmtId="0" fontId="15" fillId="20" borderId="80" xfId="0" applyFont="1" applyFill="1" applyBorder="1" applyAlignment="1">
      <alignment horizontal="center" vertical="center"/>
    </xf>
    <xf numFmtId="0" fontId="15" fillId="20" borderId="73" xfId="0" applyFont="1" applyFill="1" applyBorder="1" applyAlignment="1">
      <alignment horizontal="center" vertical="center"/>
    </xf>
    <xf numFmtId="0" fontId="15" fillId="20" borderId="74" xfId="0" applyFont="1" applyFill="1" applyBorder="1" applyAlignment="1">
      <alignment horizontal="center" vertical="center"/>
    </xf>
    <xf numFmtId="0" fontId="15" fillId="20" borderId="81" xfId="0" applyFont="1" applyFill="1" applyBorder="1" applyAlignment="1">
      <alignment horizontal="center" vertical="center"/>
    </xf>
    <xf numFmtId="0" fontId="15" fillId="20" borderId="82" xfId="0" applyFont="1" applyFill="1" applyBorder="1" applyAlignment="1">
      <alignment horizontal="center" vertical="center"/>
    </xf>
    <xf numFmtId="0" fontId="15" fillId="20" borderId="83" xfId="0" applyFont="1" applyFill="1" applyBorder="1" applyAlignment="1">
      <alignment horizontal="center" vertical="center"/>
    </xf>
    <xf numFmtId="0" fontId="15" fillId="19" borderId="81" xfId="0" applyFont="1" applyFill="1" applyBorder="1" applyAlignment="1">
      <alignment horizontal="center" vertical="center"/>
    </xf>
    <xf numFmtId="0" fontId="15" fillId="19" borderId="82" xfId="0" applyFont="1" applyFill="1" applyBorder="1" applyAlignment="1">
      <alignment horizontal="center" vertical="center"/>
    </xf>
    <xf numFmtId="0" fontId="15" fillId="19" borderId="78" xfId="0" applyFont="1" applyFill="1" applyBorder="1" applyAlignment="1">
      <alignment horizontal="center" vertical="center"/>
    </xf>
    <xf numFmtId="0" fontId="15" fillId="19" borderId="80" xfId="0" applyFont="1" applyFill="1" applyBorder="1" applyAlignment="1">
      <alignment horizontal="center" vertical="center"/>
    </xf>
    <xf numFmtId="0" fontId="15" fillId="19" borderId="83" xfId="0" applyFont="1" applyFill="1" applyBorder="1" applyAlignment="1">
      <alignment horizontal="center" vertical="center"/>
    </xf>
    <xf numFmtId="0" fontId="15" fillId="19" borderId="79" xfId="0" applyFont="1" applyFill="1" applyBorder="1" applyAlignment="1">
      <alignment horizontal="center" vertical="center"/>
    </xf>
    <xf numFmtId="0" fontId="15" fillId="19" borderId="73" xfId="0" applyFont="1" applyFill="1" applyBorder="1" applyAlignment="1">
      <alignment horizontal="center" vertical="center"/>
    </xf>
    <xf numFmtId="0" fontId="15" fillId="19" borderId="74" xfId="0" applyFont="1" applyFill="1" applyBorder="1" applyAlignment="1">
      <alignment horizontal="center" vertical="center"/>
    </xf>
    <xf numFmtId="0" fontId="21" fillId="0" borderId="0" xfId="17" applyFont="1" applyAlignment="1">
      <alignment horizontal="left" vertical="center"/>
    </xf>
    <xf numFmtId="0" fontId="21" fillId="0" borderId="0" xfId="17" applyFont="1">
      <alignment vertical="center"/>
    </xf>
    <xf numFmtId="0" fontId="17" fillId="20" borderId="85" xfId="25" applyFont="1" applyFill="1" applyBorder="1" applyAlignment="1">
      <alignment horizontal="center" vertical="center"/>
    </xf>
    <xf numFmtId="0" fontId="21" fillId="20" borderId="83" xfId="25" applyFont="1" applyFill="1" applyBorder="1" applyAlignment="1">
      <alignment horizontal="center" vertical="center"/>
    </xf>
    <xf numFmtId="0" fontId="21" fillId="20" borderId="79" xfId="25" applyFont="1" applyFill="1" applyBorder="1" applyAlignment="1">
      <alignment horizontal="center" vertical="center"/>
    </xf>
    <xf numFmtId="0" fontId="21" fillId="20" borderId="80" xfId="25" applyFont="1" applyFill="1" applyBorder="1" applyAlignment="1">
      <alignment horizontal="center" vertical="center"/>
    </xf>
    <xf numFmtId="0" fontId="21" fillId="20" borderId="86" xfId="25" applyFont="1" applyFill="1" applyBorder="1" applyAlignment="1">
      <alignment horizontal="center" vertical="center"/>
    </xf>
    <xf numFmtId="0" fontId="21" fillId="0" borderId="31" xfId="25" applyFont="1" applyBorder="1" applyAlignment="1">
      <alignment horizontal="center" vertical="center"/>
    </xf>
    <xf numFmtId="0" fontId="21" fillId="0" borderId="30" xfId="25" applyFont="1" applyBorder="1" applyAlignment="1">
      <alignment horizontal="center" vertical="center"/>
    </xf>
    <xf numFmtId="0" fontId="21" fillId="0" borderId="74" xfId="25" applyFont="1" applyBorder="1" applyAlignment="1">
      <alignment horizontal="center" vertical="center"/>
    </xf>
    <xf numFmtId="0" fontId="21" fillId="0" borderId="84" xfId="25" applyFont="1" applyBorder="1" applyAlignment="1">
      <alignment horizontal="center" vertical="center"/>
    </xf>
    <xf numFmtId="0" fontId="21" fillId="0" borderId="76" xfId="25" applyFont="1" applyBorder="1" applyAlignment="1">
      <alignment horizontal="center" vertical="center"/>
    </xf>
    <xf numFmtId="0" fontId="21" fillId="0" borderId="77" xfId="25" applyFont="1" applyBorder="1" applyAlignment="1">
      <alignment horizontal="center" vertical="center"/>
    </xf>
    <xf numFmtId="0" fontId="21" fillId="20" borderId="85" xfId="25" applyFont="1" applyFill="1" applyBorder="1" applyAlignment="1">
      <alignment horizontal="center" vertical="center"/>
    </xf>
    <xf numFmtId="0" fontId="21" fillId="0" borderId="83" xfId="25" applyFont="1" applyBorder="1" applyAlignment="1">
      <alignment horizontal="center" vertical="center"/>
    </xf>
    <xf numFmtId="0" fontId="21" fillId="0" borderId="79" xfId="25" applyFont="1" applyBorder="1" applyAlignment="1">
      <alignment horizontal="center" vertical="center"/>
    </xf>
    <xf numFmtId="0" fontId="21" fillId="0" borderId="80" xfId="25" applyFont="1" applyBorder="1" applyAlignment="1">
      <alignment horizontal="center" vertical="center"/>
    </xf>
    <xf numFmtId="0" fontId="21" fillId="14" borderId="31" xfId="23" applyFont="1" applyBorder="1" applyAlignment="1">
      <alignment horizontal="center" vertical="center"/>
    </xf>
    <xf numFmtId="0" fontId="21" fillId="20" borderId="87" xfId="25" applyFont="1" applyFill="1" applyBorder="1" applyAlignment="1">
      <alignment horizontal="center" vertical="center"/>
    </xf>
    <xf numFmtId="0" fontId="21" fillId="0" borderId="34" xfId="25" applyFont="1" applyBorder="1" applyAlignment="1">
      <alignment horizontal="center" vertical="center"/>
    </xf>
    <xf numFmtId="0" fontId="21" fillId="0" borderId="32" xfId="25" applyFont="1" applyBorder="1" applyAlignment="1">
      <alignment horizontal="center" vertical="center"/>
    </xf>
    <xf numFmtId="0" fontId="21" fillId="14" borderId="32" xfId="23" applyFont="1" applyBorder="1" applyAlignment="1">
      <alignment horizontal="center" vertical="center"/>
    </xf>
    <xf numFmtId="0" fontId="21" fillId="0" borderId="82" xfId="25" applyFont="1" applyBorder="1" applyAlignment="1">
      <alignment horizontal="center" vertical="center"/>
    </xf>
    <xf numFmtId="0" fontId="21" fillId="20" borderId="25" xfId="25" applyFont="1" applyFill="1" applyBorder="1" applyAlignment="1">
      <alignment horizontal="center" vertical="center"/>
    </xf>
    <xf numFmtId="174" fontId="21" fillId="0" borderId="88" xfId="25" applyNumberFormat="1" applyFont="1" applyBorder="1" applyAlignment="1">
      <alignment horizontal="center" vertical="center"/>
    </xf>
    <xf numFmtId="174" fontId="21" fillId="0" borderId="89" xfId="25" applyNumberFormat="1" applyFont="1" applyBorder="1" applyAlignment="1">
      <alignment horizontal="center" vertical="center"/>
    </xf>
    <xf numFmtId="0" fontId="21" fillId="0" borderId="89" xfId="25" applyFont="1" applyBorder="1" applyAlignment="1">
      <alignment horizontal="center" vertical="center"/>
    </xf>
    <xf numFmtId="0" fontId="21" fillId="0" borderId="90" xfId="25" applyFont="1" applyBorder="1" applyAlignment="1">
      <alignment horizontal="center" vertical="center"/>
    </xf>
    <xf numFmtId="0" fontId="21" fillId="16" borderId="88" xfId="24" applyFont="1" applyBorder="1" applyAlignment="1">
      <alignment horizontal="center" vertical="center"/>
    </xf>
    <xf numFmtId="0" fontId="21" fillId="0" borderId="26" xfId="17" applyFont="1" applyBorder="1" applyAlignment="1">
      <alignment horizontal="center" vertical="center"/>
    </xf>
    <xf numFmtId="0" fontId="21" fillId="0" borderId="27" xfId="17" applyFont="1" applyBorder="1">
      <alignment vertical="center"/>
    </xf>
    <xf numFmtId="173" fontId="21" fillId="0" borderId="28" xfId="17" applyNumberFormat="1" applyFont="1" applyBorder="1">
      <alignment vertical="center"/>
    </xf>
    <xf numFmtId="179" fontId="21" fillId="0" borderId="0" xfId="17" applyNumberFormat="1" applyFont="1">
      <alignment vertical="center"/>
    </xf>
    <xf numFmtId="0" fontId="21" fillId="0" borderId="40" xfId="17" applyFont="1" applyBorder="1" applyAlignment="1">
      <alignment horizontal="center" vertical="center"/>
    </xf>
    <xf numFmtId="173" fontId="21" fillId="0" borderId="41" xfId="17" applyNumberFormat="1" applyFont="1" applyBorder="1">
      <alignment vertical="center"/>
    </xf>
    <xf numFmtId="0" fontId="21" fillId="0" borderId="42" xfId="17" applyFont="1" applyBorder="1">
      <alignment vertical="center"/>
    </xf>
    <xf numFmtId="0" fontId="21" fillId="0" borderId="43" xfId="17" applyFont="1" applyBorder="1">
      <alignment vertical="center"/>
    </xf>
    <xf numFmtId="10" fontId="21" fillId="0" borderId="44" xfId="17" applyNumberFormat="1" applyFont="1" applyBorder="1">
      <alignment vertical="center"/>
    </xf>
    <xf numFmtId="10" fontId="21" fillId="0" borderId="0" xfId="17" applyNumberFormat="1" applyFont="1">
      <alignment vertical="center"/>
    </xf>
    <xf numFmtId="0" fontId="39" fillId="0" borderId="16" xfId="17" applyFont="1" applyBorder="1" applyAlignment="1">
      <alignment horizontal="center" vertical="center"/>
    </xf>
    <xf numFmtId="173" fontId="21" fillId="6" borderId="24" xfId="17" applyNumberFormat="1" applyFont="1" applyFill="1" applyBorder="1">
      <alignment vertical="center"/>
    </xf>
    <xf numFmtId="0" fontId="21" fillId="0" borderId="19" xfId="17" applyFont="1" applyBorder="1">
      <alignment vertical="center"/>
    </xf>
    <xf numFmtId="0" fontId="39" fillId="0" borderId="20" xfId="17" applyFont="1" applyBorder="1" applyAlignment="1">
      <alignment horizontal="center" vertical="center"/>
    </xf>
    <xf numFmtId="174" fontId="21" fillId="5" borderId="18" xfId="17" applyNumberFormat="1" applyFont="1" applyFill="1" applyBorder="1">
      <alignment vertical="center"/>
    </xf>
    <xf numFmtId="0" fontId="21" fillId="0" borderId="21" xfId="17" applyFont="1" applyBorder="1">
      <alignment vertical="center"/>
    </xf>
    <xf numFmtId="0" fontId="21" fillId="12" borderId="0" xfId="17" applyFont="1" applyFill="1">
      <alignment vertical="center"/>
    </xf>
    <xf numFmtId="10" fontId="21" fillId="12" borderId="0" xfId="17" applyNumberFormat="1" applyFont="1" applyFill="1">
      <alignment vertical="center"/>
    </xf>
    <xf numFmtId="182" fontId="39" fillId="5" borderId="18" xfId="17" applyNumberFormat="1" applyFont="1" applyFill="1" applyBorder="1">
      <alignment vertical="center"/>
    </xf>
    <xf numFmtId="0" fontId="21" fillId="0" borderId="20" xfId="17" applyFont="1" applyBorder="1" applyAlignment="1">
      <alignment horizontal="center" vertical="center"/>
    </xf>
    <xf numFmtId="176" fontId="21" fillId="4" borderId="18" xfId="17" applyNumberFormat="1" applyFont="1" applyFill="1" applyBorder="1">
      <alignment vertical="center"/>
    </xf>
    <xf numFmtId="0" fontId="21" fillId="0" borderId="22" xfId="17" applyFont="1" applyBorder="1" applyAlignment="1">
      <alignment horizontal="center" vertical="center"/>
    </xf>
    <xf numFmtId="177" fontId="39" fillId="7" borderId="25" xfId="17" applyNumberFormat="1" applyFont="1" applyFill="1" applyBorder="1">
      <alignment vertical="center"/>
    </xf>
    <xf numFmtId="0" fontId="21" fillId="0" borderId="23" xfId="17" applyFont="1" applyBorder="1">
      <alignment vertical="center"/>
    </xf>
    <xf numFmtId="0" fontId="21" fillId="0" borderId="4" xfId="17" applyFont="1" applyBorder="1" applyAlignment="1">
      <alignment horizontal="center" vertical="center"/>
    </xf>
    <xf numFmtId="178" fontId="21" fillId="0" borderId="4" xfId="17" applyNumberFormat="1" applyFont="1" applyBorder="1" applyAlignment="1">
      <alignment horizontal="center" vertical="center"/>
    </xf>
    <xf numFmtId="0" fontId="21" fillId="0" borderId="4" xfId="17" applyFont="1" applyBorder="1">
      <alignment vertical="center"/>
    </xf>
    <xf numFmtId="0" fontId="39" fillId="4" borderId="9" xfId="16" applyFont="1" applyFill="1" applyBorder="1" applyAlignment="1">
      <alignment horizontal="center" vertical="center"/>
    </xf>
    <xf numFmtId="174" fontId="40" fillId="4" borderId="10" xfId="16" applyNumberFormat="1" applyFont="1" applyFill="1" applyBorder="1">
      <alignment vertical="center"/>
    </xf>
    <xf numFmtId="0" fontId="21" fillId="4" borderId="11" xfId="16" applyFont="1" applyFill="1" applyBorder="1">
      <alignment vertical="center"/>
    </xf>
    <xf numFmtId="174" fontId="21" fillId="0" borderId="0" xfId="17" applyNumberFormat="1" applyFont="1">
      <alignment vertical="center"/>
    </xf>
    <xf numFmtId="0" fontId="21" fillId="4" borderId="37" xfId="16" applyFont="1" applyFill="1" applyBorder="1">
      <alignment vertical="center"/>
    </xf>
    <xf numFmtId="175" fontId="40" fillId="4" borderId="38" xfId="16" applyNumberFormat="1" applyFont="1" applyFill="1" applyBorder="1">
      <alignment vertical="center"/>
    </xf>
    <xf numFmtId="0" fontId="21" fillId="4" borderId="39" xfId="16" applyFont="1" applyFill="1" applyBorder="1">
      <alignment vertical="center"/>
    </xf>
    <xf numFmtId="0" fontId="39" fillId="4" borderId="9" xfId="17" applyFont="1" applyFill="1" applyBorder="1" applyAlignment="1">
      <alignment horizontal="center" vertical="center"/>
    </xf>
    <xf numFmtId="174" fontId="40" fillId="4" borderId="10" xfId="17" applyNumberFormat="1" applyFont="1" applyFill="1" applyBorder="1">
      <alignment vertical="center"/>
    </xf>
    <xf numFmtId="0" fontId="21" fillId="4" borderId="11" xfId="17" applyFont="1" applyFill="1" applyBorder="1">
      <alignment vertical="center"/>
    </xf>
    <xf numFmtId="0" fontId="21" fillId="4" borderId="12" xfId="17" applyFont="1" applyFill="1" applyBorder="1">
      <alignment vertical="center"/>
    </xf>
    <xf numFmtId="174" fontId="40" fillId="4" borderId="5" xfId="17" applyNumberFormat="1" applyFont="1" applyFill="1" applyBorder="1">
      <alignment vertical="center"/>
    </xf>
    <xf numFmtId="0" fontId="21" fillId="4" borderId="13" xfId="17" applyFont="1" applyFill="1" applyBorder="1">
      <alignment vertical="center"/>
    </xf>
    <xf numFmtId="0" fontId="21" fillId="8" borderId="35" xfId="17" applyFont="1" applyFill="1" applyBorder="1" applyAlignment="1">
      <alignment horizontal="center" vertical="center"/>
    </xf>
    <xf numFmtId="178" fontId="21" fillId="8" borderId="36" xfId="17" applyNumberFormat="1" applyFont="1" applyFill="1" applyBorder="1">
      <alignment vertical="center"/>
    </xf>
    <xf numFmtId="0" fontId="21" fillId="8" borderId="29" xfId="17" applyFont="1" applyFill="1" applyBorder="1">
      <alignment vertical="center"/>
    </xf>
    <xf numFmtId="0" fontId="29" fillId="0" borderId="4" xfId="0" applyFont="1" applyBorder="1" applyAlignment="1">
      <alignment horizontal="center" vertical="center" wrapText="1"/>
    </xf>
    <xf numFmtId="0" fontId="29" fillId="0" borderId="4" xfId="0" applyFont="1" applyBorder="1" applyAlignment="1">
      <alignment horizontal="center" vertical="center"/>
    </xf>
    <xf numFmtId="0" fontId="29" fillId="0" borderId="7" xfId="0" applyFont="1" applyBorder="1" applyAlignment="1">
      <alignment horizontal="center" vertical="center" wrapText="1"/>
    </xf>
    <xf numFmtId="0" fontId="41" fillId="0" borderId="16" xfId="0" applyFont="1" applyBorder="1" applyAlignment="1">
      <alignment horizontal="center" vertical="center"/>
    </xf>
    <xf numFmtId="0" fontId="41" fillId="0" borderId="19" xfId="0" applyFont="1" applyBorder="1" applyAlignment="1">
      <alignment horizontal="center" vertical="center"/>
    </xf>
    <xf numFmtId="0" fontId="29" fillId="0" borderId="18" xfId="0" applyFont="1" applyBorder="1"/>
    <xf numFmtId="0" fontId="42" fillId="0" borderId="21" xfId="0" applyFont="1" applyBorder="1" applyAlignment="1">
      <alignment horizontal="right" vertical="center"/>
    </xf>
    <xf numFmtId="0" fontId="21" fillId="0" borderId="66" xfId="0" applyFont="1" applyBorder="1" applyAlignment="1">
      <alignment horizontal="center" vertical="center"/>
    </xf>
    <xf numFmtId="0" fontId="43" fillId="0" borderId="96" xfId="0" applyFont="1" applyBorder="1" applyAlignment="1">
      <alignment horizontal="right" vertical="center"/>
    </xf>
    <xf numFmtId="0" fontId="21" fillId="17" borderId="67" xfId="0" applyFont="1" applyFill="1" applyBorder="1" applyAlignment="1">
      <alignment horizontal="center" vertical="center"/>
    </xf>
    <xf numFmtId="0" fontId="44" fillId="17" borderId="97" xfId="0" applyFont="1" applyFill="1" applyBorder="1" applyAlignment="1">
      <alignment horizontal="right" vertical="center"/>
    </xf>
    <xf numFmtId="0" fontId="42" fillId="17" borderId="97" xfId="0" applyFont="1" applyFill="1" applyBorder="1" applyAlignment="1">
      <alignment horizontal="right" vertical="center"/>
    </xf>
    <xf numFmtId="0" fontId="21" fillId="0" borderId="67" xfId="0" applyFont="1" applyBorder="1" applyAlignment="1">
      <alignment horizontal="center" vertical="center"/>
    </xf>
    <xf numFmtId="0" fontId="42" fillId="0" borderId="97" xfId="0" applyFont="1" applyBorder="1" applyAlignment="1">
      <alignment horizontal="right" vertical="center"/>
    </xf>
    <xf numFmtId="0" fontId="44" fillId="0" borderId="97" xfId="0" applyFont="1" applyBorder="1" applyAlignment="1">
      <alignment horizontal="right" vertical="center"/>
    </xf>
    <xf numFmtId="2" fontId="42" fillId="0" borderId="97" xfId="0" applyNumberFormat="1" applyFont="1" applyBorder="1" applyAlignment="1">
      <alignment horizontal="right" vertical="center"/>
    </xf>
    <xf numFmtId="0" fontId="21" fillId="0" borderId="69" xfId="0" applyFont="1" applyBorder="1" applyAlignment="1">
      <alignment horizontal="center" vertical="center"/>
    </xf>
    <xf numFmtId="0" fontId="24" fillId="18" borderId="99" xfId="0" applyFont="1" applyFill="1" applyBorder="1" applyAlignment="1">
      <alignment horizontal="right" vertical="center"/>
    </xf>
    <xf numFmtId="0" fontId="21" fillId="0" borderId="68" xfId="0" applyFont="1" applyBorder="1" applyAlignment="1">
      <alignment horizontal="center" vertical="center"/>
    </xf>
    <xf numFmtId="0" fontId="43" fillId="0" borderId="98" xfId="0" applyFont="1" applyBorder="1" applyAlignment="1">
      <alignment horizontal="right" vertical="center"/>
    </xf>
    <xf numFmtId="0" fontId="21" fillId="20" borderId="78" xfId="17" applyFont="1" applyFill="1" applyBorder="1" applyAlignment="1">
      <alignment horizontal="center" vertical="center"/>
    </xf>
    <xf numFmtId="0" fontId="21" fillId="20" borderId="79" xfId="17" applyFont="1" applyFill="1" applyBorder="1" applyAlignment="1">
      <alignment horizontal="center" vertical="center"/>
    </xf>
    <xf numFmtId="0" fontId="21" fillId="20" borderId="80" xfId="17" applyFont="1" applyFill="1" applyBorder="1" applyAlignment="1">
      <alignment horizontal="center" vertical="center"/>
    </xf>
    <xf numFmtId="0" fontId="21" fillId="0" borderId="0" xfId="17" applyFont="1" applyAlignment="1">
      <alignment horizontal="center" vertical="center"/>
    </xf>
    <xf numFmtId="0" fontId="21" fillId="0" borderId="81" xfId="17" applyNumberFormat="1" applyFont="1" applyBorder="1" applyAlignment="1">
      <alignment horizontal="center" vertical="center"/>
    </xf>
    <xf numFmtId="0" fontId="21" fillId="0" borderId="32" xfId="18" applyNumberFormat="1" applyFont="1" applyBorder="1" applyAlignment="1">
      <alignment horizontal="center" vertical="center"/>
    </xf>
    <xf numFmtId="0" fontId="21" fillId="0" borderId="82" xfId="18" applyNumberFormat="1" applyFont="1" applyBorder="1" applyAlignment="1">
      <alignment horizontal="center" vertical="center"/>
    </xf>
    <xf numFmtId="0" fontId="21" fillId="19" borderId="78" xfId="25" applyFont="1" applyFill="1" applyBorder="1" applyAlignment="1">
      <alignment horizontal="center" vertical="center"/>
    </xf>
    <xf numFmtId="0" fontId="21" fillId="19" borderId="79" xfId="25" applyFont="1" applyFill="1" applyBorder="1" applyAlignment="1">
      <alignment horizontal="center" vertical="center"/>
    </xf>
    <xf numFmtId="0" fontId="21" fillId="19" borderId="80" xfId="25" applyFont="1" applyFill="1" applyBorder="1" applyAlignment="1">
      <alignment horizontal="center" vertical="center"/>
    </xf>
    <xf numFmtId="0" fontId="21" fillId="0" borderId="73" xfId="25" applyFont="1" applyBorder="1" applyAlignment="1">
      <alignment horizontal="center" vertical="center"/>
    </xf>
    <xf numFmtId="0" fontId="21" fillId="19" borderId="73" xfId="25" applyFont="1" applyFill="1" applyBorder="1" applyAlignment="1">
      <alignment horizontal="center" vertical="center"/>
    </xf>
    <xf numFmtId="0" fontId="21" fillId="19" borderId="30" xfId="25" applyFont="1" applyFill="1" applyBorder="1" applyAlignment="1">
      <alignment horizontal="center" vertical="center"/>
    </xf>
    <xf numFmtId="0" fontId="21" fillId="19" borderId="74" xfId="25" applyFont="1" applyFill="1" applyBorder="1" applyAlignment="1">
      <alignment horizontal="center" vertical="center"/>
    </xf>
    <xf numFmtId="0" fontId="21" fillId="19" borderId="81" xfId="25" applyFont="1" applyFill="1" applyBorder="1">
      <alignment vertical="center"/>
    </xf>
    <xf numFmtId="0" fontId="21" fillId="19" borderId="32" xfId="25" applyFont="1" applyFill="1" applyBorder="1" applyAlignment="1">
      <alignment horizontal="center" vertical="center"/>
    </xf>
    <xf numFmtId="0" fontId="21" fillId="19" borderId="82" xfId="25" applyFont="1" applyFill="1" applyBorder="1" applyAlignment="1">
      <alignment horizontal="center" vertical="center"/>
    </xf>
    <xf numFmtId="0" fontId="21" fillId="0" borderId="81" xfId="25" applyFont="1" applyBorder="1" applyAlignment="1">
      <alignment horizontal="center" vertical="center"/>
    </xf>
    <xf numFmtId="0" fontId="45" fillId="0" borderId="0" xfId="0" applyFont="1" applyAlignment="1">
      <alignment horizontal="center" vertical="center"/>
    </xf>
    <xf numFmtId="0" fontId="32" fillId="19" borderId="9" xfId="0" applyFont="1" applyFill="1" applyBorder="1" applyAlignment="1">
      <alignment horizontal="center" vertical="center"/>
    </xf>
    <xf numFmtId="0" fontId="32" fillId="19" borderId="10" xfId="0" applyFont="1" applyFill="1" applyBorder="1" applyAlignment="1">
      <alignment horizontal="center" vertical="center"/>
    </xf>
    <xf numFmtId="0" fontId="32" fillId="19" borderId="11" xfId="0" applyFont="1" applyFill="1" applyBorder="1" applyAlignment="1">
      <alignment horizontal="center" vertical="center"/>
    </xf>
    <xf numFmtId="0" fontId="46" fillId="0" borderId="0" xfId="0" applyFont="1" applyAlignment="1">
      <alignment horizontal="center" vertical="center"/>
    </xf>
    <xf numFmtId="0" fontId="29" fillId="0" borderId="70" xfId="0" applyFont="1" applyBorder="1" applyAlignment="1">
      <alignment horizontal="center" vertical="center"/>
    </xf>
    <xf numFmtId="179" fontId="29" fillId="0" borderId="71" xfId="18" applyNumberFormat="1" applyFont="1" applyBorder="1">
      <alignment vertical="center"/>
    </xf>
    <xf numFmtId="179" fontId="29" fillId="0" borderId="72" xfId="18" applyNumberFormat="1" applyFont="1" applyBorder="1">
      <alignment vertical="center"/>
    </xf>
    <xf numFmtId="179" fontId="29" fillId="0" borderId="70" xfId="0" applyNumberFormat="1" applyFont="1" applyBorder="1" applyAlignment="1">
      <alignment vertical="center"/>
    </xf>
    <xf numFmtId="179" fontId="29" fillId="0" borderId="72" xfId="0" applyNumberFormat="1" applyFont="1" applyBorder="1" applyAlignment="1">
      <alignment vertical="center"/>
    </xf>
    <xf numFmtId="44" fontId="29" fillId="0" borderId="0" xfId="0" applyNumberFormat="1" applyFont="1" applyAlignment="1">
      <alignment vertical="center"/>
    </xf>
    <xf numFmtId="0" fontId="29" fillId="0" borderId="73" xfId="0" applyFont="1" applyBorder="1" applyAlignment="1">
      <alignment horizontal="center" vertical="center"/>
    </xf>
    <xf numFmtId="179" fontId="29" fillId="0" borderId="30" xfId="18" applyNumberFormat="1" applyFont="1" applyBorder="1">
      <alignment vertical="center"/>
    </xf>
    <xf numFmtId="179" fontId="29" fillId="0" borderId="74" xfId="18" applyNumberFormat="1" applyFont="1" applyBorder="1">
      <alignment vertical="center"/>
    </xf>
    <xf numFmtId="179" fontId="29" fillId="0" borderId="73" xfId="0" applyNumberFormat="1" applyFont="1" applyBorder="1" applyAlignment="1">
      <alignment vertical="center"/>
    </xf>
    <xf numFmtId="179" fontId="29" fillId="0" borderId="74" xfId="0" applyNumberFormat="1" applyFont="1" applyBorder="1" applyAlignment="1">
      <alignment vertical="center"/>
    </xf>
    <xf numFmtId="0" fontId="29" fillId="0" borderId="75" xfId="0" applyFont="1" applyBorder="1" applyAlignment="1">
      <alignment horizontal="center" vertical="center"/>
    </xf>
    <xf numFmtId="179" fontId="29" fillId="0" borderId="75" xfId="0" applyNumberFormat="1" applyFont="1" applyBorder="1" applyAlignment="1">
      <alignment vertical="center"/>
    </xf>
    <xf numFmtId="179" fontId="29" fillId="0" borderId="77" xfId="0" applyNumberFormat="1" applyFont="1" applyBorder="1" applyAlignment="1">
      <alignment vertical="center"/>
    </xf>
    <xf numFmtId="179" fontId="29" fillId="0" borderId="79" xfId="0" applyNumberFormat="1" applyFont="1" applyBorder="1" applyAlignment="1">
      <alignment vertical="center"/>
    </xf>
    <xf numFmtId="179" fontId="29" fillId="0" borderId="80" xfId="0" applyNumberFormat="1" applyFont="1" applyBorder="1" applyAlignment="1">
      <alignment vertical="center"/>
    </xf>
    <xf numFmtId="179" fontId="29" fillId="0" borderId="78" xfId="18" applyNumberFormat="1" applyFont="1" applyBorder="1">
      <alignment vertical="center"/>
    </xf>
    <xf numFmtId="179" fontId="29" fillId="0" borderId="80" xfId="18" applyNumberFormat="1" applyFont="1" applyBorder="1">
      <alignment vertical="center"/>
    </xf>
    <xf numFmtId="179" fontId="29" fillId="0" borderId="30" xfId="0" applyNumberFormat="1" applyFont="1" applyBorder="1" applyAlignment="1">
      <alignment vertical="center"/>
    </xf>
    <xf numFmtId="179" fontId="29" fillId="0" borderId="73" xfId="18" applyNumberFormat="1" applyFont="1" applyBorder="1">
      <alignment vertical="center"/>
    </xf>
    <xf numFmtId="179" fontId="29" fillId="0" borderId="32" xfId="0" applyNumberFormat="1" applyFont="1" applyBorder="1" applyAlignment="1">
      <alignment vertical="center"/>
    </xf>
    <xf numFmtId="179" fontId="29" fillId="0" borderId="82" xfId="0" applyNumberFormat="1" applyFont="1" applyBorder="1" applyAlignment="1">
      <alignment vertical="center"/>
    </xf>
    <xf numFmtId="179" fontId="29" fillId="0" borderId="81" xfId="18" applyNumberFormat="1" applyFont="1" applyBorder="1">
      <alignment vertical="center"/>
    </xf>
    <xf numFmtId="179" fontId="29" fillId="0" borderId="82" xfId="18" applyNumberFormat="1" applyFont="1" applyBorder="1">
      <alignment vertical="center"/>
    </xf>
    <xf numFmtId="179" fontId="32" fillId="19" borderId="78" xfId="18" applyNumberFormat="1" applyFont="1" applyFill="1" applyBorder="1" applyAlignment="1">
      <alignment horizontal="center" vertical="center"/>
    </xf>
    <xf numFmtId="179" fontId="32" fillId="19" borderId="79" xfId="18" applyNumberFormat="1" applyFont="1" applyFill="1" applyBorder="1" applyAlignment="1">
      <alignment horizontal="center" vertical="center"/>
    </xf>
    <xf numFmtId="179" fontId="32" fillId="19" borderId="80" xfId="18" applyNumberFormat="1" applyFont="1" applyFill="1" applyBorder="1" applyAlignment="1">
      <alignment horizontal="center" vertical="center"/>
    </xf>
    <xf numFmtId="179" fontId="32" fillId="19" borderId="83" xfId="18" applyNumberFormat="1" applyFont="1" applyFill="1" applyBorder="1" applyAlignment="1">
      <alignment horizontal="center" vertical="center"/>
    </xf>
    <xf numFmtId="0" fontId="29" fillId="0" borderId="73" xfId="18" applyNumberFormat="1" applyFont="1" applyBorder="1" applyAlignment="1">
      <alignment horizontal="center" vertical="center"/>
    </xf>
    <xf numFmtId="179" fontId="29" fillId="0" borderId="31" xfId="18" applyNumberFormat="1" applyFont="1" applyBorder="1">
      <alignment vertical="center"/>
    </xf>
    <xf numFmtId="179" fontId="29" fillId="0" borderId="76" xfId="18" applyNumberFormat="1" applyFont="1" applyBorder="1">
      <alignment vertical="center"/>
    </xf>
    <xf numFmtId="179" fontId="29" fillId="0" borderId="77" xfId="18" applyNumberFormat="1" applyFont="1" applyBorder="1">
      <alignment vertical="center"/>
    </xf>
    <xf numFmtId="179" fontId="29" fillId="0" borderId="84" xfId="18" applyNumberFormat="1" applyFont="1" applyBorder="1">
      <alignment vertical="center"/>
    </xf>
    <xf numFmtId="179" fontId="29" fillId="0" borderId="78" xfId="18" applyNumberFormat="1" applyFont="1" applyBorder="1" applyAlignment="1">
      <alignment horizontal="center" vertical="center"/>
    </xf>
    <xf numFmtId="179" fontId="29" fillId="0" borderId="79" xfId="18" applyNumberFormat="1" applyFont="1" applyBorder="1">
      <alignment vertical="center"/>
    </xf>
    <xf numFmtId="179" fontId="29" fillId="0" borderId="83" xfId="18" applyNumberFormat="1" applyFont="1" applyBorder="1">
      <alignment vertical="center"/>
    </xf>
    <xf numFmtId="179" fontId="29" fillId="0" borderId="73" xfId="18" applyNumberFormat="1" applyFont="1" applyBorder="1" applyAlignment="1">
      <alignment horizontal="center" vertical="center"/>
    </xf>
    <xf numFmtId="179" fontId="29" fillId="0" borderId="81" xfId="18" applyNumberFormat="1" applyFont="1" applyBorder="1" applyAlignment="1">
      <alignment horizontal="center" vertical="center"/>
    </xf>
    <xf numFmtId="179" fontId="29" fillId="0" borderId="32" xfId="18" applyNumberFormat="1" applyFont="1" applyBorder="1">
      <alignment vertical="center"/>
    </xf>
    <xf numFmtId="179" fontId="29" fillId="0" borderId="34" xfId="18" applyNumberFormat="1" applyFont="1" applyBorder="1">
      <alignment vertical="center"/>
    </xf>
    <xf numFmtId="0" fontId="17" fillId="3" borderId="45" xfId="19" applyNumberFormat="1" applyFont="1" applyFill="1" applyBorder="1" applyAlignment="1">
      <alignment horizontal="center" vertical="center"/>
    </xf>
    <xf numFmtId="0" fontId="17" fillId="3" borderId="48" xfId="19" applyNumberFormat="1" applyFont="1" applyFill="1" applyBorder="1" applyAlignment="1">
      <alignment horizontal="center" vertical="center"/>
    </xf>
    <xf numFmtId="0" fontId="23" fillId="3" borderId="48" xfId="19" applyNumberFormat="1" applyFont="1" applyFill="1" applyBorder="1" applyAlignment="1">
      <alignment horizontal="center" vertical="center"/>
    </xf>
    <xf numFmtId="0" fontId="17" fillId="0" borderId="48" xfId="19" applyNumberFormat="1" applyFont="1" applyBorder="1" applyAlignment="1">
      <alignment horizontal="center" vertical="center"/>
    </xf>
    <xf numFmtId="0" fontId="17" fillId="11" borderId="48" xfId="19" applyNumberFormat="1" applyFont="1" applyFill="1" applyBorder="1" applyAlignment="1">
      <alignment horizontal="center" vertical="center"/>
    </xf>
    <xf numFmtId="0" fontId="17" fillId="12" borderId="48" xfId="19" applyNumberFormat="1" applyFont="1" applyFill="1" applyBorder="1" applyAlignment="1">
      <alignment horizontal="center" vertical="center"/>
    </xf>
    <xf numFmtId="0" fontId="17" fillId="0" borderId="56" xfId="19" applyNumberFormat="1" applyFont="1" applyBorder="1" applyAlignment="1">
      <alignment horizontal="center" vertical="center"/>
    </xf>
    <xf numFmtId="0" fontId="17" fillId="3" borderId="57" xfId="19" applyNumberFormat="1" applyFont="1" applyFill="1" applyBorder="1" applyAlignment="1">
      <alignment horizontal="center" vertical="center"/>
    </xf>
    <xf numFmtId="0" fontId="17" fillId="3" borderId="56" xfId="19" applyNumberFormat="1" applyFont="1" applyFill="1" applyBorder="1" applyAlignment="1">
      <alignment horizontal="center" vertical="center"/>
    </xf>
    <xf numFmtId="0" fontId="17" fillId="12" borderId="54" xfId="19" applyNumberFormat="1" applyFont="1" applyFill="1" applyBorder="1" applyAlignment="1">
      <alignment horizontal="center" vertical="center"/>
    </xf>
    <xf numFmtId="176" fontId="25" fillId="3" borderId="56" xfId="19" applyNumberFormat="1" applyFont="1" applyFill="1" applyBorder="1">
      <alignment vertical="center"/>
    </xf>
    <xf numFmtId="0" fontId="25" fillId="3" borderId="37" xfId="19" applyFont="1" applyFill="1" applyBorder="1">
      <alignment vertical="center"/>
    </xf>
    <xf numFmtId="0" fontId="25" fillId="3" borderId="38" xfId="19" applyFont="1" applyFill="1" applyBorder="1">
      <alignment vertical="center"/>
    </xf>
    <xf numFmtId="0" fontId="29" fillId="0" borderId="58" xfId="0" applyFont="1" applyBorder="1" applyAlignment="1">
      <alignment horizontal="center" vertical="center"/>
    </xf>
    <xf numFmtId="0" fontId="29" fillId="0" borderId="54" xfId="0" applyFont="1" applyBorder="1" applyAlignment="1">
      <alignment horizontal="center" vertical="center"/>
    </xf>
    <xf numFmtId="0" fontId="29" fillId="0" borderId="53" xfId="0" applyFont="1" applyBorder="1" applyAlignment="1">
      <alignment horizontal="center" vertical="center" wrapText="1"/>
    </xf>
    <xf numFmtId="0" fontId="29" fillId="0" borderId="24" xfId="0" applyFont="1" applyBorder="1" applyAlignment="1">
      <alignment horizontal="center" vertical="center"/>
    </xf>
    <xf numFmtId="0" fontId="29" fillId="0" borderId="18" xfId="0" applyFont="1" applyBorder="1" applyAlignment="1">
      <alignment horizontal="center" vertical="center"/>
    </xf>
    <xf numFmtId="0" fontId="29" fillId="3" borderId="53" xfId="0" applyFont="1" applyFill="1" applyBorder="1" applyAlignment="1">
      <alignment horizontal="center" vertical="center"/>
    </xf>
    <xf numFmtId="0" fontId="29" fillId="0" borderId="25" xfId="0" applyFont="1" applyBorder="1" applyAlignment="1">
      <alignment horizontal="center" vertical="center"/>
    </xf>
    <xf numFmtId="0" fontId="21" fillId="12" borderId="53" xfId="0" applyFont="1" applyFill="1" applyBorder="1" applyAlignment="1">
      <alignment horizontal="center" vertical="center"/>
    </xf>
    <xf numFmtId="178" fontId="21" fillId="12" borderId="53" xfId="0" applyNumberFormat="1" applyFont="1" applyFill="1" applyBorder="1" applyAlignment="1">
      <alignment horizontal="center" vertical="center"/>
    </xf>
    <xf numFmtId="0" fontId="21" fillId="12" borderId="53" xfId="0" applyFont="1" applyFill="1" applyBorder="1" applyAlignment="1">
      <alignment horizontal="center" vertical="center" wrapText="1"/>
    </xf>
    <xf numFmtId="186" fontId="21" fillId="12" borderId="53" xfId="0" applyNumberFormat="1" applyFont="1" applyFill="1" applyBorder="1" applyAlignment="1">
      <alignment horizontal="center" vertical="center"/>
    </xf>
    <xf numFmtId="0" fontId="21" fillId="0" borderId="53" xfId="0" applyFont="1" applyBorder="1" applyAlignment="1">
      <alignment horizontal="center" vertical="center"/>
    </xf>
    <xf numFmtId="0" fontId="21" fillId="3" borderId="53" xfId="0" applyFont="1" applyFill="1" applyBorder="1" applyAlignment="1">
      <alignment horizontal="center" vertical="center"/>
    </xf>
    <xf numFmtId="0" fontId="21" fillId="11" borderId="53" xfId="0" applyFont="1" applyFill="1" applyBorder="1" applyAlignment="1">
      <alignment horizontal="center" vertical="center"/>
    </xf>
  </cellXfs>
  <cellStyles count="27">
    <cellStyle name="$" xfId="1" xr:uid="{00000000-0005-0000-0000-000000000000}"/>
    <cellStyle name="$_db진흥" xfId="4" xr:uid="{00000000-0005-0000-0000-000001000000}"/>
    <cellStyle name="$_SE40" xfId="5" xr:uid="{00000000-0005-0000-0000-000002000000}"/>
    <cellStyle name="$_견적2" xfId="2" xr:uid="{00000000-0005-0000-0000-000003000000}"/>
    <cellStyle name="$_기아" xfId="3" xr:uid="{00000000-0005-0000-0000-000004000000}"/>
    <cellStyle name="20% - Accent1" xfId="22" builtinId="30"/>
    <cellStyle name="20% - Accent4" xfId="16" builtinId="42"/>
    <cellStyle name="20% - Accent5" xfId="24" builtinId="46"/>
    <cellStyle name="20% - Accent6" xfId="23" builtinId="50"/>
    <cellStyle name="20% - 강조색4 2" xfId="20" xr:uid="{00000000-0005-0000-0000-000006000000}"/>
    <cellStyle name="Comma" xfId="18" builtinId="3"/>
    <cellStyle name="Comma [0]" xfId="21" builtinId="6"/>
    <cellStyle name="Good" xfId="26" builtinId="26"/>
    <cellStyle name="Header1" xfId="14" xr:uid="{00000000-0005-0000-0000-000007000000}"/>
    <cellStyle name="Header2" xfId="15" xr:uid="{00000000-0005-0000-0000-000008000000}"/>
    <cellStyle name="Normal" xfId="0" builtinId="0"/>
    <cellStyle name="열어본 하이퍼링크" xfId="6" xr:uid="{00000000-0005-0000-0000-00000C000000}"/>
    <cellStyle name="원" xfId="7" xr:uid="{00000000-0005-0000-0000-00000D000000}"/>
    <cellStyle name="원_경기도지하수관리계획_1.28_경기본부의견적용" xfId="8" xr:uid="{00000000-0005-0000-0000-00000E000000}"/>
    <cellStyle name="원_이용시설" xfId="9" xr:uid="{00000000-0005-0000-0000-00000F000000}"/>
    <cellStyle name="을지" xfId="10" xr:uid="{00000000-0005-0000-0000-000010000000}"/>
    <cellStyle name="지정되지 않음" xfId="11" xr:uid="{00000000-0005-0000-0000-000011000000}"/>
    <cellStyle name="콤마 [0]_1.FAX국내" xfId="12" xr:uid="{00000000-0005-0000-0000-000012000000}"/>
    <cellStyle name="콤마_1.FAX국내" xfId="13" xr:uid="{00000000-0005-0000-0000-000013000000}"/>
    <cellStyle name="표준 2" xfId="17" xr:uid="{00000000-0005-0000-0000-000015000000}"/>
    <cellStyle name="표준 2 2" xfId="19" xr:uid="{00000000-0005-0000-0000-000016000000}"/>
    <cellStyle name="표준 2 3" xfId="25" xr:uid="{A7DBD823-682A-4501-80AC-3335D0232F49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0585584910659379E-2"/>
          <c:y val="0.11296131806656048"/>
          <c:w val="0.91972937775338648"/>
          <c:h val="0.7387822432494142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Y!$C$22</c:f>
              <c:strCache>
                <c:ptCount val="1"/>
                <c:pt idx="0">
                  <c:v>강우량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Y!$B$23:$B$33</c:f>
              <c:strCache>
                <c:ptCount val="11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평균</c:v>
                </c:pt>
              </c:strCache>
            </c:strRef>
          </c:cat>
          <c:val>
            <c:numRef>
              <c:f>Y!$C$23:$C$33</c:f>
              <c:numCache>
                <c:formatCode>General</c:formatCode>
                <c:ptCount val="11"/>
                <c:pt idx="0">
                  <c:v>1378.3</c:v>
                </c:pt>
                <c:pt idx="1">
                  <c:v>2014.7</c:v>
                </c:pt>
                <c:pt idx="2">
                  <c:v>1545.8</c:v>
                </c:pt>
                <c:pt idx="3">
                  <c:v>1237.4000000000001</c:v>
                </c:pt>
                <c:pt idx="4">
                  <c:v>1142.0999999999999</c:v>
                </c:pt>
                <c:pt idx="5">
                  <c:v>844.9</c:v>
                </c:pt>
                <c:pt idx="6">
                  <c:v>1129.3</c:v>
                </c:pt>
                <c:pt idx="7">
                  <c:v>1109.9000000000001</c:v>
                </c:pt>
                <c:pt idx="8">
                  <c:v>1457.9</c:v>
                </c:pt>
                <c:pt idx="9">
                  <c:v>992</c:v>
                </c:pt>
                <c:pt idx="10">
                  <c:v>1285.2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5B2-4AF7-9FEF-B0E9342F7F41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67"/>
        <c:overlap val="-43"/>
        <c:axId val="1601425679"/>
        <c:axId val="1731913439"/>
      </c:barChart>
      <c:catAx>
        <c:axId val="160142567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31913439"/>
        <c:crosses val="autoZero"/>
        <c:auto val="1"/>
        <c:lblAlgn val="ctr"/>
        <c:lblOffset val="100"/>
        <c:noMultiLvlLbl val="0"/>
      </c:catAx>
      <c:valAx>
        <c:axId val="17319134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01425679"/>
        <c:crosses val="autoZero"/>
        <c:crossBetween val="between"/>
      </c:valAx>
      <c:spPr>
        <a:pattFill prst="ltDnDiag">
          <a:fgClr>
            <a:schemeClr val="dk1">
              <a:lumMod val="15000"/>
              <a:lumOff val="85000"/>
            </a:schemeClr>
          </a:fgClr>
          <a:bgClr>
            <a:schemeClr val="lt1"/>
          </a:bgClr>
        </a:pattFill>
        <a:ln>
          <a:noFill/>
        </a:ln>
        <a:effectLst/>
      </c:spPr>
    </c:plotArea>
    <c:legend>
      <c:legendPos val="b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118765737472085"/>
          <c:y val="0.11362326425388469"/>
          <c:w val="0.8667055465142397"/>
          <c:h val="0.78983619142468853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M!$B$4</c:f>
              <c:strCache>
                <c:ptCount val="1"/>
                <c:pt idx="0">
                  <c:v>평균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M!$C$3:$O$3</c:f>
              <c:strCache>
                <c:ptCount val="13"/>
                <c:pt idx="0">
                  <c:v>1월</c:v>
                </c:pt>
                <c:pt idx="1">
                  <c:v>2월</c:v>
                </c:pt>
                <c:pt idx="2">
                  <c:v>3월</c:v>
                </c:pt>
                <c:pt idx="3">
                  <c:v>4월</c:v>
                </c:pt>
                <c:pt idx="4">
                  <c:v>5월</c:v>
                </c:pt>
                <c:pt idx="5">
                  <c:v>6월</c:v>
                </c:pt>
                <c:pt idx="6">
                  <c:v>7월</c:v>
                </c:pt>
                <c:pt idx="7">
                  <c:v>8월</c:v>
                </c:pt>
                <c:pt idx="8">
                  <c:v>9월</c:v>
                </c:pt>
                <c:pt idx="9">
                  <c:v>10월</c:v>
                </c:pt>
                <c:pt idx="10">
                  <c:v>11월</c:v>
                </c:pt>
                <c:pt idx="11">
                  <c:v>12월</c:v>
                </c:pt>
                <c:pt idx="12">
                  <c:v>평균</c:v>
                </c:pt>
              </c:strCache>
            </c:strRef>
          </c:cat>
          <c:val>
            <c:numRef>
              <c:f>M!$C$4:$O$4</c:f>
              <c:numCache>
                <c:formatCode>General</c:formatCode>
                <c:ptCount val="13"/>
                <c:pt idx="0">
                  <c:v>18.8</c:v>
                </c:pt>
                <c:pt idx="1">
                  <c:v>43.2</c:v>
                </c:pt>
                <c:pt idx="2">
                  <c:v>49.5</c:v>
                </c:pt>
                <c:pt idx="3">
                  <c:v>100.9</c:v>
                </c:pt>
                <c:pt idx="4">
                  <c:v>86.3</c:v>
                </c:pt>
                <c:pt idx="5">
                  <c:v>101.3</c:v>
                </c:pt>
                <c:pt idx="6">
                  <c:v>286.3</c:v>
                </c:pt>
                <c:pt idx="7">
                  <c:v>279.5</c:v>
                </c:pt>
                <c:pt idx="8">
                  <c:v>132.6</c:v>
                </c:pt>
                <c:pt idx="9">
                  <c:v>83.7</c:v>
                </c:pt>
                <c:pt idx="10">
                  <c:v>62.7</c:v>
                </c:pt>
                <c:pt idx="11">
                  <c:v>40.5</c:v>
                </c:pt>
                <c:pt idx="12">
                  <c:v>107.1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263-4527-AE20-5CFDAA2BB803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267"/>
        <c:overlap val="-43"/>
        <c:axId val="1759972207"/>
        <c:axId val="1759973455"/>
      </c:barChart>
      <c:catAx>
        <c:axId val="175997220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59973455"/>
        <c:crosses val="autoZero"/>
        <c:auto val="1"/>
        <c:lblAlgn val="ctr"/>
        <c:lblOffset val="100"/>
        <c:noMultiLvlLbl val="0"/>
      </c:catAx>
      <c:valAx>
        <c:axId val="17599734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/>
                  <a:t>강우량 </a:t>
                </a:r>
                <a:r>
                  <a:rPr lang="en-US"/>
                  <a:t>(mm)</a:t>
                </a:r>
                <a:endParaRPr lang="ko-KR"/>
              </a:p>
            </c:rich>
          </c:tx>
          <c:layout>
            <c:manualLayout>
              <c:xMode val="edge"/>
              <c:yMode val="edge"/>
              <c:x val="1.6895170210981345E-2"/>
              <c:y val="0.3684845443165599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59972207"/>
        <c:crosses val="autoZero"/>
        <c:crossBetween val="between"/>
      </c:valAx>
      <c:spPr>
        <a:pattFill prst="ltDnDiag">
          <a:fgClr>
            <a:schemeClr val="dk1">
              <a:lumMod val="15000"/>
              <a:lumOff val="85000"/>
            </a:schemeClr>
          </a:fgClr>
          <a:bgClr>
            <a:schemeClr val="lt1"/>
          </a:bgClr>
        </a:pattFill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8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plotArea>
  <cs:plotArea3D>
    <cs:lnRef idx="0"/>
    <cs:fillRef idx="0"/>
    <cs:effectRef idx="0"/>
    <cs:fontRef idx="minor">
      <a:schemeClr val="dk1"/>
    </cs:fontRef>
    <cs:spPr>
      <a:solidFill>
        <a:schemeClr val="lt1"/>
      </a:solidFill>
    </cs:spPr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8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plotArea>
  <cs:plotArea3D>
    <cs:lnRef idx="0"/>
    <cs:fillRef idx="0"/>
    <cs:effectRef idx="0"/>
    <cs:fontRef idx="minor">
      <a:schemeClr val="dk1"/>
    </cs:fontRef>
    <cs:spPr>
      <a:solidFill>
        <a:schemeClr val="lt1"/>
      </a:solidFill>
    </cs:spPr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wall>
</cs:chartStyl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JPEG"/><Relationship Id="rId1" Type="http://schemas.openxmlformats.org/officeDocument/2006/relationships/image" Target="../media/image3.JPE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emf"/><Relationship Id="rId1" Type="http://schemas.openxmlformats.org/officeDocument/2006/relationships/image" Target="../media/image6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9.emf"/><Relationship Id="rId2" Type="http://schemas.openxmlformats.org/officeDocument/2006/relationships/image" Target="../media/image8.emf"/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542925</xdr:colOff>
          <xdr:row>4</xdr:row>
          <xdr:rowOff>9525</xdr:rowOff>
        </xdr:from>
        <xdr:to>
          <xdr:col>18</xdr:col>
          <xdr:colOff>428625</xdr:colOff>
          <xdr:row>5</xdr:row>
          <xdr:rowOff>152400</xdr:rowOff>
        </xdr:to>
        <xdr:sp macro="" textlink="">
          <xdr:nvSpPr>
            <xdr:cNvPr id="83969" name="CommandButton1" hidden="1">
              <a:extLst>
                <a:ext uri="{63B3BB69-23CF-44E3-9099-C40C66FF867C}">
                  <a14:compatExt spid="_x0000_s83969"/>
                </a:ext>
                <a:ext uri="{FF2B5EF4-FFF2-40B4-BE49-F238E27FC236}">
                  <a16:creationId xmlns:a16="http://schemas.microsoft.com/office/drawing/2014/main" id="{00000000-0008-0000-0000-0000014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333375</xdr:colOff>
      <xdr:row>22</xdr:row>
      <xdr:rowOff>142876</xdr:rowOff>
    </xdr:from>
    <xdr:to>
      <xdr:col>15</xdr:col>
      <xdr:colOff>238125</xdr:colOff>
      <xdr:row>44</xdr:row>
      <xdr:rowOff>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204785</xdr:colOff>
      <xdr:row>7</xdr:row>
      <xdr:rowOff>9526</xdr:rowOff>
    </xdr:from>
    <xdr:to>
      <xdr:col>13</xdr:col>
      <xdr:colOff>600075</xdr:colOff>
      <xdr:row>28</xdr:row>
      <xdr:rowOff>76200</xdr:rowOff>
    </xdr:to>
    <xdr:graphicFrame macro="">
      <xdr:nvGraphicFramePr>
        <xdr:cNvPr id="2" name="차트 1" title="dfas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152400</xdr:colOff>
      <xdr:row>32</xdr:row>
      <xdr:rowOff>171450</xdr:rowOff>
    </xdr:from>
    <xdr:to>
      <xdr:col>15</xdr:col>
      <xdr:colOff>838200</xdr:colOff>
      <xdr:row>39</xdr:row>
      <xdr:rowOff>0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81975" y="7943850"/>
          <a:ext cx="7620000" cy="1695450"/>
        </a:xfrm>
        <a:prstGeom prst="rect">
          <a:avLst/>
        </a:prstGeom>
      </xdr:spPr>
    </xdr:pic>
    <xdr:clientData/>
  </xdr:twoCellAnchor>
  <xdr:twoCellAnchor editAs="oneCell">
    <xdr:from>
      <xdr:col>4</xdr:col>
      <xdr:colOff>228600</xdr:colOff>
      <xdr:row>41</xdr:row>
      <xdr:rowOff>200025</xdr:rowOff>
    </xdr:from>
    <xdr:to>
      <xdr:col>6</xdr:col>
      <xdr:colOff>190500</xdr:colOff>
      <xdr:row>48</xdr:row>
      <xdr:rowOff>114300</xdr:rowOff>
    </xdr:to>
    <xdr:pic>
      <xdr:nvPicPr>
        <xdr:cNvPr id="5" name="그림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95875" y="10220325"/>
          <a:ext cx="1695450" cy="15240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47</xdr:row>
          <xdr:rowOff>9525</xdr:rowOff>
        </xdr:from>
        <xdr:to>
          <xdr:col>9</xdr:col>
          <xdr:colOff>257175</xdr:colOff>
          <xdr:row>49</xdr:row>
          <xdr:rowOff>66675</xdr:rowOff>
        </xdr:to>
        <xdr:sp macro="" textlink="">
          <xdr:nvSpPr>
            <xdr:cNvPr id="50181" name="CommandButton1" hidden="1">
              <a:extLst>
                <a:ext uri="{63B3BB69-23CF-44E3-9099-C40C66FF867C}">
                  <a14:compatExt spid="_x0000_s50181"/>
                </a:ext>
                <a:ext uri="{FF2B5EF4-FFF2-40B4-BE49-F238E27FC236}">
                  <a16:creationId xmlns:a16="http://schemas.microsoft.com/office/drawing/2014/main" id="{00000000-0008-0000-0300-00000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228600</xdr:colOff>
          <xdr:row>0</xdr:row>
          <xdr:rowOff>76200</xdr:rowOff>
        </xdr:from>
        <xdr:to>
          <xdr:col>2</xdr:col>
          <xdr:colOff>885825</xdr:colOff>
          <xdr:row>0</xdr:row>
          <xdr:rowOff>533400</xdr:rowOff>
        </xdr:to>
        <xdr:sp macro="" textlink="">
          <xdr:nvSpPr>
            <xdr:cNvPr id="99329" name="CommandButton1" hidden="1">
              <a:extLst>
                <a:ext uri="{63B3BB69-23CF-44E3-9099-C40C66FF867C}">
                  <a14:compatExt spid="_x0000_s99329"/>
                </a:ext>
                <a:ext uri="{FF2B5EF4-FFF2-40B4-BE49-F238E27FC236}">
                  <a16:creationId xmlns:a16="http://schemas.microsoft.com/office/drawing/2014/main" id="{00000000-0008-0000-0500-000001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981075</xdr:colOff>
          <xdr:row>0</xdr:row>
          <xdr:rowOff>76200</xdr:rowOff>
        </xdr:from>
        <xdr:to>
          <xdr:col>4</xdr:col>
          <xdr:colOff>342900</xdr:colOff>
          <xdr:row>0</xdr:row>
          <xdr:rowOff>533400</xdr:rowOff>
        </xdr:to>
        <xdr:sp macro="" textlink="">
          <xdr:nvSpPr>
            <xdr:cNvPr id="99330" name="CommandButton2" hidden="1">
              <a:extLst>
                <a:ext uri="{63B3BB69-23CF-44E3-9099-C40C66FF867C}">
                  <a14:compatExt spid="_x0000_s99330"/>
                </a:ext>
                <a:ext uri="{FF2B5EF4-FFF2-40B4-BE49-F238E27FC236}">
                  <a16:creationId xmlns:a16="http://schemas.microsoft.com/office/drawing/2014/main" id="{0E660247-A26A-4887-A354-67B58EA505B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371475</xdr:colOff>
          <xdr:row>10</xdr:row>
          <xdr:rowOff>76200</xdr:rowOff>
        </xdr:from>
        <xdr:to>
          <xdr:col>8</xdr:col>
          <xdr:colOff>1333500</xdr:colOff>
          <xdr:row>11</xdr:row>
          <xdr:rowOff>171450</xdr:rowOff>
        </xdr:to>
        <xdr:sp macro="" textlink="">
          <xdr:nvSpPr>
            <xdr:cNvPr id="3092" name="CommandButton1" hidden="1">
              <a:extLst>
                <a:ext uri="{63B3BB69-23CF-44E3-9099-C40C66FF867C}">
                  <a14:compatExt spid="_x0000_s3092"/>
                </a:ext>
                <a:ext uri="{FF2B5EF4-FFF2-40B4-BE49-F238E27FC236}">
                  <a16:creationId xmlns:a16="http://schemas.microsoft.com/office/drawing/2014/main" id="{00000000-0008-0000-0600-00001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371475</xdr:colOff>
          <xdr:row>11</xdr:row>
          <xdr:rowOff>247650</xdr:rowOff>
        </xdr:from>
        <xdr:to>
          <xdr:col>8</xdr:col>
          <xdr:colOff>1333500</xdr:colOff>
          <xdr:row>13</xdr:row>
          <xdr:rowOff>19050</xdr:rowOff>
        </xdr:to>
        <xdr:sp macro="" textlink="">
          <xdr:nvSpPr>
            <xdr:cNvPr id="3093" name="CommandButton2" hidden="1">
              <a:extLst>
                <a:ext uri="{63B3BB69-23CF-44E3-9099-C40C66FF867C}">
                  <a14:compatExt spid="_x0000_s3093"/>
                </a:ext>
                <a:ext uri="{FF2B5EF4-FFF2-40B4-BE49-F238E27FC236}">
                  <a16:creationId xmlns:a16="http://schemas.microsoft.com/office/drawing/2014/main" id="{00000000-0008-0000-0600-00001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371475</xdr:colOff>
          <xdr:row>13</xdr:row>
          <xdr:rowOff>95250</xdr:rowOff>
        </xdr:from>
        <xdr:to>
          <xdr:col>8</xdr:col>
          <xdr:colOff>1333500</xdr:colOff>
          <xdr:row>14</xdr:row>
          <xdr:rowOff>190500</xdr:rowOff>
        </xdr:to>
        <xdr:sp macro="" textlink="">
          <xdr:nvSpPr>
            <xdr:cNvPr id="3094" name="CommandButton3" hidden="1">
              <a:extLst>
                <a:ext uri="{63B3BB69-23CF-44E3-9099-C40C66FF867C}">
                  <a14:compatExt spid="_x0000_s3094"/>
                </a:ext>
                <a:ext uri="{FF2B5EF4-FFF2-40B4-BE49-F238E27FC236}">
                  <a16:creationId xmlns:a16="http://schemas.microsoft.com/office/drawing/2014/main" id="{00000000-0008-0000-0600-00001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&#45224;&#54984;&#51060;&#54805;/03.%20ihanseol%20-%202018/01.%20GS%20&#44148;&#49444;%20-%20&#44305;&#51652;/02.%20GS%20&#44148;&#49444;%20&#44592;&#48376;&#44288;&#51221;%20&#45936;&#51060;&#53440;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&#45224;&#54984;&#51060;&#54805;/03.%20ihanseol%20-%202018/07.%20&#44228;&#47329;&#49884;/01.%202018%20&#44228;&#47329;&#49884;%20&#44592;&#48376;&#44288;&#51221;%20&#45936;&#51060;&#53440;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30년보령데이타"/>
      <sheetName val="년"/>
      <sheetName val="월"/>
      <sheetName val="지하수함양량"/>
      <sheetName val="drastic"/>
      <sheetName val="관정현황"/>
      <sheetName val="1"/>
      <sheetName val="2"/>
      <sheetName val="SUM"/>
      <sheetName val="수질1"/>
    </sheetNames>
    <sheetDataSet>
      <sheetData sheetId="0"/>
      <sheetData sheetId="1"/>
      <sheetData sheetId="2"/>
      <sheetData sheetId="3">
        <row r="26">
          <cell r="C26">
            <v>782.5</v>
          </cell>
        </row>
        <row r="27">
          <cell r="C27">
            <v>1191.8</v>
          </cell>
        </row>
        <row r="29">
          <cell r="C29">
            <v>0.1447</v>
          </cell>
          <cell r="D29">
            <v>0.1535</v>
          </cell>
        </row>
      </sheetData>
      <sheetData sheetId="4"/>
      <sheetData sheetId="5"/>
      <sheetData sheetId="6"/>
      <sheetData sheetId="7"/>
      <sheetData sheetId="8"/>
      <sheetData sheetId="9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30년 대전 관측데이타"/>
      <sheetName val="년"/>
      <sheetName val="월"/>
      <sheetName val="지하수함양량"/>
      <sheetName val="drastic"/>
      <sheetName val="관정현황"/>
      <sheetName val="1"/>
      <sheetName val="2"/>
      <sheetName val="w1"/>
      <sheetName val="w2"/>
    </sheetNames>
    <sheetDataSet>
      <sheetData sheetId="0" refreshError="1"/>
      <sheetData sheetId="1" refreshError="1"/>
      <sheetData sheetId="2" refreshError="1"/>
      <sheetData sheetId="3">
        <row r="29">
          <cell r="C29">
            <v>822.60000000000014</v>
          </cell>
        </row>
        <row r="30">
          <cell r="C30">
            <v>1345.0733333333335</v>
          </cell>
        </row>
        <row r="32">
          <cell r="C32">
            <v>9.1700000000000004E-2</v>
          </cell>
          <cell r="D32">
            <v>0.1172</v>
          </cell>
        </row>
      </sheetData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Relationship Id="rId6" Type="http://schemas.openxmlformats.org/officeDocument/2006/relationships/comments" Target="../comments1.xml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image" Target="../media/image6.emf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4.xml"/><Relationship Id="rId5" Type="http://schemas.openxmlformats.org/officeDocument/2006/relationships/image" Target="../media/image5.emf"/><Relationship Id="rId4" Type="http://schemas.openxmlformats.org/officeDocument/2006/relationships/control" Target="../activeX/activeX3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.xml"/><Relationship Id="rId3" Type="http://schemas.openxmlformats.org/officeDocument/2006/relationships/vmlDrawing" Target="../drawings/vmlDrawing4.vml"/><Relationship Id="rId7" Type="http://schemas.openxmlformats.org/officeDocument/2006/relationships/image" Target="../media/image8.emf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6.xml"/><Relationship Id="rId5" Type="http://schemas.openxmlformats.org/officeDocument/2006/relationships/image" Target="../media/image7.emf"/><Relationship Id="rId10" Type="http://schemas.openxmlformats.org/officeDocument/2006/relationships/comments" Target="../comments2.xml"/><Relationship Id="rId4" Type="http://schemas.openxmlformats.org/officeDocument/2006/relationships/control" Target="../activeX/activeX5.xml"/><Relationship Id="rId9" Type="http://schemas.openxmlformats.org/officeDocument/2006/relationships/image" Target="../media/image9.emf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2:Q57"/>
  <sheetViews>
    <sheetView tabSelected="1" zoomScaleNormal="100" workbookViewId="0">
      <selection activeCell="J41" sqref="J41"/>
    </sheetView>
  </sheetViews>
  <sheetFormatPr defaultRowHeight="16.5"/>
  <cols>
    <col min="1" max="1" width="8.88671875" style="62"/>
    <col min="2" max="2" width="5.88671875" style="61" customWidth="1"/>
    <col min="3" max="11" width="5.77734375" style="62" customWidth="1"/>
    <col min="12" max="12" width="5.6640625" style="62" customWidth="1"/>
    <col min="13" max="14" width="5.77734375" style="62" customWidth="1"/>
    <col min="15" max="15" width="8.109375" style="62" customWidth="1"/>
    <col min="16" max="16" width="6.44140625" style="62" customWidth="1"/>
    <col min="17" max="17" width="12.21875" style="62" bestFit="1" customWidth="1"/>
    <col min="18" max="16384" width="8.88671875" style="62"/>
  </cols>
  <sheetData>
    <row r="2" spans="2:17" s="62" customFormat="1" ht="26.25" customHeight="1">
      <c r="B2" s="316" t="s">
        <v>207</v>
      </c>
      <c r="C2" s="316"/>
      <c r="D2" s="316"/>
      <c r="E2" s="316"/>
      <c r="F2" s="316"/>
      <c r="G2" s="316"/>
      <c r="H2" s="316"/>
      <c r="I2" s="316"/>
      <c r="J2" s="316"/>
      <c r="K2" s="316"/>
      <c r="L2" s="316"/>
    </row>
    <row r="4" spans="2:17" s="62" customFormat="1" ht="17.25" thickBot="1">
      <c r="B4" s="61"/>
    </row>
    <row r="5" spans="2:17" s="320" customFormat="1" ht="21.95" customHeight="1">
      <c r="B5" s="317" t="s">
        <v>55</v>
      </c>
      <c r="C5" s="318" t="s">
        <v>56</v>
      </c>
      <c r="D5" s="318" t="s">
        <v>44</v>
      </c>
      <c r="E5" s="318" t="s">
        <v>45</v>
      </c>
      <c r="F5" s="318" t="s">
        <v>46</v>
      </c>
      <c r="G5" s="318" t="s">
        <v>47</v>
      </c>
      <c r="H5" s="318" t="s">
        <v>12</v>
      </c>
      <c r="I5" s="318" t="s">
        <v>13</v>
      </c>
      <c r="J5" s="318" t="s">
        <v>14</v>
      </c>
      <c r="K5" s="318" t="s">
        <v>15</v>
      </c>
      <c r="L5" s="318" t="s">
        <v>16</v>
      </c>
      <c r="M5" s="318" t="s">
        <v>17</v>
      </c>
      <c r="N5" s="319" t="s">
        <v>18</v>
      </c>
      <c r="O5" s="317" t="s">
        <v>58</v>
      </c>
      <c r="P5" s="319" t="s">
        <v>59</v>
      </c>
    </row>
    <row r="6" spans="2:17" s="62" customFormat="1" ht="21.95" customHeight="1">
      <c r="B6" s="321">
        <v>1990</v>
      </c>
      <c r="C6" s="322">
        <v>68.900000000000006</v>
      </c>
      <c r="D6" s="322">
        <v>108.1</v>
      </c>
      <c r="E6" s="322">
        <v>94.6</v>
      </c>
      <c r="F6" s="322">
        <v>94.4</v>
      </c>
      <c r="G6" s="322">
        <v>118.6</v>
      </c>
      <c r="H6" s="322">
        <v>329.8</v>
      </c>
      <c r="I6" s="322">
        <v>390.7</v>
      </c>
      <c r="J6" s="322">
        <v>195.4</v>
      </c>
      <c r="K6" s="322">
        <v>152.19999999999999</v>
      </c>
      <c r="L6" s="322">
        <v>3.9</v>
      </c>
      <c r="M6" s="322">
        <v>55.5</v>
      </c>
      <c r="N6" s="323">
        <v>27.3</v>
      </c>
      <c r="O6" s="324">
        <f>ROUND(SUM(C6:N6),1)</f>
        <v>1639.4</v>
      </c>
      <c r="P6" s="325">
        <f>ROUND(O6/12,1)</f>
        <v>136.6</v>
      </c>
      <c r="Q6" s="326"/>
    </row>
    <row r="7" spans="2:17" s="62" customFormat="1" ht="21.95" customHeight="1">
      <c r="B7" s="327">
        <v>1991</v>
      </c>
      <c r="C7" s="328">
        <v>11.7</v>
      </c>
      <c r="D7" s="328">
        <v>45.2</v>
      </c>
      <c r="E7" s="328">
        <v>96.6</v>
      </c>
      <c r="F7" s="328">
        <v>80.599999999999994</v>
      </c>
      <c r="G7" s="328">
        <v>95.8</v>
      </c>
      <c r="H7" s="328">
        <v>140.5</v>
      </c>
      <c r="I7" s="328">
        <v>267.39999999999998</v>
      </c>
      <c r="J7" s="328">
        <v>125.7</v>
      </c>
      <c r="K7" s="328">
        <v>212.2</v>
      </c>
      <c r="L7" s="328">
        <v>19.5</v>
      </c>
      <c r="M7" s="328">
        <v>30.2</v>
      </c>
      <c r="N7" s="329">
        <v>46.6</v>
      </c>
      <c r="O7" s="330">
        <f t="shared" ref="O7:O35" si="0">ROUND(SUM(C7:N7),1)</f>
        <v>1172</v>
      </c>
      <c r="P7" s="331">
        <f t="shared" ref="P7:P35" si="1">ROUND(O7/12,1)</f>
        <v>97.7</v>
      </c>
      <c r="Q7" s="326"/>
    </row>
    <row r="8" spans="2:17" s="62" customFormat="1" ht="21.95" customHeight="1">
      <c r="B8" s="327">
        <v>1992</v>
      </c>
      <c r="C8" s="328">
        <v>13.2</v>
      </c>
      <c r="D8" s="328">
        <v>18.7</v>
      </c>
      <c r="E8" s="328">
        <v>46.1</v>
      </c>
      <c r="F8" s="328">
        <v>102.9</v>
      </c>
      <c r="G8" s="328">
        <v>109.1</v>
      </c>
      <c r="H8" s="328">
        <v>46.7</v>
      </c>
      <c r="I8" s="328">
        <v>161.5</v>
      </c>
      <c r="J8" s="328">
        <v>415.4</v>
      </c>
      <c r="K8" s="328">
        <v>179</v>
      </c>
      <c r="L8" s="328">
        <v>15.5</v>
      </c>
      <c r="M8" s="328">
        <v>60</v>
      </c>
      <c r="N8" s="329">
        <v>54.5</v>
      </c>
      <c r="O8" s="330">
        <f t="shared" si="0"/>
        <v>1222.5999999999999</v>
      </c>
      <c r="P8" s="331">
        <f t="shared" si="1"/>
        <v>101.9</v>
      </c>
      <c r="Q8" s="326"/>
    </row>
    <row r="9" spans="2:17" s="62" customFormat="1" ht="21.95" customHeight="1">
      <c r="B9" s="327">
        <v>1993</v>
      </c>
      <c r="C9" s="328">
        <v>4.8</v>
      </c>
      <c r="D9" s="328">
        <v>73</v>
      </c>
      <c r="E9" s="328">
        <v>25.5</v>
      </c>
      <c r="F9" s="328">
        <v>34.5</v>
      </c>
      <c r="G9" s="328">
        <v>116</v>
      </c>
      <c r="H9" s="328">
        <v>260</v>
      </c>
      <c r="I9" s="328">
        <v>273.5</v>
      </c>
      <c r="J9" s="328">
        <v>284</v>
      </c>
      <c r="K9" s="328">
        <v>98.5</v>
      </c>
      <c r="L9" s="328">
        <v>34</v>
      </c>
      <c r="M9" s="328">
        <v>89.5</v>
      </c>
      <c r="N9" s="329">
        <v>21.9</v>
      </c>
      <c r="O9" s="330">
        <f t="shared" si="0"/>
        <v>1315.2</v>
      </c>
      <c r="P9" s="331">
        <f t="shared" si="1"/>
        <v>109.6</v>
      </c>
      <c r="Q9" s="326"/>
    </row>
    <row r="10" spans="2:17" s="62" customFormat="1" ht="21.95" customHeight="1">
      <c r="B10" s="327">
        <v>1994</v>
      </c>
      <c r="C10" s="328">
        <v>18.5</v>
      </c>
      <c r="D10" s="328">
        <v>14.4</v>
      </c>
      <c r="E10" s="328">
        <v>54.4</v>
      </c>
      <c r="F10" s="328">
        <v>41</v>
      </c>
      <c r="G10" s="328">
        <v>137</v>
      </c>
      <c r="H10" s="328">
        <v>137.5</v>
      </c>
      <c r="I10" s="328">
        <v>96.5</v>
      </c>
      <c r="J10" s="328">
        <v>286.5</v>
      </c>
      <c r="K10" s="328">
        <v>34</v>
      </c>
      <c r="L10" s="328">
        <v>162</v>
      </c>
      <c r="M10" s="328">
        <v>23</v>
      </c>
      <c r="N10" s="329">
        <v>25</v>
      </c>
      <c r="O10" s="330">
        <f t="shared" si="0"/>
        <v>1029.8</v>
      </c>
      <c r="P10" s="331">
        <f t="shared" si="1"/>
        <v>85.8</v>
      </c>
      <c r="Q10" s="326"/>
    </row>
    <row r="11" spans="2:17" s="62" customFormat="1" ht="21.95" customHeight="1">
      <c r="B11" s="327">
        <v>1995</v>
      </c>
      <c r="C11" s="328">
        <v>22.6</v>
      </c>
      <c r="D11" s="328">
        <v>23.5</v>
      </c>
      <c r="E11" s="328">
        <v>24.4</v>
      </c>
      <c r="F11" s="328">
        <v>62</v>
      </c>
      <c r="G11" s="328">
        <v>59.5</v>
      </c>
      <c r="H11" s="328">
        <v>34.5</v>
      </c>
      <c r="I11" s="328">
        <v>171.5</v>
      </c>
      <c r="J11" s="328">
        <v>839</v>
      </c>
      <c r="K11" s="328">
        <v>46.5</v>
      </c>
      <c r="L11" s="328">
        <v>22</v>
      </c>
      <c r="M11" s="328">
        <v>15</v>
      </c>
      <c r="N11" s="329">
        <v>5.7</v>
      </c>
      <c r="O11" s="330">
        <f t="shared" si="0"/>
        <v>1326.2</v>
      </c>
      <c r="P11" s="331">
        <f t="shared" si="1"/>
        <v>110.5</v>
      </c>
      <c r="Q11" s="326"/>
    </row>
    <row r="12" spans="2:17" s="62" customFormat="1" ht="21.95" customHeight="1">
      <c r="B12" s="327">
        <v>1996</v>
      </c>
      <c r="C12" s="328">
        <v>26.4</v>
      </c>
      <c r="D12" s="328">
        <v>2.8</v>
      </c>
      <c r="E12" s="328">
        <v>131</v>
      </c>
      <c r="F12" s="328">
        <v>45</v>
      </c>
      <c r="G12" s="328">
        <v>33</v>
      </c>
      <c r="H12" s="328">
        <v>289</v>
      </c>
      <c r="I12" s="328">
        <v>235</v>
      </c>
      <c r="J12" s="328">
        <v>67</v>
      </c>
      <c r="K12" s="328">
        <v>16</v>
      </c>
      <c r="L12" s="328">
        <v>90.5</v>
      </c>
      <c r="M12" s="328">
        <v>76</v>
      </c>
      <c r="N12" s="329">
        <v>35</v>
      </c>
      <c r="O12" s="330">
        <f t="shared" si="0"/>
        <v>1046.7</v>
      </c>
      <c r="P12" s="331">
        <f t="shared" si="1"/>
        <v>87.2</v>
      </c>
    </row>
    <row r="13" spans="2:17" s="62" customFormat="1" ht="21.95" customHeight="1">
      <c r="B13" s="327">
        <v>1997</v>
      </c>
      <c r="C13" s="328">
        <v>9</v>
      </c>
      <c r="D13" s="328">
        <v>54.9</v>
      </c>
      <c r="E13" s="328">
        <v>44</v>
      </c>
      <c r="F13" s="328">
        <v>70</v>
      </c>
      <c r="G13" s="328">
        <v>229.5</v>
      </c>
      <c r="H13" s="328">
        <v>236.5</v>
      </c>
      <c r="I13" s="328">
        <v>404.5</v>
      </c>
      <c r="J13" s="328">
        <v>263</v>
      </c>
      <c r="K13" s="328">
        <v>24.5</v>
      </c>
      <c r="L13" s="328">
        <v>8</v>
      </c>
      <c r="M13" s="328">
        <v>219.5</v>
      </c>
      <c r="N13" s="329">
        <v>39.5</v>
      </c>
      <c r="O13" s="330">
        <f t="shared" si="0"/>
        <v>1602.9</v>
      </c>
      <c r="P13" s="331">
        <f t="shared" si="1"/>
        <v>133.6</v>
      </c>
    </row>
    <row r="14" spans="2:17" s="62" customFormat="1" ht="21.95" customHeight="1">
      <c r="B14" s="327">
        <v>1998</v>
      </c>
      <c r="C14" s="328">
        <v>40.6</v>
      </c>
      <c r="D14" s="328">
        <v>47</v>
      </c>
      <c r="E14" s="328">
        <v>45</v>
      </c>
      <c r="F14" s="328">
        <v>200.5</v>
      </c>
      <c r="G14" s="328">
        <v>130.5</v>
      </c>
      <c r="H14" s="328">
        <v>324</v>
      </c>
      <c r="I14" s="328">
        <v>323</v>
      </c>
      <c r="J14" s="328">
        <v>451.3</v>
      </c>
      <c r="K14" s="328">
        <v>313.10000000000002</v>
      </c>
      <c r="L14" s="328">
        <v>75.5</v>
      </c>
      <c r="M14" s="328">
        <v>46.3</v>
      </c>
      <c r="N14" s="329">
        <v>3.5</v>
      </c>
      <c r="O14" s="330">
        <f t="shared" si="0"/>
        <v>2000.3</v>
      </c>
      <c r="P14" s="331">
        <f t="shared" si="1"/>
        <v>166.7</v>
      </c>
    </row>
    <row r="15" spans="2:17" s="62" customFormat="1" ht="21.95" customHeight="1">
      <c r="B15" s="327">
        <v>1999</v>
      </c>
      <c r="C15" s="328">
        <v>3.5</v>
      </c>
      <c r="D15" s="328">
        <v>10</v>
      </c>
      <c r="E15" s="328">
        <v>75.7</v>
      </c>
      <c r="F15" s="328">
        <v>92.5</v>
      </c>
      <c r="G15" s="328">
        <v>127.5</v>
      </c>
      <c r="H15" s="328">
        <v>203</v>
      </c>
      <c r="I15" s="328">
        <v>149</v>
      </c>
      <c r="J15" s="328">
        <v>119.5</v>
      </c>
      <c r="K15" s="328">
        <v>426</v>
      </c>
      <c r="L15" s="328">
        <v>290</v>
      </c>
      <c r="M15" s="328">
        <v>15.5</v>
      </c>
      <c r="N15" s="329">
        <v>17.399999999999999</v>
      </c>
      <c r="O15" s="330">
        <f t="shared" si="0"/>
        <v>1529.6</v>
      </c>
      <c r="P15" s="331">
        <f t="shared" si="1"/>
        <v>127.5</v>
      </c>
    </row>
    <row r="16" spans="2:17" s="62" customFormat="1" ht="21.95" customHeight="1">
      <c r="B16" s="327">
        <v>2000</v>
      </c>
      <c r="C16" s="328">
        <v>41.4</v>
      </c>
      <c r="D16" s="328">
        <v>2.2999999999999998</v>
      </c>
      <c r="E16" s="328">
        <v>14.1</v>
      </c>
      <c r="F16" s="328">
        <v>62</v>
      </c>
      <c r="G16" s="328">
        <v>40</v>
      </c>
      <c r="H16" s="328">
        <v>248.5</v>
      </c>
      <c r="I16" s="328">
        <v>248.5</v>
      </c>
      <c r="J16" s="328">
        <v>543</v>
      </c>
      <c r="K16" s="328">
        <v>238.5</v>
      </c>
      <c r="L16" s="328">
        <v>39</v>
      </c>
      <c r="M16" s="328">
        <v>29.5</v>
      </c>
      <c r="N16" s="329">
        <v>13.8</v>
      </c>
      <c r="O16" s="330">
        <f t="shared" si="0"/>
        <v>1520.6</v>
      </c>
      <c r="P16" s="331">
        <f t="shared" si="1"/>
        <v>126.7</v>
      </c>
    </row>
    <row r="17" spans="2:16" s="62" customFormat="1" ht="21.95" customHeight="1">
      <c r="B17" s="327">
        <v>2001</v>
      </c>
      <c r="C17" s="328">
        <v>65</v>
      </c>
      <c r="D17" s="328">
        <v>69.5</v>
      </c>
      <c r="E17" s="328">
        <v>9.8000000000000007</v>
      </c>
      <c r="F17" s="328">
        <v>25</v>
      </c>
      <c r="G17" s="328">
        <v>23.5</v>
      </c>
      <c r="H17" s="328">
        <v>132</v>
      </c>
      <c r="I17" s="328">
        <v>216</v>
      </c>
      <c r="J17" s="328">
        <v>98</v>
      </c>
      <c r="K17" s="328">
        <v>10.5</v>
      </c>
      <c r="L17" s="328">
        <v>76.5</v>
      </c>
      <c r="M17" s="328">
        <v>10.5</v>
      </c>
      <c r="N17" s="329">
        <v>16.3</v>
      </c>
      <c r="O17" s="330">
        <f t="shared" si="0"/>
        <v>752.6</v>
      </c>
      <c r="P17" s="331">
        <f t="shared" si="1"/>
        <v>62.7</v>
      </c>
    </row>
    <row r="18" spans="2:16" s="62" customFormat="1" ht="21.95" customHeight="1">
      <c r="B18" s="327">
        <v>2002</v>
      </c>
      <c r="C18" s="328">
        <v>72.3</v>
      </c>
      <c r="D18" s="328">
        <v>6</v>
      </c>
      <c r="E18" s="328">
        <v>32.5</v>
      </c>
      <c r="F18" s="328">
        <v>142.5</v>
      </c>
      <c r="G18" s="328">
        <v>159</v>
      </c>
      <c r="H18" s="328">
        <v>70.5</v>
      </c>
      <c r="I18" s="328">
        <v>208</v>
      </c>
      <c r="J18" s="328">
        <v>358.5</v>
      </c>
      <c r="K18" s="328">
        <v>57.5</v>
      </c>
      <c r="L18" s="328">
        <v>78.5</v>
      </c>
      <c r="M18" s="328">
        <v>31.5</v>
      </c>
      <c r="N18" s="329">
        <v>57.2</v>
      </c>
      <c r="O18" s="330">
        <f t="shared" si="0"/>
        <v>1274</v>
      </c>
      <c r="P18" s="331">
        <f t="shared" si="1"/>
        <v>106.2</v>
      </c>
    </row>
    <row r="19" spans="2:16" s="62" customFormat="1" ht="21.95" customHeight="1">
      <c r="B19" s="327">
        <v>2003</v>
      </c>
      <c r="C19" s="328">
        <v>24.2</v>
      </c>
      <c r="D19" s="328">
        <v>59</v>
      </c>
      <c r="E19" s="328">
        <v>52</v>
      </c>
      <c r="F19" s="328">
        <v>208.5</v>
      </c>
      <c r="G19" s="328">
        <v>144.5</v>
      </c>
      <c r="H19" s="328">
        <v>228</v>
      </c>
      <c r="I19" s="328">
        <v>626.5</v>
      </c>
      <c r="J19" s="328">
        <v>202</v>
      </c>
      <c r="K19" s="328">
        <v>167.5</v>
      </c>
      <c r="L19" s="328">
        <v>24.5</v>
      </c>
      <c r="M19" s="328">
        <v>29.5</v>
      </c>
      <c r="N19" s="329">
        <v>13.8</v>
      </c>
      <c r="O19" s="330">
        <f t="shared" si="0"/>
        <v>1780</v>
      </c>
      <c r="P19" s="331">
        <f t="shared" si="1"/>
        <v>148.30000000000001</v>
      </c>
    </row>
    <row r="20" spans="2:16" s="62" customFormat="1" ht="21.95" customHeight="1">
      <c r="B20" s="327">
        <v>2004</v>
      </c>
      <c r="C20" s="328">
        <v>18.100000000000001</v>
      </c>
      <c r="D20" s="328">
        <v>26.2</v>
      </c>
      <c r="E20" s="328">
        <v>63.1</v>
      </c>
      <c r="F20" s="328">
        <v>73.5</v>
      </c>
      <c r="G20" s="328">
        <v>109</v>
      </c>
      <c r="H20" s="328">
        <v>388</v>
      </c>
      <c r="I20" s="328">
        <v>296</v>
      </c>
      <c r="J20" s="328">
        <v>249</v>
      </c>
      <c r="K20" s="328">
        <v>176.5</v>
      </c>
      <c r="L20" s="328">
        <v>1</v>
      </c>
      <c r="M20" s="328">
        <v>50.5</v>
      </c>
      <c r="N20" s="329">
        <v>43</v>
      </c>
      <c r="O20" s="330">
        <f t="shared" si="0"/>
        <v>1493.9</v>
      </c>
      <c r="P20" s="331">
        <f t="shared" si="1"/>
        <v>124.5</v>
      </c>
    </row>
    <row r="21" spans="2:16" s="62" customFormat="1" ht="21.95" customHeight="1">
      <c r="B21" s="327">
        <v>2005</v>
      </c>
      <c r="C21" s="328">
        <v>6</v>
      </c>
      <c r="D21" s="328">
        <v>39</v>
      </c>
      <c r="E21" s="328">
        <v>26.5</v>
      </c>
      <c r="F21" s="328">
        <v>75</v>
      </c>
      <c r="G21" s="328">
        <v>65.5</v>
      </c>
      <c r="H21" s="328">
        <v>186</v>
      </c>
      <c r="I21" s="328">
        <v>448.5</v>
      </c>
      <c r="J21" s="328">
        <v>381.5</v>
      </c>
      <c r="K21" s="328">
        <v>225.5</v>
      </c>
      <c r="L21" s="328">
        <v>30.5</v>
      </c>
      <c r="M21" s="328">
        <v>21</v>
      </c>
      <c r="N21" s="329">
        <v>22</v>
      </c>
      <c r="O21" s="330">
        <f t="shared" si="0"/>
        <v>1527</v>
      </c>
      <c r="P21" s="331">
        <f t="shared" si="1"/>
        <v>127.3</v>
      </c>
    </row>
    <row r="22" spans="2:16" s="62" customFormat="1" ht="21.95" customHeight="1">
      <c r="B22" s="327">
        <v>2006</v>
      </c>
      <c r="C22" s="328">
        <v>30.2</v>
      </c>
      <c r="D22" s="328">
        <v>29.5</v>
      </c>
      <c r="E22" s="328">
        <v>7.8</v>
      </c>
      <c r="F22" s="328">
        <v>99</v>
      </c>
      <c r="G22" s="328">
        <v>81.5</v>
      </c>
      <c r="H22" s="328">
        <v>111</v>
      </c>
      <c r="I22" s="328">
        <v>503</v>
      </c>
      <c r="J22" s="328">
        <v>83.5</v>
      </c>
      <c r="K22" s="328">
        <v>37.5</v>
      </c>
      <c r="L22" s="328">
        <v>15</v>
      </c>
      <c r="M22" s="328">
        <v>51</v>
      </c>
      <c r="N22" s="329">
        <v>27.5</v>
      </c>
      <c r="O22" s="330">
        <f t="shared" si="0"/>
        <v>1076.5</v>
      </c>
      <c r="P22" s="331">
        <f t="shared" si="1"/>
        <v>89.7</v>
      </c>
    </row>
    <row r="23" spans="2:16" s="62" customFormat="1" ht="21.95" customHeight="1">
      <c r="B23" s="327">
        <v>2007</v>
      </c>
      <c r="C23" s="328">
        <v>21.8</v>
      </c>
      <c r="D23" s="328">
        <v>47.8</v>
      </c>
      <c r="E23" s="328">
        <v>159</v>
      </c>
      <c r="F23" s="328">
        <v>28</v>
      </c>
      <c r="G23" s="328">
        <v>104</v>
      </c>
      <c r="H23" s="328">
        <v>101</v>
      </c>
      <c r="I23" s="328">
        <v>286</v>
      </c>
      <c r="J23" s="328">
        <v>319.5</v>
      </c>
      <c r="K23" s="328">
        <v>502.5</v>
      </c>
      <c r="L23" s="328">
        <v>37</v>
      </c>
      <c r="M23" s="328">
        <v>13</v>
      </c>
      <c r="N23" s="329">
        <v>31.7</v>
      </c>
      <c r="O23" s="330">
        <f t="shared" si="0"/>
        <v>1651.3</v>
      </c>
      <c r="P23" s="331">
        <f t="shared" si="1"/>
        <v>137.6</v>
      </c>
    </row>
    <row r="24" spans="2:16" s="62" customFormat="1" ht="21.95" customHeight="1">
      <c r="B24" s="327">
        <v>2008</v>
      </c>
      <c r="C24" s="328">
        <v>39.6</v>
      </c>
      <c r="D24" s="328">
        <v>11.2</v>
      </c>
      <c r="E24" s="328">
        <v>42.2</v>
      </c>
      <c r="F24" s="328">
        <v>38.799999999999997</v>
      </c>
      <c r="G24" s="328">
        <v>51.6</v>
      </c>
      <c r="H24" s="328">
        <v>260</v>
      </c>
      <c r="I24" s="328">
        <v>194.3</v>
      </c>
      <c r="J24" s="328">
        <v>154</v>
      </c>
      <c r="K24" s="328">
        <v>48.8</v>
      </c>
      <c r="L24" s="328">
        <v>24.1</v>
      </c>
      <c r="M24" s="328">
        <v>14.1</v>
      </c>
      <c r="N24" s="329">
        <v>23.4</v>
      </c>
      <c r="O24" s="330">
        <f t="shared" si="0"/>
        <v>902.1</v>
      </c>
      <c r="P24" s="331">
        <f t="shared" si="1"/>
        <v>75.2</v>
      </c>
    </row>
    <row r="25" spans="2:16" s="62" customFormat="1" ht="21.95" customHeight="1">
      <c r="B25" s="327">
        <v>2009</v>
      </c>
      <c r="C25" s="328">
        <v>10.6</v>
      </c>
      <c r="D25" s="328">
        <v>23.6</v>
      </c>
      <c r="E25" s="328">
        <v>63.9</v>
      </c>
      <c r="F25" s="328">
        <v>51</v>
      </c>
      <c r="G25" s="328">
        <v>135.5</v>
      </c>
      <c r="H25" s="328">
        <v>113.2</v>
      </c>
      <c r="I25" s="328">
        <v>408</v>
      </c>
      <c r="J25" s="328">
        <v>140.19999999999999</v>
      </c>
      <c r="K25" s="328">
        <v>30.5</v>
      </c>
      <c r="L25" s="328">
        <v>23.7</v>
      </c>
      <c r="M25" s="328">
        <v>54.5</v>
      </c>
      <c r="N25" s="329">
        <v>34.9</v>
      </c>
      <c r="O25" s="330">
        <f t="shared" si="0"/>
        <v>1089.5999999999999</v>
      </c>
      <c r="P25" s="331">
        <f t="shared" si="1"/>
        <v>90.8</v>
      </c>
    </row>
    <row r="26" spans="2:16" s="62" customFormat="1" ht="21.95" customHeight="1">
      <c r="B26" s="327">
        <v>2010</v>
      </c>
      <c r="C26" s="328">
        <v>37.1</v>
      </c>
      <c r="D26" s="328">
        <v>89.5</v>
      </c>
      <c r="E26" s="328">
        <v>94.9</v>
      </c>
      <c r="F26" s="328">
        <v>69.599999999999994</v>
      </c>
      <c r="G26" s="328">
        <v>140.69999999999999</v>
      </c>
      <c r="H26" s="328">
        <v>36.1</v>
      </c>
      <c r="I26" s="328">
        <v>262.10000000000002</v>
      </c>
      <c r="J26" s="328">
        <v>431.1</v>
      </c>
      <c r="K26" s="328">
        <v>149.80000000000001</v>
      </c>
      <c r="L26" s="328">
        <v>17.8</v>
      </c>
      <c r="M26" s="328">
        <v>18.600000000000001</v>
      </c>
      <c r="N26" s="329">
        <v>31</v>
      </c>
      <c r="O26" s="330">
        <f t="shared" si="0"/>
        <v>1378.3</v>
      </c>
      <c r="P26" s="331">
        <f t="shared" si="1"/>
        <v>114.9</v>
      </c>
    </row>
    <row r="27" spans="2:16" s="62" customFormat="1" ht="21.95" customHeight="1">
      <c r="B27" s="327">
        <v>2011</v>
      </c>
      <c r="C27" s="328">
        <v>3.7</v>
      </c>
      <c r="D27" s="328">
        <v>60.7</v>
      </c>
      <c r="E27" s="328">
        <v>16</v>
      </c>
      <c r="F27" s="328">
        <v>70</v>
      </c>
      <c r="G27" s="328">
        <v>111.2</v>
      </c>
      <c r="H27" s="328">
        <v>316</v>
      </c>
      <c r="I27" s="328">
        <v>599.6</v>
      </c>
      <c r="J27" s="328">
        <v>618.1</v>
      </c>
      <c r="K27" s="328">
        <v>104.2</v>
      </c>
      <c r="L27" s="328">
        <v>26.6</v>
      </c>
      <c r="M27" s="328">
        <v>81.599999999999994</v>
      </c>
      <c r="N27" s="329">
        <v>7</v>
      </c>
      <c r="O27" s="330">
        <f t="shared" si="0"/>
        <v>2014.7</v>
      </c>
      <c r="P27" s="331">
        <f t="shared" si="1"/>
        <v>167.9</v>
      </c>
    </row>
    <row r="28" spans="2:16" s="62" customFormat="1" ht="21.95" customHeight="1">
      <c r="B28" s="327">
        <v>2012</v>
      </c>
      <c r="C28" s="328">
        <v>16</v>
      </c>
      <c r="D28" s="328">
        <v>3.2</v>
      </c>
      <c r="E28" s="328">
        <v>60.2</v>
      </c>
      <c r="F28" s="328">
        <v>109.3</v>
      </c>
      <c r="G28" s="328">
        <v>19.5</v>
      </c>
      <c r="H28" s="328">
        <v>71.3</v>
      </c>
      <c r="I28" s="328">
        <v>302.89999999999998</v>
      </c>
      <c r="J28" s="328">
        <v>573.29999999999995</v>
      </c>
      <c r="K28" s="328">
        <v>186.2</v>
      </c>
      <c r="L28" s="328">
        <v>83</v>
      </c>
      <c r="M28" s="328">
        <v>60.7</v>
      </c>
      <c r="N28" s="329">
        <v>60.2</v>
      </c>
      <c r="O28" s="330">
        <f t="shared" si="0"/>
        <v>1545.8</v>
      </c>
      <c r="P28" s="331">
        <f t="shared" si="1"/>
        <v>128.80000000000001</v>
      </c>
    </row>
    <row r="29" spans="2:16" s="62" customFormat="1" ht="21.95" customHeight="1">
      <c r="B29" s="327">
        <v>2013</v>
      </c>
      <c r="C29" s="328">
        <v>45.4</v>
      </c>
      <c r="D29" s="328">
        <v>58.7</v>
      </c>
      <c r="E29" s="328">
        <v>50.3</v>
      </c>
      <c r="F29" s="328">
        <v>93.7</v>
      </c>
      <c r="G29" s="328">
        <v>159</v>
      </c>
      <c r="H29" s="328">
        <v>151.69999999999999</v>
      </c>
      <c r="I29" s="328">
        <v>240.4</v>
      </c>
      <c r="J29" s="328">
        <v>119.5</v>
      </c>
      <c r="K29" s="328">
        <v>184.8</v>
      </c>
      <c r="L29" s="328">
        <v>18.100000000000001</v>
      </c>
      <c r="M29" s="328">
        <v>79.900000000000006</v>
      </c>
      <c r="N29" s="329">
        <v>35.9</v>
      </c>
      <c r="O29" s="330">
        <f t="shared" si="0"/>
        <v>1237.4000000000001</v>
      </c>
      <c r="P29" s="331">
        <f t="shared" si="1"/>
        <v>103.1</v>
      </c>
    </row>
    <row r="30" spans="2:16" s="62" customFormat="1" ht="21.95" customHeight="1">
      <c r="B30" s="327">
        <v>2014</v>
      </c>
      <c r="C30" s="328">
        <v>2.2000000000000002</v>
      </c>
      <c r="D30" s="328">
        <v>15.3</v>
      </c>
      <c r="E30" s="328">
        <v>69.3</v>
      </c>
      <c r="F30" s="328">
        <v>94.1</v>
      </c>
      <c r="G30" s="328">
        <v>61.5</v>
      </c>
      <c r="H30" s="328">
        <v>77.8</v>
      </c>
      <c r="I30" s="328">
        <v>174.7</v>
      </c>
      <c r="J30" s="328">
        <v>225.1</v>
      </c>
      <c r="K30" s="328">
        <v>157.5</v>
      </c>
      <c r="L30" s="328">
        <v>170.5</v>
      </c>
      <c r="M30" s="328">
        <v>42.4</v>
      </c>
      <c r="N30" s="329">
        <v>51.7</v>
      </c>
      <c r="O30" s="330">
        <f t="shared" si="0"/>
        <v>1142.0999999999999</v>
      </c>
      <c r="P30" s="331">
        <f t="shared" si="1"/>
        <v>95.2</v>
      </c>
    </row>
    <row r="31" spans="2:16" s="62" customFormat="1" ht="21.95" customHeight="1">
      <c r="B31" s="327">
        <v>2015</v>
      </c>
      <c r="C31" s="328">
        <v>35.4</v>
      </c>
      <c r="D31" s="328">
        <v>35.6</v>
      </c>
      <c r="E31" s="328">
        <v>42.4</v>
      </c>
      <c r="F31" s="328">
        <v>99.5</v>
      </c>
      <c r="G31" s="328">
        <v>53.5</v>
      </c>
      <c r="H31" s="328">
        <v>92.7</v>
      </c>
      <c r="I31" s="328">
        <v>119.9</v>
      </c>
      <c r="J31" s="328">
        <v>56.9</v>
      </c>
      <c r="K31" s="328">
        <v>22</v>
      </c>
      <c r="L31" s="328">
        <v>104</v>
      </c>
      <c r="M31" s="328">
        <v>126.1</v>
      </c>
      <c r="N31" s="329">
        <v>56.9</v>
      </c>
      <c r="O31" s="330">
        <f t="shared" si="0"/>
        <v>844.9</v>
      </c>
      <c r="P31" s="331">
        <f t="shared" si="1"/>
        <v>70.400000000000006</v>
      </c>
    </row>
    <row r="32" spans="2:16" s="62" customFormat="1" ht="21.95" customHeight="1">
      <c r="B32" s="327">
        <v>2016</v>
      </c>
      <c r="C32" s="328">
        <v>6.6</v>
      </c>
      <c r="D32" s="328">
        <v>59.6</v>
      </c>
      <c r="E32" s="328">
        <v>19</v>
      </c>
      <c r="F32" s="328">
        <v>164.6</v>
      </c>
      <c r="G32" s="328">
        <v>121.6</v>
      </c>
      <c r="H32" s="328">
        <v>49.4</v>
      </c>
      <c r="I32" s="328">
        <v>341.1</v>
      </c>
      <c r="J32" s="328">
        <v>33.4</v>
      </c>
      <c r="K32" s="328">
        <v>133.69999999999999</v>
      </c>
      <c r="L32" s="328">
        <v>120.1</v>
      </c>
      <c r="M32" s="328">
        <v>17.100000000000001</v>
      </c>
      <c r="N32" s="329">
        <v>63.1</v>
      </c>
      <c r="O32" s="330">
        <f t="shared" si="0"/>
        <v>1129.3</v>
      </c>
      <c r="P32" s="331">
        <f t="shared" si="1"/>
        <v>94.1</v>
      </c>
    </row>
    <row r="33" spans="2:16" s="62" customFormat="1" ht="21.95" customHeight="1">
      <c r="B33" s="327">
        <v>2017</v>
      </c>
      <c r="C33" s="328">
        <v>16</v>
      </c>
      <c r="D33" s="328">
        <v>28.5</v>
      </c>
      <c r="E33" s="328">
        <v>8.8000000000000007</v>
      </c>
      <c r="F33" s="328">
        <v>78.400000000000006</v>
      </c>
      <c r="G33" s="328">
        <v>35.799999999999997</v>
      </c>
      <c r="H33" s="328">
        <v>51.4</v>
      </c>
      <c r="I33" s="328">
        <v>326.7</v>
      </c>
      <c r="J33" s="328">
        <v>358.4</v>
      </c>
      <c r="K33" s="328">
        <v>97.1</v>
      </c>
      <c r="L33" s="328">
        <v>51.9</v>
      </c>
      <c r="M33" s="328">
        <v>20.8</v>
      </c>
      <c r="N33" s="329">
        <v>36.1</v>
      </c>
      <c r="O33" s="330">
        <f t="shared" si="0"/>
        <v>1109.9000000000001</v>
      </c>
      <c r="P33" s="331">
        <f t="shared" si="1"/>
        <v>92.5</v>
      </c>
    </row>
    <row r="34" spans="2:16" s="62" customFormat="1" ht="21.95" customHeight="1">
      <c r="B34" s="327">
        <v>2018</v>
      </c>
      <c r="C34" s="328">
        <v>25</v>
      </c>
      <c r="D34" s="328">
        <v>43.1</v>
      </c>
      <c r="E34" s="328">
        <v>99.3</v>
      </c>
      <c r="F34" s="328">
        <v>156.5</v>
      </c>
      <c r="G34" s="328">
        <v>116.1</v>
      </c>
      <c r="H34" s="328">
        <v>107.1</v>
      </c>
      <c r="I34" s="328">
        <v>278.8</v>
      </c>
      <c r="J34" s="328">
        <v>277</v>
      </c>
      <c r="K34" s="328">
        <v>98.3</v>
      </c>
      <c r="L34" s="328">
        <v>159.19999999999999</v>
      </c>
      <c r="M34" s="328">
        <v>66</v>
      </c>
      <c r="N34" s="329">
        <v>31.5</v>
      </c>
      <c r="O34" s="330">
        <f t="shared" si="0"/>
        <v>1457.9</v>
      </c>
      <c r="P34" s="331">
        <f t="shared" si="1"/>
        <v>121.5</v>
      </c>
    </row>
    <row r="35" spans="2:16" s="62" customFormat="1" ht="21.95" customHeight="1" thickBot="1">
      <c r="B35" s="332">
        <v>2019</v>
      </c>
      <c r="C35" s="328">
        <v>0.5</v>
      </c>
      <c r="D35" s="328">
        <v>37.6</v>
      </c>
      <c r="E35" s="328">
        <v>35</v>
      </c>
      <c r="F35" s="328">
        <v>73.7</v>
      </c>
      <c r="G35" s="328">
        <v>44.3</v>
      </c>
      <c r="H35" s="328">
        <v>59.9</v>
      </c>
      <c r="I35" s="328">
        <v>216.7</v>
      </c>
      <c r="J35" s="328">
        <v>102.1</v>
      </c>
      <c r="K35" s="328">
        <v>191.9</v>
      </c>
      <c r="L35" s="328">
        <v>85.6</v>
      </c>
      <c r="M35" s="328">
        <v>113.5</v>
      </c>
      <c r="N35" s="328">
        <v>31.2</v>
      </c>
      <c r="O35" s="333">
        <f t="shared" si="0"/>
        <v>992</v>
      </c>
      <c r="P35" s="334">
        <f t="shared" si="1"/>
        <v>82.7</v>
      </c>
    </row>
    <row r="36" spans="2:16" s="62" customFormat="1" ht="21.95" customHeight="1">
      <c r="B36" s="174" t="s">
        <v>48</v>
      </c>
      <c r="C36" s="335">
        <f>ROUND(MAX(C6:C35),1)</f>
        <v>72.3</v>
      </c>
      <c r="D36" s="335">
        <f t="shared" ref="D36:N36" si="2">ROUND(MAX(D6:D35),1)</f>
        <v>108.1</v>
      </c>
      <c r="E36" s="335">
        <f t="shared" si="2"/>
        <v>159</v>
      </c>
      <c r="F36" s="335">
        <f t="shared" si="2"/>
        <v>208.5</v>
      </c>
      <c r="G36" s="335">
        <f t="shared" si="2"/>
        <v>229.5</v>
      </c>
      <c r="H36" s="335">
        <f t="shared" si="2"/>
        <v>388</v>
      </c>
      <c r="I36" s="335">
        <f t="shared" si="2"/>
        <v>626.5</v>
      </c>
      <c r="J36" s="335">
        <f t="shared" si="2"/>
        <v>839</v>
      </c>
      <c r="K36" s="335">
        <f t="shared" si="2"/>
        <v>502.5</v>
      </c>
      <c r="L36" s="335">
        <f t="shared" si="2"/>
        <v>290</v>
      </c>
      <c r="M36" s="335">
        <f t="shared" si="2"/>
        <v>219.5</v>
      </c>
      <c r="N36" s="336">
        <f t="shared" si="2"/>
        <v>63.1</v>
      </c>
      <c r="O36" s="337">
        <f>ROUND(MAX(O6:O35),1)</f>
        <v>2014.7</v>
      </c>
      <c r="P36" s="338">
        <f>ROUND(MAX(P6:P35),1)</f>
        <v>167.9</v>
      </c>
    </row>
    <row r="37" spans="2:16" s="62" customFormat="1" ht="21.95" customHeight="1">
      <c r="B37" s="327" t="s">
        <v>49</v>
      </c>
      <c r="C37" s="339">
        <f>ROUND(MIN(C6:C35),1)</f>
        <v>0.5</v>
      </c>
      <c r="D37" s="339">
        <f t="shared" ref="D37:N37" si="3">ROUND(MIN(D6:D35),1)</f>
        <v>2.2999999999999998</v>
      </c>
      <c r="E37" s="339">
        <f t="shared" si="3"/>
        <v>7.8</v>
      </c>
      <c r="F37" s="339">
        <f t="shared" si="3"/>
        <v>25</v>
      </c>
      <c r="G37" s="339">
        <f t="shared" si="3"/>
        <v>19.5</v>
      </c>
      <c r="H37" s="339">
        <f t="shared" si="3"/>
        <v>34.5</v>
      </c>
      <c r="I37" s="339">
        <f t="shared" si="3"/>
        <v>96.5</v>
      </c>
      <c r="J37" s="339">
        <f t="shared" si="3"/>
        <v>33.4</v>
      </c>
      <c r="K37" s="339">
        <f t="shared" si="3"/>
        <v>10.5</v>
      </c>
      <c r="L37" s="339">
        <f t="shared" si="3"/>
        <v>1</v>
      </c>
      <c r="M37" s="339">
        <f t="shared" si="3"/>
        <v>10.5</v>
      </c>
      <c r="N37" s="331">
        <f t="shared" si="3"/>
        <v>3.5</v>
      </c>
      <c r="O37" s="340">
        <f>ROUND(MIN(O6:O35),1)</f>
        <v>752.6</v>
      </c>
      <c r="P37" s="329">
        <f>ROUND(MIN(P6:P35),1)</f>
        <v>62.7</v>
      </c>
    </row>
    <row r="38" spans="2:16" s="62" customFormat="1" ht="21.95" customHeight="1" thickBot="1">
      <c r="B38" s="175" t="s">
        <v>59</v>
      </c>
      <c r="C38" s="341">
        <f>ROUND(AVERAGE(C6:C35),1)</f>
        <v>24.5</v>
      </c>
      <c r="D38" s="341">
        <f t="shared" ref="D38:N38" si="4">ROUND(AVERAGE(D6:D35),1)</f>
        <v>38.1</v>
      </c>
      <c r="E38" s="341">
        <f t="shared" si="4"/>
        <v>53.4</v>
      </c>
      <c r="F38" s="341">
        <f t="shared" si="4"/>
        <v>87.9</v>
      </c>
      <c r="G38" s="341">
        <f t="shared" si="4"/>
        <v>97.8</v>
      </c>
      <c r="H38" s="341">
        <f t="shared" si="4"/>
        <v>161.80000000000001</v>
      </c>
      <c r="I38" s="341">
        <f t="shared" si="4"/>
        <v>292.3</v>
      </c>
      <c r="J38" s="341">
        <f t="shared" si="4"/>
        <v>279</v>
      </c>
      <c r="K38" s="341">
        <f t="shared" si="4"/>
        <v>144.1</v>
      </c>
      <c r="L38" s="341">
        <f t="shared" si="4"/>
        <v>63.6</v>
      </c>
      <c r="M38" s="341">
        <f t="shared" si="4"/>
        <v>52.1</v>
      </c>
      <c r="N38" s="342">
        <f t="shared" si="4"/>
        <v>32.200000000000003</v>
      </c>
      <c r="O38" s="343">
        <f>ROUND(AVERAGE(O6:O35),1)</f>
        <v>1326.8</v>
      </c>
      <c r="P38" s="344">
        <f>ROUND(AVERAGE(P6:P35),1)</f>
        <v>110.6</v>
      </c>
    </row>
    <row r="39" spans="2:16" s="62" customFormat="1" ht="21.95" customHeight="1">
      <c r="B39" s="61"/>
    </row>
    <row r="40" spans="2:16" s="62" customFormat="1" ht="21.95" customHeight="1">
      <c r="B40" s="61"/>
    </row>
    <row r="41" spans="2:16" s="62" customFormat="1" ht="21.95" customHeight="1">
      <c r="B41" s="61"/>
    </row>
    <row r="42" spans="2:16" s="62" customFormat="1" ht="21.95" customHeight="1" thickBot="1">
      <c r="B42" s="61"/>
    </row>
    <row r="43" spans="2:16" s="62" customFormat="1" ht="21.95" customHeight="1">
      <c r="B43" s="345" t="s">
        <v>54</v>
      </c>
      <c r="C43" s="346" t="s">
        <v>43</v>
      </c>
      <c r="D43" s="346" t="s">
        <v>44</v>
      </c>
      <c r="E43" s="346" t="s">
        <v>45</v>
      </c>
      <c r="F43" s="346" t="s">
        <v>46</v>
      </c>
      <c r="G43" s="346" t="s">
        <v>47</v>
      </c>
      <c r="H43" s="346" t="s">
        <v>12</v>
      </c>
      <c r="I43" s="346" t="s">
        <v>13</v>
      </c>
      <c r="J43" s="346" t="s">
        <v>14</v>
      </c>
      <c r="K43" s="346" t="s">
        <v>15</v>
      </c>
      <c r="L43" s="346" t="s">
        <v>16</v>
      </c>
      <c r="M43" s="346" t="s">
        <v>17</v>
      </c>
      <c r="N43" s="347" t="s">
        <v>18</v>
      </c>
      <c r="O43" s="348" t="s">
        <v>57</v>
      </c>
      <c r="P43" s="347" t="s">
        <v>41</v>
      </c>
    </row>
    <row r="44" spans="2:16" s="62" customFormat="1" ht="21.95" customHeight="1">
      <c r="B44" s="349">
        <v>2010</v>
      </c>
      <c r="C44" s="328">
        <v>37.1</v>
      </c>
      <c r="D44" s="328">
        <v>89.5</v>
      </c>
      <c r="E44" s="328">
        <v>94.9</v>
      </c>
      <c r="F44" s="328">
        <v>69.599999999999994</v>
      </c>
      <c r="G44" s="328">
        <v>140.69999999999999</v>
      </c>
      <c r="H44" s="328">
        <v>36.1</v>
      </c>
      <c r="I44" s="328">
        <v>262.10000000000002</v>
      </c>
      <c r="J44" s="328">
        <v>431.1</v>
      </c>
      <c r="K44" s="328">
        <v>149.80000000000001</v>
      </c>
      <c r="L44" s="328">
        <v>17.8</v>
      </c>
      <c r="M44" s="328">
        <v>18.600000000000001</v>
      </c>
      <c r="N44" s="329">
        <v>31</v>
      </c>
      <c r="O44" s="350">
        <f>ROUND(SUM(C44:N44),1)</f>
        <v>1378.3</v>
      </c>
      <c r="P44" s="329">
        <f>ROUND(O44/12,1)</f>
        <v>114.9</v>
      </c>
    </row>
    <row r="45" spans="2:16" s="62" customFormat="1" ht="21.95" customHeight="1">
      <c r="B45" s="349">
        <v>2011</v>
      </c>
      <c r="C45" s="328">
        <v>3.7</v>
      </c>
      <c r="D45" s="328">
        <v>60.7</v>
      </c>
      <c r="E45" s="328">
        <v>16</v>
      </c>
      <c r="F45" s="328">
        <v>70</v>
      </c>
      <c r="G45" s="328">
        <v>111.2</v>
      </c>
      <c r="H45" s="328">
        <v>316</v>
      </c>
      <c r="I45" s="328">
        <v>599.6</v>
      </c>
      <c r="J45" s="328">
        <v>618.1</v>
      </c>
      <c r="K45" s="328">
        <v>104.2</v>
      </c>
      <c r="L45" s="328">
        <v>26.6</v>
      </c>
      <c r="M45" s="328">
        <v>81.599999999999994</v>
      </c>
      <c r="N45" s="329">
        <v>7</v>
      </c>
      <c r="O45" s="350">
        <f t="shared" ref="O45:O53" si="5">ROUND(SUM(C45:N45),1)</f>
        <v>2014.7</v>
      </c>
      <c r="P45" s="329">
        <f t="shared" ref="P45:P53" si="6">ROUND(O45/12,1)</f>
        <v>167.9</v>
      </c>
    </row>
    <row r="46" spans="2:16" s="62" customFormat="1" ht="21.95" customHeight="1">
      <c r="B46" s="349">
        <v>2012</v>
      </c>
      <c r="C46" s="328">
        <v>16</v>
      </c>
      <c r="D46" s="328">
        <v>3.2</v>
      </c>
      <c r="E46" s="328">
        <v>60.2</v>
      </c>
      <c r="F46" s="328">
        <v>109.3</v>
      </c>
      <c r="G46" s="328">
        <v>19.5</v>
      </c>
      <c r="H46" s="328">
        <v>71.3</v>
      </c>
      <c r="I46" s="328">
        <v>302.89999999999998</v>
      </c>
      <c r="J46" s="328">
        <v>573.29999999999995</v>
      </c>
      <c r="K46" s="328">
        <v>186.2</v>
      </c>
      <c r="L46" s="328">
        <v>83</v>
      </c>
      <c r="M46" s="328">
        <v>60.7</v>
      </c>
      <c r="N46" s="329">
        <v>60.2</v>
      </c>
      <c r="O46" s="350">
        <f t="shared" si="5"/>
        <v>1545.8</v>
      </c>
      <c r="P46" s="329">
        <f t="shared" si="6"/>
        <v>128.80000000000001</v>
      </c>
    </row>
    <row r="47" spans="2:16" s="62" customFormat="1" ht="21.95" customHeight="1">
      <c r="B47" s="349">
        <v>2013</v>
      </c>
      <c r="C47" s="328">
        <v>45.4</v>
      </c>
      <c r="D47" s="328">
        <v>58.7</v>
      </c>
      <c r="E47" s="328">
        <v>50.3</v>
      </c>
      <c r="F47" s="328">
        <v>93.7</v>
      </c>
      <c r="G47" s="328">
        <v>159</v>
      </c>
      <c r="H47" s="328">
        <v>151.69999999999999</v>
      </c>
      <c r="I47" s="328">
        <v>240.4</v>
      </c>
      <c r="J47" s="328">
        <v>119.5</v>
      </c>
      <c r="K47" s="328">
        <v>184.8</v>
      </c>
      <c r="L47" s="328">
        <v>18.100000000000001</v>
      </c>
      <c r="M47" s="328">
        <v>79.900000000000006</v>
      </c>
      <c r="N47" s="329">
        <v>35.9</v>
      </c>
      <c r="O47" s="350">
        <f t="shared" si="5"/>
        <v>1237.4000000000001</v>
      </c>
      <c r="P47" s="329">
        <f t="shared" si="6"/>
        <v>103.1</v>
      </c>
    </row>
    <row r="48" spans="2:16" s="62" customFormat="1" ht="21.95" customHeight="1">
      <c r="B48" s="349">
        <v>2014</v>
      </c>
      <c r="C48" s="328">
        <v>2.2000000000000002</v>
      </c>
      <c r="D48" s="328">
        <v>15.3</v>
      </c>
      <c r="E48" s="328">
        <v>69.3</v>
      </c>
      <c r="F48" s="328">
        <v>94.1</v>
      </c>
      <c r="G48" s="328">
        <v>61.5</v>
      </c>
      <c r="H48" s="328">
        <v>77.8</v>
      </c>
      <c r="I48" s="328">
        <v>174.7</v>
      </c>
      <c r="J48" s="328">
        <v>225.1</v>
      </c>
      <c r="K48" s="328">
        <v>157.5</v>
      </c>
      <c r="L48" s="328">
        <v>170.5</v>
      </c>
      <c r="M48" s="328">
        <v>42.4</v>
      </c>
      <c r="N48" s="329">
        <v>51.7</v>
      </c>
      <c r="O48" s="350">
        <f t="shared" si="5"/>
        <v>1142.0999999999999</v>
      </c>
      <c r="P48" s="329">
        <f t="shared" si="6"/>
        <v>95.2</v>
      </c>
    </row>
    <row r="49" spans="2:16" s="62" customFormat="1" ht="21.95" customHeight="1">
      <c r="B49" s="349">
        <v>2015</v>
      </c>
      <c r="C49" s="328">
        <v>35.4</v>
      </c>
      <c r="D49" s="328">
        <v>35.6</v>
      </c>
      <c r="E49" s="328">
        <v>42.4</v>
      </c>
      <c r="F49" s="328">
        <v>99.5</v>
      </c>
      <c r="G49" s="328">
        <v>53.5</v>
      </c>
      <c r="H49" s="328">
        <v>92.7</v>
      </c>
      <c r="I49" s="328">
        <v>119.9</v>
      </c>
      <c r="J49" s="328">
        <v>56.9</v>
      </c>
      <c r="K49" s="328">
        <v>22</v>
      </c>
      <c r="L49" s="328">
        <v>104</v>
      </c>
      <c r="M49" s="328">
        <v>126.1</v>
      </c>
      <c r="N49" s="329">
        <v>56.9</v>
      </c>
      <c r="O49" s="350">
        <f t="shared" si="5"/>
        <v>844.9</v>
      </c>
      <c r="P49" s="329">
        <f t="shared" si="6"/>
        <v>70.400000000000006</v>
      </c>
    </row>
    <row r="50" spans="2:16" s="62" customFormat="1" ht="21.95" customHeight="1">
      <c r="B50" s="349">
        <v>2016</v>
      </c>
      <c r="C50" s="328">
        <v>6.6</v>
      </c>
      <c r="D50" s="328">
        <v>59.6</v>
      </c>
      <c r="E50" s="328">
        <v>19</v>
      </c>
      <c r="F50" s="328">
        <v>164.6</v>
      </c>
      <c r="G50" s="328">
        <v>121.6</v>
      </c>
      <c r="H50" s="328">
        <v>49.4</v>
      </c>
      <c r="I50" s="328">
        <v>341.1</v>
      </c>
      <c r="J50" s="328">
        <v>33.4</v>
      </c>
      <c r="K50" s="328">
        <v>133.69999999999999</v>
      </c>
      <c r="L50" s="328">
        <v>120.1</v>
      </c>
      <c r="M50" s="328">
        <v>17.100000000000001</v>
      </c>
      <c r="N50" s="329">
        <v>63.1</v>
      </c>
      <c r="O50" s="350">
        <f t="shared" si="5"/>
        <v>1129.3</v>
      </c>
      <c r="P50" s="329">
        <f t="shared" si="6"/>
        <v>94.1</v>
      </c>
    </row>
    <row r="51" spans="2:16" s="62" customFormat="1" ht="21.95" customHeight="1">
      <c r="B51" s="349">
        <v>2017</v>
      </c>
      <c r="C51" s="328">
        <v>16</v>
      </c>
      <c r="D51" s="328">
        <v>28.5</v>
      </c>
      <c r="E51" s="328">
        <v>8.8000000000000007</v>
      </c>
      <c r="F51" s="328">
        <v>78.400000000000006</v>
      </c>
      <c r="G51" s="328">
        <v>35.799999999999997</v>
      </c>
      <c r="H51" s="328">
        <v>51.4</v>
      </c>
      <c r="I51" s="328">
        <v>326.7</v>
      </c>
      <c r="J51" s="328">
        <v>358.4</v>
      </c>
      <c r="K51" s="328">
        <v>97.1</v>
      </c>
      <c r="L51" s="328">
        <v>51.9</v>
      </c>
      <c r="M51" s="328">
        <v>20.8</v>
      </c>
      <c r="N51" s="329">
        <v>36.1</v>
      </c>
      <c r="O51" s="350">
        <f t="shared" si="5"/>
        <v>1109.9000000000001</v>
      </c>
      <c r="P51" s="329">
        <f t="shared" si="6"/>
        <v>92.5</v>
      </c>
    </row>
    <row r="52" spans="2:16" s="62" customFormat="1" ht="21.95" customHeight="1">
      <c r="B52" s="349">
        <v>2018</v>
      </c>
      <c r="C52" s="328">
        <v>25</v>
      </c>
      <c r="D52" s="328">
        <v>43.1</v>
      </c>
      <c r="E52" s="328">
        <v>99.3</v>
      </c>
      <c r="F52" s="328">
        <v>156.5</v>
      </c>
      <c r="G52" s="328">
        <v>116.1</v>
      </c>
      <c r="H52" s="328">
        <v>107.1</v>
      </c>
      <c r="I52" s="328">
        <v>278.8</v>
      </c>
      <c r="J52" s="328">
        <v>277</v>
      </c>
      <c r="K52" s="328">
        <v>98.3</v>
      </c>
      <c r="L52" s="328">
        <v>159.19999999999999</v>
      </c>
      <c r="M52" s="328">
        <v>66</v>
      </c>
      <c r="N52" s="329">
        <v>31.5</v>
      </c>
      <c r="O52" s="350">
        <f t="shared" si="5"/>
        <v>1457.9</v>
      </c>
      <c r="P52" s="329">
        <f t="shared" si="6"/>
        <v>121.5</v>
      </c>
    </row>
    <row r="53" spans="2:16" s="62" customFormat="1" ht="21.95" customHeight="1" thickBot="1">
      <c r="B53" s="332">
        <v>2019</v>
      </c>
      <c r="C53" s="351">
        <v>0.5</v>
      </c>
      <c r="D53" s="351">
        <v>37.6</v>
      </c>
      <c r="E53" s="351">
        <v>35</v>
      </c>
      <c r="F53" s="351">
        <v>73.7</v>
      </c>
      <c r="G53" s="351">
        <v>44.3</v>
      </c>
      <c r="H53" s="351">
        <v>59.9</v>
      </c>
      <c r="I53" s="351">
        <v>216.7</v>
      </c>
      <c r="J53" s="351">
        <v>102.1</v>
      </c>
      <c r="K53" s="351">
        <v>191.9</v>
      </c>
      <c r="L53" s="351">
        <v>85.6</v>
      </c>
      <c r="M53" s="351">
        <v>113.5</v>
      </c>
      <c r="N53" s="352">
        <v>31.2</v>
      </c>
      <c r="O53" s="353">
        <f t="shared" si="5"/>
        <v>992</v>
      </c>
      <c r="P53" s="352">
        <f t="shared" si="6"/>
        <v>82.7</v>
      </c>
    </row>
    <row r="54" spans="2:16" s="62" customFormat="1" ht="21.95" customHeight="1">
      <c r="B54" s="354" t="s">
        <v>60</v>
      </c>
      <c r="C54" s="355">
        <f>MAX(C44:C53)</f>
        <v>45.4</v>
      </c>
      <c r="D54" s="355">
        <f t="shared" ref="D54:P54" si="7">MAX(D44:D53)</f>
        <v>89.5</v>
      </c>
      <c r="E54" s="355">
        <f t="shared" si="7"/>
        <v>99.3</v>
      </c>
      <c r="F54" s="355">
        <f t="shared" si="7"/>
        <v>164.6</v>
      </c>
      <c r="G54" s="355">
        <f t="shared" si="7"/>
        <v>159</v>
      </c>
      <c r="H54" s="355">
        <f t="shared" si="7"/>
        <v>316</v>
      </c>
      <c r="I54" s="355">
        <f t="shared" si="7"/>
        <v>599.6</v>
      </c>
      <c r="J54" s="355">
        <f t="shared" si="7"/>
        <v>618.1</v>
      </c>
      <c r="K54" s="355">
        <f t="shared" si="7"/>
        <v>191.9</v>
      </c>
      <c r="L54" s="355">
        <f t="shared" si="7"/>
        <v>170.5</v>
      </c>
      <c r="M54" s="355">
        <f t="shared" si="7"/>
        <v>126.1</v>
      </c>
      <c r="N54" s="338">
        <f t="shared" si="7"/>
        <v>63.1</v>
      </c>
      <c r="O54" s="356">
        <f t="shared" si="7"/>
        <v>2014.7</v>
      </c>
      <c r="P54" s="338">
        <f t="shared" si="7"/>
        <v>167.9</v>
      </c>
    </row>
    <row r="55" spans="2:16" s="62" customFormat="1" ht="21.95" customHeight="1">
      <c r="B55" s="357" t="s">
        <v>61</v>
      </c>
      <c r="C55" s="328">
        <f>MIN(C44:C53)</f>
        <v>0.5</v>
      </c>
      <c r="D55" s="328">
        <f t="shared" ref="D55:P55" si="8">MIN(D44:D53)</f>
        <v>3.2</v>
      </c>
      <c r="E55" s="328">
        <f t="shared" si="8"/>
        <v>8.8000000000000007</v>
      </c>
      <c r="F55" s="328">
        <f t="shared" si="8"/>
        <v>69.599999999999994</v>
      </c>
      <c r="G55" s="328">
        <f t="shared" si="8"/>
        <v>19.5</v>
      </c>
      <c r="H55" s="328">
        <f t="shared" si="8"/>
        <v>36.1</v>
      </c>
      <c r="I55" s="328">
        <f t="shared" si="8"/>
        <v>119.9</v>
      </c>
      <c r="J55" s="328">
        <f t="shared" si="8"/>
        <v>33.4</v>
      </c>
      <c r="K55" s="328">
        <f t="shared" si="8"/>
        <v>22</v>
      </c>
      <c r="L55" s="328">
        <f t="shared" si="8"/>
        <v>17.8</v>
      </c>
      <c r="M55" s="328">
        <f t="shared" si="8"/>
        <v>17.100000000000001</v>
      </c>
      <c r="N55" s="329">
        <f t="shared" si="8"/>
        <v>7</v>
      </c>
      <c r="O55" s="350">
        <f>MIN(O44:O53)</f>
        <v>844.9</v>
      </c>
      <c r="P55" s="329">
        <f t="shared" si="8"/>
        <v>70.400000000000006</v>
      </c>
    </row>
    <row r="56" spans="2:16" s="62" customFormat="1" ht="21.95" customHeight="1" thickBot="1">
      <c r="B56" s="358" t="s">
        <v>41</v>
      </c>
      <c r="C56" s="359">
        <f>ROUND(AVERAGE(C44:C53),1)</f>
        <v>18.8</v>
      </c>
      <c r="D56" s="359">
        <f t="shared" ref="D56:N56" si="9">ROUND(AVERAGE(D44:D53),1)</f>
        <v>43.2</v>
      </c>
      <c r="E56" s="359">
        <f t="shared" si="9"/>
        <v>49.5</v>
      </c>
      <c r="F56" s="359">
        <f t="shared" si="9"/>
        <v>100.9</v>
      </c>
      <c r="G56" s="359">
        <f t="shared" si="9"/>
        <v>86.3</v>
      </c>
      <c r="H56" s="359">
        <f t="shared" si="9"/>
        <v>101.3</v>
      </c>
      <c r="I56" s="359">
        <f t="shared" si="9"/>
        <v>286.3</v>
      </c>
      <c r="J56" s="359">
        <f t="shared" si="9"/>
        <v>279.5</v>
      </c>
      <c r="K56" s="359">
        <f t="shared" si="9"/>
        <v>132.6</v>
      </c>
      <c r="L56" s="359">
        <f t="shared" si="9"/>
        <v>83.7</v>
      </c>
      <c r="M56" s="359">
        <f t="shared" si="9"/>
        <v>62.7</v>
      </c>
      <c r="N56" s="344">
        <f t="shared" si="9"/>
        <v>40.5</v>
      </c>
      <c r="O56" s="360">
        <f>ROUND(AVERAGE(O44:O53),1)</f>
        <v>1285.2</v>
      </c>
      <c r="P56" s="344">
        <f>ROUND(AVERAGE(P44:P53),1)</f>
        <v>107.1</v>
      </c>
    </row>
    <row r="57" spans="2:16" s="62" customFormat="1" ht="24" customHeight="1">
      <c r="B57" s="61"/>
    </row>
  </sheetData>
  <mergeCells count="1">
    <mergeCell ref="B2:L2"/>
  </mergeCells>
  <phoneticPr fontId="7" type="noConversion"/>
  <pageMargins left="0.7" right="0.7" top="0.75" bottom="0.75" header="0.3" footer="0.3"/>
  <pageSetup paperSize="9" orientation="portrait" r:id="rId1"/>
  <ignoredErrors>
    <ignoredError sqref="O44:O53 O6:O35" formulaRange="1"/>
  </ignoredErrors>
  <drawing r:id="rId2"/>
  <legacyDrawing r:id="rId3"/>
  <controls>
    <mc:AlternateContent xmlns:mc="http://schemas.openxmlformats.org/markup-compatibility/2006">
      <mc:Choice Requires="x14">
        <control shapeId="83969" r:id="rId4" name="CommandButton1">
          <controlPr defaultSize="0" autoLine="0" r:id="rId5">
            <anchor moveWithCells="1">
              <from>
                <xdr:col>16</xdr:col>
                <xdr:colOff>542925</xdr:colOff>
                <xdr:row>4</xdr:row>
                <xdr:rowOff>9525</xdr:rowOff>
              </from>
              <to>
                <xdr:col>18</xdr:col>
                <xdr:colOff>428625</xdr:colOff>
                <xdr:row>5</xdr:row>
                <xdr:rowOff>152400</xdr:rowOff>
              </to>
            </anchor>
          </controlPr>
        </control>
      </mc:Choice>
      <mc:Fallback>
        <control shapeId="83969" r:id="rId4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2:P33"/>
  <sheetViews>
    <sheetView topLeftCell="A10" workbookViewId="0">
      <selection activeCell="C52" sqref="C52"/>
    </sheetView>
  </sheetViews>
  <sheetFormatPr defaultColWidth="8.88671875" defaultRowHeight="16.5"/>
  <cols>
    <col min="1" max="2" width="8.88671875" style="207"/>
    <col min="3" max="3" width="8" style="207" customWidth="1"/>
    <col min="4" max="16384" width="8.88671875" style="207"/>
  </cols>
  <sheetData>
    <row r="2" spans="2:16" s="207" customFormat="1">
      <c r="B2" s="207" t="s">
        <v>37</v>
      </c>
    </row>
    <row r="4" spans="2:16" s="207" customFormat="1">
      <c r="B4" s="206" t="s">
        <v>38</v>
      </c>
    </row>
    <row r="6" spans="2:16" s="207" customFormat="1" ht="17.25" thickBot="1">
      <c r="O6" s="207" t="s">
        <v>39</v>
      </c>
    </row>
    <row r="7" spans="2:16" s="207" customFormat="1">
      <c r="B7" s="305"/>
      <c r="C7" s="306" t="s">
        <v>7</v>
      </c>
      <c r="D7" s="306" t="s">
        <v>8</v>
      </c>
      <c r="E7" s="306" t="s">
        <v>9</v>
      </c>
      <c r="F7" s="306" t="s">
        <v>10</v>
      </c>
      <c r="G7" s="306" t="s">
        <v>11</v>
      </c>
      <c r="H7" s="306" t="s">
        <v>12</v>
      </c>
      <c r="I7" s="306" t="s">
        <v>13</v>
      </c>
      <c r="J7" s="306" t="s">
        <v>14</v>
      </c>
      <c r="K7" s="306" t="s">
        <v>15</v>
      </c>
      <c r="L7" s="306" t="s">
        <v>16</v>
      </c>
      <c r="M7" s="306" t="s">
        <v>17</v>
      </c>
      <c r="N7" s="306" t="s">
        <v>18</v>
      </c>
      <c r="O7" s="306" t="s">
        <v>39</v>
      </c>
      <c r="P7" s="307" t="s">
        <v>20</v>
      </c>
    </row>
    <row r="8" spans="2:16" s="207" customFormat="1">
      <c r="B8" s="308">
        <f>'30Year'!B44</f>
        <v>2010</v>
      </c>
      <c r="C8" s="214">
        <f>'30Year'!C44</f>
        <v>37.1</v>
      </c>
      <c r="D8" s="214">
        <f>'30Year'!D44</f>
        <v>89.5</v>
      </c>
      <c r="E8" s="214">
        <f>'30Year'!E44</f>
        <v>94.9</v>
      </c>
      <c r="F8" s="214">
        <f>'30Year'!F44</f>
        <v>69.599999999999994</v>
      </c>
      <c r="G8" s="214">
        <f>'30Year'!G44</f>
        <v>140.69999999999999</v>
      </c>
      <c r="H8" s="214">
        <f>'30Year'!H44</f>
        <v>36.1</v>
      </c>
      <c r="I8" s="214">
        <f>'30Year'!I44</f>
        <v>262.10000000000002</v>
      </c>
      <c r="J8" s="214">
        <f>'30Year'!J44</f>
        <v>431.1</v>
      </c>
      <c r="K8" s="214">
        <f>'30Year'!K44</f>
        <v>149.80000000000001</v>
      </c>
      <c r="L8" s="214">
        <f>'30Year'!L44</f>
        <v>17.8</v>
      </c>
      <c r="M8" s="214">
        <f>'30Year'!M44</f>
        <v>18.600000000000001</v>
      </c>
      <c r="N8" s="214">
        <f>'30Year'!N44</f>
        <v>31</v>
      </c>
      <c r="O8" s="214">
        <f>'30Year'!O44</f>
        <v>1378.3</v>
      </c>
      <c r="P8" s="215">
        <f>'30Year'!P44</f>
        <v>114.9</v>
      </c>
    </row>
    <row r="9" spans="2:16" s="207" customFormat="1">
      <c r="B9" s="308">
        <f>'30Year'!B45</f>
        <v>2011</v>
      </c>
      <c r="C9" s="214">
        <f>'30Year'!C45</f>
        <v>3.7</v>
      </c>
      <c r="D9" s="214">
        <f>'30Year'!D45</f>
        <v>60.7</v>
      </c>
      <c r="E9" s="214">
        <f>'30Year'!E45</f>
        <v>16</v>
      </c>
      <c r="F9" s="214">
        <f>'30Year'!F45</f>
        <v>70</v>
      </c>
      <c r="G9" s="214">
        <f>'30Year'!G45</f>
        <v>111.2</v>
      </c>
      <c r="H9" s="214">
        <f>'30Year'!H45</f>
        <v>316</v>
      </c>
      <c r="I9" s="214">
        <f>'30Year'!I45</f>
        <v>599.6</v>
      </c>
      <c r="J9" s="214">
        <f>'30Year'!J45</f>
        <v>618.1</v>
      </c>
      <c r="K9" s="214">
        <f>'30Year'!K45</f>
        <v>104.2</v>
      </c>
      <c r="L9" s="214">
        <f>'30Year'!L45</f>
        <v>26.6</v>
      </c>
      <c r="M9" s="214">
        <f>'30Year'!M45</f>
        <v>81.599999999999994</v>
      </c>
      <c r="N9" s="214">
        <f>'30Year'!N45</f>
        <v>7</v>
      </c>
      <c r="O9" s="214">
        <f>'30Year'!O45</f>
        <v>2014.7</v>
      </c>
      <c r="P9" s="215">
        <f>'30Year'!P45</f>
        <v>167.9</v>
      </c>
    </row>
    <row r="10" spans="2:16" s="207" customFormat="1">
      <c r="B10" s="308">
        <f>'30Year'!B46</f>
        <v>2012</v>
      </c>
      <c r="C10" s="214">
        <f>'30Year'!C46</f>
        <v>16</v>
      </c>
      <c r="D10" s="214">
        <f>'30Year'!D46</f>
        <v>3.2</v>
      </c>
      <c r="E10" s="214">
        <f>'30Year'!E46</f>
        <v>60.2</v>
      </c>
      <c r="F10" s="214">
        <f>'30Year'!F46</f>
        <v>109.3</v>
      </c>
      <c r="G10" s="214">
        <f>'30Year'!G46</f>
        <v>19.5</v>
      </c>
      <c r="H10" s="214">
        <f>'30Year'!H46</f>
        <v>71.3</v>
      </c>
      <c r="I10" s="214">
        <f>'30Year'!I46</f>
        <v>302.89999999999998</v>
      </c>
      <c r="J10" s="214">
        <f>'30Year'!J46</f>
        <v>573.29999999999995</v>
      </c>
      <c r="K10" s="214">
        <f>'30Year'!K46</f>
        <v>186.2</v>
      </c>
      <c r="L10" s="214">
        <f>'30Year'!L46</f>
        <v>83</v>
      </c>
      <c r="M10" s="214">
        <f>'30Year'!M46</f>
        <v>60.7</v>
      </c>
      <c r="N10" s="214">
        <f>'30Year'!N46</f>
        <v>60.2</v>
      </c>
      <c r="O10" s="214">
        <f>'30Year'!O46</f>
        <v>1545.8</v>
      </c>
      <c r="P10" s="215">
        <f>'30Year'!P46</f>
        <v>128.80000000000001</v>
      </c>
    </row>
    <row r="11" spans="2:16" s="207" customFormat="1">
      <c r="B11" s="308">
        <f>'30Year'!B47</f>
        <v>2013</v>
      </c>
      <c r="C11" s="214">
        <f>'30Year'!C47</f>
        <v>45.4</v>
      </c>
      <c r="D11" s="214">
        <f>'30Year'!D47</f>
        <v>58.7</v>
      </c>
      <c r="E11" s="214">
        <f>'30Year'!E47</f>
        <v>50.3</v>
      </c>
      <c r="F11" s="214">
        <f>'30Year'!F47</f>
        <v>93.7</v>
      </c>
      <c r="G11" s="214">
        <f>'30Year'!G47</f>
        <v>159</v>
      </c>
      <c r="H11" s="214">
        <f>'30Year'!H47</f>
        <v>151.69999999999999</v>
      </c>
      <c r="I11" s="214">
        <f>'30Year'!I47</f>
        <v>240.4</v>
      </c>
      <c r="J11" s="214">
        <f>'30Year'!J47</f>
        <v>119.5</v>
      </c>
      <c r="K11" s="214">
        <f>'30Year'!K47</f>
        <v>184.8</v>
      </c>
      <c r="L11" s="214">
        <f>'30Year'!L47</f>
        <v>18.100000000000001</v>
      </c>
      <c r="M11" s="214">
        <f>'30Year'!M47</f>
        <v>79.900000000000006</v>
      </c>
      <c r="N11" s="214">
        <f>'30Year'!N47</f>
        <v>35.9</v>
      </c>
      <c r="O11" s="214">
        <f>'30Year'!O47</f>
        <v>1237.4000000000001</v>
      </c>
      <c r="P11" s="215">
        <f>'30Year'!P47</f>
        <v>103.1</v>
      </c>
    </row>
    <row r="12" spans="2:16" s="207" customFormat="1">
      <c r="B12" s="308">
        <f>'30Year'!B48</f>
        <v>2014</v>
      </c>
      <c r="C12" s="214">
        <f>'30Year'!C48</f>
        <v>2.2000000000000002</v>
      </c>
      <c r="D12" s="214">
        <f>'30Year'!D48</f>
        <v>15.3</v>
      </c>
      <c r="E12" s="214">
        <f>'30Year'!E48</f>
        <v>69.3</v>
      </c>
      <c r="F12" s="214">
        <f>'30Year'!F48</f>
        <v>94.1</v>
      </c>
      <c r="G12" s="214">
        <f>'30Year'!G48</f>
        <v>61.5</v>
      </c>
      <c r="H12" s="214">
        <f>'30Year'!H48</f>
        <v>77.8</v>
      </c>
      <c r="I12" s="214">
        <f>'30Year'!I48</f>
        <v>174.7</v>
      </c>
      <c r="J12" s="214">
        <f>'30Year'!J48</f>
        <v>225.1</v>
      </c>
      <c r="K12" s="214">
        <f>'30Year'!K48</f>
        <v>157.5</v>
      </c>
      <c r="L12" s="214">
        <f>'30Year'!L48</f>
        <v>170.5</v>
      </c>
      <c r="M12" s="214">
        <f>'30Year'!M48</f>
        <v>42.4</v>
      </c>
      <c r="N12" s="214">
        <f>'30Year'!N48</f>
        <v>51.7</v>
      </c>
      <c r="O12" s="214">
        <f>'30Year'!O48</f>
        <v>1142.0999999999999</v>
      </c>
      <c r="P12" s="215">
        <f>'30Year'!P48</f>
        <v>95.2</v>
      </c>
    </row>
    <row r="13" spans="2:16" s="207" customFormat="1">
      <c r="B13" s="308">
        <f>'30Year'!B49</f>
        <v>2015</v>
      </c>
      <c r="C13" s="214">
        <f>'30Year'!C49</f>
        <v>35.4</v>
      </c>
      <c r="D13" s="214">
        <f>'30Year'!D49</f>
        <v>35.6</v>
      </c>
      <c r="E13" s="214">
        <f>'30Year'!E49</f>
        <v>42.4</v>
      </c>
      <c r="F13" s="214">
        <f>'30Year'!F49</f>
        <v>99.5</v>
      </c>
      <c r="G13" s="214">
        <f>'30Year'!G49</f>
        <v>53.5</v>
      </c>
      <c r="H13" s="214">
        <f>'30Year'!H49</f>
        <v>92.7</v>
      </c>
      <c r="I13" s="214">
        <f>'30Year'!I49</f>
        <v>119.9</v>
      </c>
      <c r="J13" s="214">
        <f>'30Year'!J49</f>
        <v>56.9</v>
      </c>
      <c r="K13" s="214">
        <f>'30Year'!K49</f>
        <v>22</v>
      </c>
      <c r="L13" s="214">
        <f>'30Year'!L49</f>
        <v>104</v>
      </c>
      <c r="M13" s="214">
        <f>'30Year'!M49</f>
        <v>126.1</v>
      </c>
      <c r="N13" s="214">
        <f>'30Year'!N49</f>
        <v>56.9</v>
      </c>
      <c r="O13" s="214">
        <f>'30Year'!O49</f>
        <v>844.9</v>
      </c>
      <c r="P13" s="215">
        <f>'30Year'!P49</f>
        <v>70.400000000000006</v>
      </c>
    </row>
    <row r="14" spans="2:16" s="207" customFormat="1">
      <c r="B14" s="308">
        <f>'30Year'!B50</f>
        <v>2016</v>
      </c>
      <c r="C14" s="214">
        <f>'30Year'!C50</f>
        <v>6.6</v>
      </c>
      <c r="D14" s="214">
        <f>'30Year'!D50</f>
        <v>59.6</v>
      </c>
      <c r="E14" s="214">
        <f>'30Year'!E50</f>
        <v>19</v>
      </c>
      <c r="F14" s="214">
        <f>'30Year'!F50</f>
        <v>164.6</v>
      </c>
      <c r="G14" s="214">
        <f>'30Year'!G50</f>
        <v>121.6</v>
      </c>
      <c r="H14" s="214">
        <f>'30Year'!H50</f>
        <v>49.4</v>
      </c>
      <c r="I14" s="214">
        <f>'30Year'!I50</f>
        <v>341.1</v>
      </c>
      <c r="J14" s="214">
        <f>'30Year'!J50</f>
        <v>33.4</v>
      </c>
      <c r="K14" s="214">
        <f>'30Year'!K50</f>
        <v>133.69999999999999</v>
      </c>
      <c r="L14" s="214">
        <f>'30Year'!L50</f>
        <v>120.1</v>
      </c>
      <c r="M14" s="214">
        <f>'30Year'!M50</f>
        <v>17.100000000000001</v>
      </c>
      <c r="N14" s="214">
        <f>'30Year'!N50</f>
        <v>63.1</v>
      </c>
      <c r="O14" s="214">
        <f>'30Year'!O50</f>
        <v>1129.3</v>
      </c>
      <c r="P14" s="215">
        <f>'30Year'!P50</f>
        <v>94.1</v>
      </c>
    </row>
    <row r="15" spans="2:16" s="207" customFormat="1">
      <c r="B15" s="308">
        <f>'30Year'!B51</f>
        <v>2017</v>
      </c>
      <c r="C15" s="214">
        <f>'30Year'!C51</f>
        <v>16</v>
      </c>
      <c r="D15" s="214">
        <f>'30Year'!D51</f>
        <v>28.5</v>
      </c>
      <c r="E15" s="214">
        <f>'30Year'!E51</f>
        <v>8.8000000000000007</v>
      </c>
      <c r="F15" s="214">
        <f>'30Year'!F51</f>
        <v>78.400000000000006</v>
      </c>
      <c r="G15" s="214">
        <f>'30Year'!G51</f>
        <v>35.799999999999997</v>
      </c>
      <c r="H15" s="214">
        <f>'30Year'!H51</f>
        <v>51.4</v>
      </c>
      <c r="I15" s="214">
        <f>'30Year'!I51</f>
        <v>326.7</v>
      </c>
      <c r="J15" s="214">
        <f>'30Year'!J51</f>
        <v>358.4</v>
      </c>
      <c r="K15" s="214">
        <f>'30Year'!K51</f>
        <v>97.1</v>
      </c>
      <c r="L15" s="214">
        <f>'30Year'!L51</f>
        <v>51.9</v>
      </c>
      <c r="M15" s="214">
        <f>'30Year'!M51</f>
        <v>20.8</v>
      </c>
      <c r="N15" s="214">
        <f>'30Year'!N51</f>
        <v>36.1</v>
      </c>
      <c r="O15" s="214">
        <f>'30Year'!O51</f>
        <v>1109.9000000000001</v>
      </c>
      <c r="P15" s="215">
        <f>'30Year'!P51</f>
        <v>92.5</v>
      </c>
    </row>
    <row r="16" spans="2:16" s="207" customFormat="1">
      <c r="B16" s="308">
        <f>'30Year'!B52</f>
        <v>2018</v>
      </c>
      <c r="C16" s="214">
        <f>'30Year'!C52</f>
        <v>25</v>
      </c>
      <c r="D16" s="214">
        <f>'30Year'!D52</f>
        <v>43.1</v>
      </c>
      <c r="E16" s="214">
        <f>'30Year'!E52</f>
        <v>99.3</v>
      </c>
      <c r="F16" s="214">
        <f>'30Year'!F52</f>
        <v>156.5</v>
      </c>
      <c r="G16" s="214">
        <f>'30Year'!G52</f>
        <v>116.1</v>
      </c>
      <c r="H16" s="214">
        <f>'30Year'!H52</f>
        <v>107.1</v>
      </c>
      <c r="I16" s="214">
        <f>'30Year'!I52</f>
        <v>278.8</v>
      </c>
      <c r="J16" s="214">
        <f>'30Year'!J52</f>
        <v>277</v>
      </c>
      <c r="K16" s="214">
        <f>'30Year'!K52</f>
        <v>98.3</v>
      </c>
      <c r="L16" s="214">
        <f>'30Year'!L52</f>
        <v>159.19999999999999</v>
      </c>
      <c r="M16" s="214">
        <f>'30Year'!M52</f>
        <v>66</v>
      </c>
      <c r="N16" s="214">
        <f>'30Year'!N52</f>
        <v>31.5</v>
      </c>
      <c r="O16" s="214">
        <f>'30Year'!O52</f>
        <v>1457.9</v>
      </c>
      <c r="P16" s="215">
        <f>'30Year'!P52</f>
        <v>121.5</v>
      </c>
    </row>
    <row r="17" spans="2:16" s="207" customFormat="1">
      <c r="B17" s="308">
        <f>'30Year'!B53</f>
        <v>2019</v>
      </c>
      <c r="C17" s="214">
        <f>'30Year'!C53</f>
        <v>0.5</v>
      </c>
      <c r="D17" s="214">
        <f>'30Year'!D53</f>
        <v>37.6</v>
      </c>
      <c r="E17" s="214">
        <f>'30Year'!E53</f>
        <v>35</v>
      </c>
      <c r="F17" s="214">
        <f>'30Year'!F53</f>
        <v>73.7</v>
      </c>
      <c r="G17" s="214">
        <f>'30Year'!G53</f>
        <v>44.3</v>
      </c>
      <c r="H17" s="214">
        <f>'30Year'!H53</f>
        <v>59.9</v>
      </c>
      <c r="I17" s="214">
        <f>'30Year'!I53</f>
        <v>216.7</v>
      </c>
      <c r="J17" s="214">
        <f>'30Year'!J53</f>
        <v>102.1</v>
      </c>
      <c r="K17" s="214">
        <f>'30Year'!K53</f>
        <v>191.9</v>
      </c>
      <c r="L17" s="214">
        <f>'30Year'!L53</f>
        <v>85.6</v>
      </c>
      <c r="M17" s="214">
        <f>'30Year'!M53</f>
        <v>113.5</v>
      </c>
      <c r="N17" s="214">
        <f>'30Year'!N53</f>
        <v>31.2</v>
      </c>
      <c r="O17" s="214">
        <f>'30Year'!O53</f>
        <v>992</v>
      </c>
      <c r="P17" s="215">
        <f>'30Year'!P53</f>
        <v>82.7</v>
      </c>
    </row>
    <row r="18" spans="2:16" s="207" customFormat="1">
      <c r="B18" s="309" t="s">
        <v>20</v>
      </c>
      <c r="C18" s="310">
        <f>'30Year'!C56</f>
        <v>18.8</v>
      </c>
      <c r="D18" s="310">
        <f>'30Year'!D56</f>
        <v>43.2</v>
      </c>
      <c r="E18" s="310">
        <f>'30Year'!E56</f>
        <v>49.5</v>
      </c>
      <c r="F18" s="310">
        <f>'30Year'!F56</f>
        <v>100.9</v>
      </c>
      <c r="G18" s="310">
        <f>'30Year'!G56</f>
        <v>86.3</v>
      </c>
      <c r="H18" s="310">
        <f>'30Year'!H56</f>
        <v>101.3</v>
      </c>
      <c r="I18" s="310">
        <f>'30Year'!I56</f>
        <v>286.3</v>
      </c>
      <c r="J18" s="310">
        <f>'30Year'!J56</f>
        <v>279.5</v>
      </c>
      <c r="K18" s="310">
        <f>'30Year'!K56</f>
        <v>132.6</v>
      </c>
      <c r="L18" s="310">
        <f>'30Year'!L56</f>
        <v>83.7</v>
      </c>
      <c r="M18" s="310">
        <f>'30Year'!M56</f>
        <v>62.7</v>
      </c>
      <c r="N18" s="310">
        <f>'30Year'!N56</f>
        <v>40.5</v>
      </c>
      <c r="O18" s="310">
        <f>'30Year'!O56</f>
        <v>1285.2</v>
      </c>
      <c r="P18" s="311">
        <f>'30Year'!P56</f>
        <v>107.1</v>
      </c>
    </row>
    <row r="19" spans="2:16" s="207" customFormat="1" ht="17.25" thickBot="1">
      <c r="B19" s="312" t="s">
        <v>23</v>
      </c>
      <c r="C19" s="313">
        <f>'30Year'!C38</f>
        <v>24.5</v>
      </c>
      <c r="D19" s="313">
        <f>'30Year'!D38</f>
        <v>38.1</v>
      </c>
      <c r="E19" s="313">
        <f>'30Year'!E38</f>
        <v>53.4</v>
      </c>
      <c r="F19" s="313">
        <f>'30Year'!F38</f>
        <v>87.9</v>
      </c>
      <c r="G19" s="313">
        <f>'30Year'!G38</f>
        <v>97.8</v>
      </c>
      <c r="H19" s="313">
        <f>'30Year'!H38</f>
        <v>161.80000000000001</v>
      </c>
      <c r="I19" s="313">
        <f>'30Year'!I38</f>
        <v>292.3</v>
      </c>
      <c r="J19" s="313">
        <f>'30Year'!J38</f>
        <v>279</v>
      </c>
      <c r="K19" s="313">
        <f>'30Year'!K38</f>
        <v>144.1</v>
      </c>
      <c r="L19" s="313">
        <f>'30Year'!L38</f>
        <v>63.6</v>
      </c>
      <c r="M19" s="313">
        <f>'30Year'!M38</f>
        <v>52.1</v>
      </c>
      <c r="N19" s="313">
        <f>'30Year'!N38</f>
        <v>32.200000000000003</v>
      </c>
      <c r="O19" s="313">
        <f>'30Year'!O38</f>
        <v>1326.8</v>
      </c>
      <c r="P19" s="314">
        <f>'30Year'!P38</f>
        <v>110.6</v>
      </c>
    </row>
    <row r="21" spans="2:16" s="207" customFormat="1" ht="17.25" thickBot="1"/>
    <row r="22" spans="2:16" s="207" customFormat="1">
      <c r="B22" s="305" t="s">
        <v>40</v>
      </c>
      <c r="C22" s="307" t="s">
        <v>200</v>
      </c>
    </row>
    <row r="23" spans="2:16" s="207" customFormat="1">
      <c r="B23" s="308">
        <f>B8</f>
        <v>2010</v>
      </c>
      <c r="C23" s="215">
        <f>O8</f>
        <v>1378.3</v>
      </c>
    </row>
    <row r="24" spans="2:16" s="207" customFormat="1">
      <c r="B24" s="308">
        <f t="shared" ref="B24:B33" si="0">B9</f>
        <v>2011</v>
      </c>
      <c r="C24" s="215">
        <f t="shared" ref="C24:C33" si="1">O9</f>
        <v>2014.7</v>
      </c>
    </row>
    <row r="25" spans="2:16" s="207" customFormat="1">
      <c r="B25" s="308">
        <f t="shared" si="0"/>
        <v>2012</v>
      </c>
      <c r="C25" s="215">
        <f t="shared" si="1"/>
        <v>1545.8</v>
      </c>
    </row>
    <row r="26" spans="2:16" s="207" customFormat="1">
      <c r="B26" s="308">
        <f t="shared" si="0"/>
        <v>2013</v>
      </c>
      <c r="C26" s="215">
        <f t="shared" si="1"/>
        <v>1237.4000000000001</v>
      </c>
    </row>
    <row r="27" spans="2:16" s="207" customFormat="1">
      <c r="B27" s="308">
        <f t="shared" si="0"/>
        <v>2014</v>
      </c>
      <c r="C27" s="215">
        <f t="shared" si="1"/>
        <v>1142.0999999999999</v>
      </c>
    </row>
    <row r="28" spans="2:16" s="207" customFormat="1">
      <c r="B28" s="308">
        <f t="shared" si="0"/>
        <v>2015</v>
      </c>
      <c r="C28" s="215">
        <f t="shared" si="1"/>
        <v>844.9</v>
      </c>
    </row>
    <row r="29" spans="2:16" s="207" customFormat="1">
      <c r="B29" s="308">
        <f t="shared" si="0"/>
        <v>2016</v>
      </c>
      <c r="C29" s="215">
        <f t="shared" si="1"/>
        <v>1129.3</v>
      </c>
    </row>
    <row r="30" spans="2:16" s="207" customFormat="1">
      <c r="B30" s="308">
        <f t="shared" si="0"/>
        <v>2017</v>
      </c>
      <c r="C30" s="215">
        <f t="shared" si="1"/>
        <v>1109.9000000000001</v>
      </c>
    </row>
    <row r="31" spans="2:16" s="207" customFormat="1">
      <c r="B31" s="308">
        <f t="shared" si="0"/>
        <v>2018</v>
      </c>
      <c r="C31" s="215">
        <f t="shared" si="1"/>
        <v>1457.9</v>
      </c>
    </row>
    <row r="32" spans="2:16" s="207" customFormat="1">
      <c r="B32" s="308">
        <f t="shared" si="0"/>
        <v>2019</v>
      </c>
      <c r="C32" s="215">
        <f t="shared" si="1"/>
        <v>992</v>
      </c>
    </row>
    <row r="33" spans="2:3" s="207" customFormat="1" ht="17.25" thickBot="1">
      <c r="B33" s="315" t="str">
        <f t="shared" si="0"/>
        <v>평균</v>
      </c>
      <c r="C33" s="228">
        <f t="shared" si="1"/>
        <v>1285.2</v>
      </c>
    </row>
  </sheetData>
  <phoneticPr fontId="7" type="noConversion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B1:O32"/>
  <sheetViews>
    <sheetView workbookViewId="0">
      <selection activeCell="C17" sqref="C17"/>
    </sheetView>
  </sheetViews>
  <sheetFormatPr defaultColWidth="8.88671875" defaultRowHeight="16.5"/>
  <cols>
    <col min="1" max="2" width="8.88671875" style="207"/>
    <col min="3" max="14" width="9" style="207" bestFit="1" customWidth="1"/>
    <col min="15" max="15" width="9.33203125" style="207" bestFit="1" customWidth="1"/>
    <col min="16" max="16" width="9" style="207" bestFit="1" customWidth="1"/>
    <col min="17" max="16384" width="8.88671875" style="207"/>
  </cols>
  <sheetData>
    <row r="1" spans="2:15" s="207" customFormat="1">
      <c r="B1" s="207" t="s">
        <v>42</v>
      </c>
    </row>
    <row r="2" spans="2:15" s="207" customFormat="1" ht="17.25" thickBot="1"/>
    <row r="3" spans="2:15" s="301" customFormat="1" ht="18" customHeight="1">
      <c r="B3" s="298"/>
      <c r="C3" s="299" t="s">
        <v>43</v>
      </c>
      <c r="D3" s="299" t="s">
        <v>44</v>
      </c>
      <c r="E3" s="299" t="s">
        <v>45</v>
      </c>
      <c r="F3" s="299" t="s">
        <v>46</v>
      </c>
      <c r="G3" s="299" t="s">
        <v>47</v>
      </c>
      <c r="H3" s="299" t="s">
        <v>12</v>
      </c>
      <c r="I3" s="299" t="s">
        <v>13</v>
      </c>
      <c r="J3" s="299" t="s">
        <v>14</v>
      </c>
      <c r="K3" s="299" t="s">
        <v>15</v>
      </c>
      <c r="L3" s="299" t="s">
        <v>16</v>
      </c>
      <c r="M3" s="299" t="s">
        <v>17</v>
      </c>
      <c r="N3" s="299" t="s">
        <v>18</v>
      </c>
      <c r="O3" s="300" t="s">
        <v>41</v>
      </c>
    </row>
    <row r="4" spans="2:15" s="207" customFormat="1" ht="18" customHeight="1" thickBot="1">
      <c r="B4" s="302" t="s">
        <v>41</v>
      </c>
      <c r="C4" s="303">
        <f>'30Year'!C56</f>
        <v>18.8</v>
      </c>
      <c r="D4" s="303">
        <f>'30Year'!D56</f>
        <v>43.2</v>
      </c>
      <c r="E4" s="303">
        <f>'30Year'!E56</f>
        <v>49.5</v>
      </c>
      <c r="F4" s="303">
        <f>'30Year'!F56</f>
        <v>100.9</v>
      </c>
      <c r="G4" s="303">
        <f>'30Year'!G56</f>
        <v>86.3</v>
      </c>
      <c r="H4" s="303">
        <f>'30Year'!H56</f>
        <v>101.3</v>
      </c>
      <c r="I4" s="303">
        <f>'30Year'!I56</f>
        <v>286.3</v>
      </c>
      <c r="J4" s="303">
        <f>'30Year'!J56</f>
        <v>279.5</v>
      </c>
      <c r="K4" s="303">
        <f>'30Year'!K56</f>
        <v>132.6</v>
      </c>
      <c r="L4" s="303">
        <f>'30Year'!L56</f>
        <v>83.7</v>
      </c>
      <c r="M4" s="303">
        <f>'30Year'!M56</f>
        <v>62.7</v>
      </c>
      <c r="N4" s="303">
        <f>'30Year'!N56</f>
        <v>40.5</v>
      </c>
      <c r="O4" s="304">
        <f>'30Year'!P56</f>
        <v>107.1</v>
      </c>
    </row>
    <row r="5" spans="2:15" s="207" customFormat="1" ht="18" customHeight="1"/>
    <row r="6" spans="2:15" s="207" customFormat="1" ht="18" customHeight="1"/>
    <row r="7" spans="2:15" s="207" customFormat="1" ht="18" customHeight="1"/>
    <row r="8" spans="2:15" s="207" customFormat="1" ht="18" customHeight="1"/>
    <row r="9" spans="2:15" s="207" customFormat="1" ht="18" customHeight="1"/>
    <row r="10" spans="2:15" s="207" customFormat="1" ht="18" customHeight="1"/>
    <row r="11" spans="2:15" s="207" customFormat="1" ht="18" customHeight="1"/>
    <row r="12" spans="2:15" s="207" customFormat="1" ht="18" customHeight="1"/>
    <row r="13" spans="2:15" s="207" customFormat="1" ht="18" customHeight="1"/>
    <row r="14" spans="2:15" s="207" customFormat="1" ht="18" customHeight="1"/>
    <row r="15" spans="2:15" s="207" customFormat="1" ht="18" customHeight="1"/>
    <row r="16" spans="2:15" s="207" customFormat="1" ht="18" customHeight="1"/>
    <row r="17" s="207" customFormat="1" ht="18" customHeight="1"/>
    <row r="18" s="207" customFormat="1" ht="18" customHeight="1"/>
    <row r="19" s="207" customFormat="1" ht="18" customHeight="1"/>
    <row r="20" s="207" customFormat="1" ht="18" customHeight="1"/>
    <row r="21" s="207" customFormat="1" ht="18" customHeight="1"/>
    <row r="22" s="207" customFormat="1" ht="18" customHeight="1"/>
    <row r="23" s="207" customFormat="1" ht="18" customHeight="1"/>
    <row r="24" s="207" customFormat="1" ht="18" customHeight="1"/>
    <row r="25" s="207" customFormat="1" ht="18" customHeight="1"/>
    <row r="26" s="207" customFormat="1" ht="18" customHeight="1"/>
    <row r="27" s="207" customFormat="1" ht="18" customHeight="1"/>
    <row r="28" s="207" customFormat="1" ht="18" customHeight="1"/>
    <row r="29" s="207" customFormat="1" ht="18" customHeight="1"/>
    <row r="30" s="207" customFormat="1" ht="18" customHeight="1"/>
    <row r="31" s="207" customFormat="1" ht="18" customHeight="1"/>
    <row r="32" s="207" customFormat="1" ht="18" customHeight="1"/>
  </sheetData>
  <phoneticPr fontId="7" type="noConversion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theme="9" tint="0.39997558519241921"/>
  </sheetPr>
  <dimension ref="A2:P82"/>
  <sheetViews>
    <sheetView topLeftCell="A22" zoomScaleNormal="100" workbookViewId="0">
      <selection activeCell="F24" sqref="F24"/>
    </sheetView>
  </sheetViews>
  <sheetFormatPr defaultColWidth="8.88671875" defaultRowHeight="16.5"/>
  <cols>
    <col min="1" max="1" width="17" style="207" customWidth="1"/>
    <col min="2" max="2" width="19.5546875" style="207" customWidth="1"/>
    <col min="3" max="16" width="10.109375" style="207" customWidth="1"/>
    <col min="17" max="16384" width="8.88671875" style="207"/>
  </cols>
  <sheetData>
    <row r="2" spans="2:16">
      <c r="B2" s="206" t="s">
        <v>215</v>
      </c>
    </row>
    <row r="3" spans="2:16" ht="17.25" thickBot="1"/>
    <row r="4" spans="2:16" ht="23.25" customHeight="1">
      <c r="B4" s="208"/>
      <c r="C4" s="209" t="s">
        <v>7</v>
      </c>
      <c r="D4" s="210" t="s">
        <v>8</v>
      </c>
      <c r="E4" s="210" t="s">
        <v>9</v>
      </c>
      <c r="F4" s="210" t="s">
        <v>10</v>
      </c>
      <c r="G4" s="210" t="s">
        <v>11</v>
      </c>
      <c r="H4" s="210" t="s">
        <v>12</v>
      </c>
      <c r="I4" s="210" t="s">
        <v>13</v>
      </c>
      <c r="J4" s="210" t="s">
        <v>14</v>
      </c>
      <c r="K4" s="210" t="s">
        <v>15</v>
      </c>
      <c r="L4" s="210" t="s">
        <v>16</v>
      </c>
      <c r="M4" s="210" t="s">
        <v>17</v>
      </c>
      <c r="N4" s="211" t="s">
        <v>18</v>
      </c>
      <c r="O4" s="209" t="s">
        <v>19</v>
      </c>
      <c r="P4" s="211" t="s">
        <v>20</v>
      </c>
    </row>
    <row r="5" spans="2:16" ht="22.15" customHeight="1">
      <c r="B5" s="212">
        <f>'30Year'!B44</f>
        <v>2010</v>
      </c>
      <c r="C5" s="213">
        <f>'30Year'!C44</f>
        <v>37.1</v>
      </c>
      <c r="D5" s="214">
        <f>'30Year'!D44</f>
        <v>89.5</v>
      </c>
      <c r="E5" s="214">
        <f>'30Year'!E44</f>
        <v>94.9</v>
      </c>
      <c r="F5" s="214">
        <f>'30Year'!F44</f>
        <v>69.599999999999994</v>
      </c>
      <c r="G5" s="214">
        <f>'30Year'!G44</f>
        <v>140.69999999999999</v>
      </c>
      <c r="H5" s="214">
        <f>'30Year'!H44</f>
        <v>36.1</v>
      </c>
      <c r="I5" s="214">
        <f>'30Year'!I44</f>
        <v>262.10000000000002</v>
      </c>
      <c r="J5" s="214">
        <f>'30Year'!J44</f>
        <v>431.1</v>
      </c>
      <c r="K5" s="214">
        <f>'30Year'!K44</f>
        <v>149.80000000000001</v>
      </c>
      <c r="L5" s="214">
        <f>'30Year'!L44</f>
        <v>17.8</v>
      </c>
      <c r="M5" s="214">
        <f>'30Year'!M44</f>
        <v>18.600000000000001</v>
      </c>
      <c r="N5" s="215">
        <f>'30Year'!N44</f>
        <v>31</v>
      </c>
      <c r="O5" s="213">
        <f>'30Year'!O44</f>
        <v>1378.3</v>
      </c>
      <c r="P5" s="215">
        <f>'30Year'!P44</f>
        <v>114.9</v>
      </c>
    </row>
    <row r="6" spans="2:16" ht="22.15" customHeight="1">
      <c r="B6" s="212">
        <f>'30Year'!B45</f>
        <v>2011</v>
      </c>
      <c r="C6" s="213">
        <f>'30Year'!C45</f>
        <v>3.7</v>
      </c>
      <c r="D6" s="214">
        <f>'30Year'!D45</f>
        <v>60.7</v>
      </c>
      <c r="E6" s="214">
        <f>'30Year'!E45</f>
        <v>16</v>
      </c>
      <c r="F6" s="214">
        <f>'30Year'!F45</f>
        <v>70</v>
      </c>
      <c r="G6" s="214">
        <f>'30Year'!G45</f>
        <v>111.2</v>
      </c>
      <c r="H6" s="214">
        <f>'30Year'!H45</f>
        <v>316</v>
      </c>
      <c r="I6" s="214">
        <f>'30Year'!I45</f>
        <v>599.6</v>
      </c>
      <c r="J6" s="214">
        <f>'30Year'!J45</f>
        <v>618.1</v>
      </c>
      <c r="K6" s="214">
        <f>'30Year'!K45</f>
        <v>104.2</v>
      </c>
      <c r="L6" s="214">
        <f>'30Year'!L45</f>
        <v>26.6</v>
      </c>
      <c r="M6" s="214">
        <f>'30Year'!M45</f>
        <v>81.599999999999994</v>
      </c>
      <c r="N6" s="215">
        <f>'30Year'!N45</f>
        <v>7</v>
      </c>
      <c r="O6" s="213">
        <f>'30Year'!O45</f>
        <v>2014.7</v>
      </c>
      <c r="P6" s="215">
        <f>'30Year'!P45</f>
        <v>167.9</v>
      </c>
    </row>
    <row r="7" spans="2:16" ht="22.15" customHeight="1">
      <c r="B7" s="212">
        <f>'30Year'!B46</f>
        <v>2012</v>
      </c>
      <c r="C7" s="213">
        <f>'30Year'!C46</f>
        <v>16</v>
      </c>
      <c r="D7" s="214">
        <f>'30Year'!D46</f>
        <v>3.2</v>
      </c>
      <c r="E7" s="214">
        <f>'30Year'!E46</f>
        <v>60.2</v>
      </c>
      <c r="F7" s="214">
        <f>'30Year'!F46</f>
        <v>109.3</v>
      </c>
      <c r="G7" s="214">
        <f>'30Year'!G46</f>
        <v>19.5</v>
      </c>
      <c r="H7" s="214">
        <f>'30Year'!H46</f>
        <v>71.3</v>
      </c>
      <c r="I7" s="214">
        <f>'30Year'!I46</f>
        <v>302.89999999999998</v>
      </c>
      <c r="J7" s="214">
        <f>'30Year'!J46</f>
        <v>573.29999999999995</v>
      </c>
      <c r="K7" s="214">
        <f>'30Year'!K46</f>
        <v>186.2</v>
      </c>
      <c r="L7" s="214">
        <f>'30Year'!L46</f>
        <v>83</v>
      </c>
      <c r="M7" s="214">
        <f>'30Year'!M46</f>
        <v>60.7</v>
      </c>
      <c r="N7" s="215">
        <f>'30Year'!N46</f>
        <v>60.2</v>
      </c>
      <c r="O7" s="213">
        <f>'30Year'!O46</f>
        <v>1545.8</v>
      </c>
      <c r="P7" s="215">
        <f>'30Year'!P46</f>
        <v>128.80000000000001</v>
      </c>
    </row>
    <row r="8" spans="2:16" ht="22.15" customHeight="1">
      <c r="B8" s="212">
        <f>'30Year'!B47</f>
        <v>2013</v>
      </c>
      <c r="C8" s="213">
        <f>'30Year'!C47</f>
        <v>45.4</v>
      </c>
      <c r="D8" s="214">
        <f>'30Year'!D47</f>
        <v>58.7</v>
      </c>
      <c r="E8" s="214">
        <f>'30Year'!E47</f>
        <v>50.3</v>
      </c>
      <c r="F8" s="214">
        <f>'30Year'!F47</f>
        <v>93.7</v>
      </c>
      <c r="G8" s="214">
        <f>'30Year'!G47</f>
        <v>159</v>
      </c>
      <c r="H8" s="214">
        <f>'30Year'!H47</f>
        <v>151.69999999999999</v>
      </c>
      <c r="I8" s="214">
        <f>'30Year'!I47</f>
        <v>240.4</v>
      </c>
      <c r="J8" s="214">
        <f>'30Year'!J47</f>
        <v>119.5</v>
      </c>
      <c r="K8" s="214">
        <f>'30Year'!K47</f>
        <v>184.8</v>
      </c>
      <c r="L8" s="214">
        <f>'30Year'!L47</f>
        <v>18.100000000000001</v>
      </c>
      <c r="M8" s="214">
        <f>'30Year'!M47</f>
        <v>79.900000000000006</v>
      </c>
      <c r="N8" s="215">
        <f>'30Year'!N47</f>
        <v>35.9</v>
      </c>
      <c r="O8" s="213">
        <f>'30Year'!O47</f>
        <v>1237.4000000000001</v>
      </c>
      <c r="P8" s="215">
        <f>'30Year'!P47</f>
        <v>103.1</v>
      </c>
    </row>
    <row r="9" spans="2:16" ht="22.15" customHeight="1">
      <c r="B9" s="212">
        <f>'30Year'!B48</f>
        <v>2014</v>
      </c>
      <c r="C9" s="213">
        <f>'30Year'!C48</f>
        <v>2.2000000000000002</v>
      </c>
      <c r="D9" s="214">
        <f>'30Year'!D48</f>
        <v>15.3</v>
      </c>
      <c r="E9" s="214">
        <f>'30Year'!E48</f>
        <v>69.3</v>
      </c>
      <c r="F9" s="214">
        <f>'30Year'!F48</f>
        <v>94.1</v>
      </c>
      <c r="G9" s="214">
        <f>'30Year'!G48</f>
        <v>61.5</v>
      </c>
      <c r="H9" s="214">
        <f>'30Year'!H48</f>
        <v>77.8</v>
      </c>
      <c r="I9" s="214">
        <f>'30Year'!I48</f>
        <v>174.7</v>
      </c>
      <c r="J9" s="214">
        <f>'30Year'!J48</f>
        <v>225.1</v>
      </c>
      <c r="K9" s="214">
        <f>'30Year'!K48</f>
        <v>157.5</v>
      </c>
      <c r="L9" s="214">
        <f>'30Year'!L48</f>
        <v>170.5</v>
      </c>
      <c r="M9" s="214">
        <f>'30Year'!M48</f>
        <v>42.4</v>
      </c>
      <c r="N9" s="215">
        <f>'30Year'!N48</f>
        <v>51.7</v>
      </c>
      <c r="O9" s="213">
        <f>'30Year'!O48</f>
        <v>1142.0999999999999</v>
      </c>
      <c r="P9" s="215">
        <f>'30Year'!P48</f>
        <v>95.2</v>
      </c>
    </row>
    <row r="10" spans="2:16" ht="22.15" customHeight="1">
      <c r="B10" s="212">
        <f>'30Year'!B49</f>
        <v>2015</v>
      </c>
      <c r="C10" s="213">
        <f>'30Year'!C49</f>
        <v>35.4</v>
      </c>
      <c r="D10" s="214">
        <f>'30Year'!D49</f>
        <v>35.6</v>
      </c>
      <c r="E10" s="214">
        <f>'30Year'!E49</f>
        <v>42.4</v>
      </c>
      <c r="F10" s="214">
        <f>'30Year'!F49</f>
        <v>99.5</v>
      </c>
      <c r="G10" s="214">
        <f>'30Year'!G49</f>
        <v>53.5</v>
      </c>
      <c r="H10" s="214">
        <f>'30Year'!H49</f>
        <v>92.7</v>
      </c>
      <c r="I10" s="214">
        <f>'30Year'!I49</f>
        <v>119.9</v>
      </c>
      <c r="J10" s="214">
        <f>'30Year'!J49</f>
        <v>56.9</v>
      </c>
      <c r="K10" s="214">
        <f>'30Year'!K49</f>
        <v>22</v>
      </c>
      <c r="L10" s="214">
        <f>'30Year'!L49</f>
        <v>104</v>
      </c>
      <c r="M10" s="214">
        <f>'30Year'!M49</f>
        <v>126.1</v>
      </c>
      <c r="N10" s="215">
        <f>'30Year'!N49</f>
        <v>56.9</v>
      </c>
      <c r="O10" s="213">
        <f>'30Year'!O49</f>
        <v>844.9</v>
      </c>
      <c r="P10" s="215">
        <f>'30Year'!P49</f>
        <v>70.400000000000006</v>
      </c>
    </row>
    <row r="11" spans="2:16" ht="22.15" customHeight="1">
      <c r="B11" s="212">
        <f>'30Year'!B50</f>
        <v>2016</v>
      </c>
      <c r="C11" s="213">
        <f>'30Year'!C50</f>
        <v>6.6</v>
      </c>
      <c r="D11" s="214">
        <f>'30Year'!D50</f>
        <v>59.6</v>
      </c>
      <c r="E11" s="214">
        <f>'30Year'!E50</f>
        <v>19</v>
      </c>
      <c r="F11" s="214">
        <f>'30Year'!F50</f>
        <v>164.6</v>
      </c>
      <c r="G11" s="214">
        <f>'30Year'!G50</f>
        <v>121.6</v>
      </c>
      <c r="H11" s="214">
        <f>'30Year'!H50</f>
        <v>49.4</v>
      </c>
      <c r="I11" s="214">
        <f>'30Year'!I50</f>
        <v>341.1</v>
      </c>
      <c r="J11" s="214">
        <f>'30Year'!J50</f>
        <v>33.4</v>
      </c>
      <c r="K11" s="214">
        <f>'30Year'!K50</f>
        <v>133.69999999999999</v>
      </c>
      <c r="L11" s="214">
        <f>'30Year'!L50</f>
        <v>120.1</v>
      </c>
      <c r="M11" s="214">
        <f>'30Year'!M50</f>
        <v>17.100000000000001</v>
      </c>
      <c r="N11" s="215">
        <f>'30Year'!N50</f>
        <v>63.1</v>
      </c>
      <c r="O11" s="213">
        <f>'30Year'!O50</f>
        <v>1129.3</v>
      </c>
      <c r="P11" s="215">
        <f>'30Year'!P50</f>
        <v>94.1</v>
      </c>
    </row>
    <row r="12" spans="2:16" ht="22.15" customHeight="1">
      <c r="B12" s="212">
        <f>'30Year'!B51</f>
        <v>2017</v>
      </c>
      <c r="C12" s="213">
        <f>'30Year'!C51</f>
        <v>16</v>
      </c>
      <c r="D12" s="214">
        <f>'30Year'!D51</f>
        <v>28.5</v>
      </c>
      <c r="E12" s="214">
        <f>'30Year'!E51</f>
        <v>8.8000000000000007</v>
      </c>
      <c r="F12" s="214">
        <f>'30Year'!F51</f>
        <v>78.400000000000006</v>
      </c>
      <c r="G12" s="214">
        <f>'30Year'!G51</f>
        <v>35.799999999999997</v>
      </c>
      <c r="H12" s="214">
        <f>'30Year'!H51</f>
        <v>51.4</v>
      </c>
      <c r="I12" s="214">
        <f>'30Year'!I51</f>
        <v>326.7</v>
      </c>
      <c r="J12" s="214">
        <f>'30Year'!J51</f>
        <v>358.4</v>
      </c>
      <c r="K12" s="214">
        <f>'30Year'!K51</f>
        <v>97.1</v>
      </c>
      <c r="L12" s="214">
        <f>'30Year'!L51</f>
        <v>51.9</v>
      </c>
      <c r="M12" s="214">
        <f>'30Year'!M51</f>
        <v>20.8</v>
      </c>
      <c r="N12" s="215">
        <f>'30Year'!N51</f>
        <v>36.1</v>
      </c>
      <c r="O12" s="213">
        <f>'30Year'!O51</f>
        <v>1109.9000000000001</v>
      </c>
      <c r="P12" s="215">
        <f>'30Year'!P51</f>
        <v>92.5</v>
      </c>
    </row>
    <row r="13" spans="2:16" ht="22.15" customHeight="1">
      <c r="B13" s="212">
        <f>'30Year'!B52</f>
        <v>2018</v>
      </c>
      <c r="C13" s="213">
        <f>'30Year'!C52</f>
        <v>25</v>
      </c>
      <c r="D13" s="214">
        <f>'30Year'!D52</f>
        <v>43.1</v>
      </c>
      <c r="E13" s="214">
        <f>'30Year'!E52</f>
        <v>99.3</v>
      </c>
      <c r="F13" s="214">
        <f>'30Year'!F52</f>
        <v>156.5</v>
      </c>
      <c r="G13" s="214">
        <f>'30Year'!G52</f>
        <v>116.1</v>
      </c>
      <c r="H13" s="214">
        <f>'30Year'!H52</f>
        <v>107.1</v>
      </c>
      <c r="I13" s="214">
        <f>'30Year'!I52</f>
        <v>278.8</v>
      </c>
      <c r="J13" s="214">
        <f>'30Year'!J52</f>
        <v>277</v>
      </c>
      <c r="K13" s="214">
        <f>'30Year'!K52</f>
        <v>98.3</v>
      </c>
      <c r="L13" s="214">
        <f>'30Year'!L52</f>
        <v>159.19999999999999</v>
      </c>
      <c r="M13" s="214">
        <f>'30Year'!M52</f>
        <v>66</v>
      </c>
      <c r="N13" s="215">
        <f>'30Year'!N52</f>
        <v>31.5</v>
      </c>
      <c r="O13" s="213">
        <f>'30Year'!O52</f>
        <v>1457.9</v>
      </c>
      <c r="P13" s="215">
        <f>'30Year'!P52</f>
        <v>121.5</v>
      </c>
    </row>
    <row r="14" spans="2:16" ht="22.15" customHeight="1" thickBot="1">
      <c r="B14" s="212">
        <f>'30Year'!B53</f>
        <v>2019</v>
      </c>
      <c r="C14" s="216">
        <f>'30Year'!C53</f>
        <v>0.5</v>
      </c>
      <c r="D14" s="217">
        <f>'30Year'!D53</f>
        <v>37.6</v>
      </c>
      <c r="E14" s="217">
        <f>'30Year'!E53</f>
        <v>35</v>
      </c>
      <c r="F14" s="217">
        <f>'30Year'!F53</f>
        <v>73.7</v>
      </c>
      <c r="G14" s="217">
        <f>'30Year'!G53</f>
        <v>44.3</v>
      </c>
      <c r="H14" s="217">
        <f>'30Year'!H53</f>
        <v>59.9</v>
      </c>
      <c r="I14" s="217">
        <f>'30Year'!I53</f>
        <v>216.7</v>
      </c>
      <c r="J14" s="217">
        <f>'30Year'!J53</f>
        <v>102.1</v>
      </c>
      <c r="K14" s="217">
        <f>'30Year'!K53</f>
        <v>191.9</v>
      </c>
      <c r="L14" s="217">
        <f>'30Year'!L53</f>
        <v>85.6</v>
      </c>
      <c r="M14" s="217">
        <f>'30Year'!M53</f>
        <v>113.5</v>
      </c>
      <c r="N14" s="218">
        <f>'30Year'!N53</f>
        <v>31.2</v>
      </c>
      <c r="O14" s="216">
        <f>'30Year'!O53</f>
        <v>992</v>
      </c>
      <c r="P14" s="218">
        <f>'30Year'!P53</f>
        <v>82.7</v>
      </c>
    </row>
    <row r="15" spans="2:16" ht="22.15" customHeight="1">
      <c r="B15" s="219" t="s">
        <v>21</v>
      </c>
      <c r="C15" s="220">
        <f>'30Year'!C54</f>
        <v>45.4</v>
      </c>
      <c r="D15" s="221">
        <f>'30Year'!D54</f>
        <v>89.5</v>
      </c>
      <c r="E15" s="221">
        <f>'30Year'!E54</f>
        <v>99.3</v>
      </c>
      <c r="F15" s="221">
        <f>'30Year'!F54</f>
        <v>164.6</v>
      </c>
      <c r="G15" s="221">
        <f>'30Year'!G54</f>
        <v>159</v>
      </c>
      <c r="H15" s="221">
        <f>'30Year'!H54</f>
        <v>316</v>
      </c>
      <c r="I15" s="221">
        <f>'30Year'!I54</f>
        <v>599.6</v>
      </c>
      <c r="J15" s="221">
        <f>'30Year'!J54</f>
        <v>618.1</v>
      </c>
      <c r="K15" s="221">
        <f>'30Year'!K54</f>
        <v>191.9</v>
      </c>
      <c r="L15" s="221">
        <f>'30Year'!L54</f>
        <v>170.5</v>
      </c>
      <c r="M15" s="221">
        <f>'30Year'!M54</f>
        <v>126.1</v>
      </c>
      <c r="N15" s="222">
        <f>'30Year'!N54</f>
        <v>63.1</v>
      </c>
      <c r="O15" s="220">
        <f>'30Year'!O54</f>
        <v>2014.7</v>
      </c>
      <c r="P15" s="222">
        <f>'30Year'!P54</f>
        <v>167.9</v>
      </c>
    </row>
    <row r="16" spans="2:16" ht="22.15" customHeight="1">
      <c r="B16" s="212" t="s">
        <v>22</v>
      </c>
      <c r="C16" s="213">
        <f>'30Year'!C55</f>
        <v>0.5</v>
      </c>
      <c r="D16" s="214">
        <f>'30Year'!D55</f>
        <v>3.2</v>
      </c>
      <c r="E16" s="214">
        <f>'30Year'!E55</f>
        <v>8.8000000000000007</v>
      </c>
      <c r="F16" s="214">
        <f>'30Year'!F55</f>
        <v>69.599999999999994</v>
      </c>
      <c r="G16" s="214">
        <f>'30Year'!G55</f>
        <v>19.5</v>
      </c>
      <c r="H16" s="214">
        <f>'30Year'!H55</f>
        <v>36.1</v>
      </c>
      <c r="I16" s="214">
        <f>'30Year'!I55</f>
        <v>119.9</v>
      </c>
      <c r="J16" s="214">
        <f>'30Year'!J55</f>
        <v>33.4</v>
      </c>
      <c r="K16" s="214">
        <f>'30Year'!K55</f>
        <v>22</v>
      </c>
      <c r="L16" s="214">
        <f>'30Year'!L55</f>
        <v>17.8</v>
      </c>
      <c r="M16" s="214">
        <f>'30Year'!M55</f>
        <v>17.100000000000001</v>
      </c>
      <c r="N16" s="215">
        <f>'30Year'!N55</f>
        <v>7</v>
      </c>
      <c r="O16" s="223">
        <f>'30Year'!O55</f>
        <v>844.9</v>
      </c>
      <c r="P16" s="215">
        <f>'30Year'!P55</f>
        <v>70.400000000000006</v>
      </c>
    </row>
    <row r="17" spans="1:16" ht="22.15" customHeight="1" thickBot="1">
      <c r="B17" s="224" t="s">
        <v>20</v>
      </c>
      <c r="C17" s="225">
        <f>'30Year'!C56</f>
        <v>18.8</v>
      </c>
      <c r="D17" s="226">
        <f>'30Year'!D56</f>
        <v>43.2</v>
      </c>
      <c r="E17" s="226">
        <f>'30Year'!E56</f>
        <v>49.5</v>
      </c>
      <c r="F17" s="226">
        <f>'30Year'!F56</f>
        <v>100.9</v>
      </c>
      <c r="G17" s="227">
        <f>'30Year'!G56</f>
        <v>86.3</v>
      </c>
      <c r="H17" s="227">
        <f>'30Year'!H56</f>
        <v>101.3</v>
      </c>
      <c r="I17" s="227">
        <f>'30Year'!I56</f>
        <v>286.3</v>
      </c>
      <c r="J17" s="227">
        <f>'30Year'!J56</f>
        <v>279.5</v>
      </c>
      <c r="K17" s="227">
        <f>'30Year'!K56</f>
        <v>132.6</v>
      </c>
      <c r="L17" s="226">
        <f>'30Year'!L56</f>
        <v>83.7</v>
      </c>
      <c r="M17" s="226">
        <f>'30Year'!M56</f>
        <v>62.7</v>
      </c>
      <c r="N17" s="228">
        <f>'30Year'!N56</f>
        <v>40.5</v>
      </c>
      <c r="O17" s="225">
        <f>'30Year'!O56</f>
        <v>1285.2</v>
      </c>
      <c r="P17" s="228">
        <f>'30Year'!P56</f>
        <v>107.1</v>
      </c>
    </row>
    <row r="18" spans="1:16" ht="22.15" customHeight="1" thickBot="1">
      <c r="B18" s="229" t="s">
        <v>23</v>
      </c>
      <c r="C18" s="230">
        <f>'30Year'!C38</f>
        <v>24.5</v>
      </c>
      <c r="D18" s="231">
        <f>'30Year'!D38</f>
        <v>38.1</v>
      </c>
      <c r="E18" s="231">
        <f>'30Year'!E38</f>
        <v>53.4</v>
      </c>
      <c r="F18" s="231">
        <f>'30Year'!F38</f>
        <v>87.9</v>
      </c>
      <c r="G18" s="231">
        <f>'30Year'!G38</f>
        <v>97.8</v>
      </c>
      <c r="H18" s="231">
        <f>'30Year'!H38</f>
        <v>161.80000000000001</v>
      </c>
      <c r="I18" s="232">
        <f>'30Year'!I38</f>
        <v>292.3</v>
      </c>
      <c r="J18" s="232">
        <f>'30Year'!J38</f>
        <v>279</v>
      </c>
      <c r="K18" s="232">
        <f>'30Year'!K38</f>
        <v>144.1</v>
      </c>
      <c r="L18" s="232">
        <f>'30Year'!L38</f>
        <v>63.6</v>
      </c>
      <c r="M18" s="232">
        <f>'30Year'!M38</f>
        <v>52.1</v>
      </c>
      <c r="N18" s="233">
        <f>'30Year'!N38</f>
        <v>32.200000000000003</v>
      </c>
      <c r="O18" s="234">
        <f>'30Year'!O38</f>
        <v>1326.8</v>
      </c>
      <c r="P18" s="233">
        <f>'30Year'!P38</f>
        <v>110.6</v>
      </c>
    </row>
    <row r="19" spans="1:16" ht="22.15" customHeight="1"/>
    <row r="20" spans="1:16" ht="17.25" thickBot="1"/>
    <row r="21" spans="1:16" ht="17.25" thickTop="1">
      <c r="B21" s="235" t="s">
        <v>24</v>
      </c>
      <c r="C21" s="236"/>
      <c r="D21" s="237">
        <f>SUM(G17:K17)</f>
        <v>886</v>
      </c>
      <c r="F21" s="238"/>
    </row>
    <row r="22" spans="1:16">
      <c r="B22" s="239" t="s">
        <v>216</v>
      </c>
      <c r="D22" s="240">
        <f>O17</f>
        <v>1285.2</v>
      </c>
    </row>
    <row r="23" spans="1:16" ht="17.25" thickBot="1">
      <c r="B23" s="241"/>
      <c r="C23" s="242"/>
      <c r="D23" s="243">
        <f>D21/D22</f>
        <v>0.68938686585745412</v>
      </c>
    </row>
    <row r="24" spans="1:16" ht="18" thickTop="1" thickBot="1">
      <c r="D24" s="244"/>
    </row>
    <row r="25" spans="1:16">
      <c r="A25" s="207" t="s">
        <v>199</v>
      </c>
      <c r="B25" s="245" t="s">
        <v>111</v>
      </c>
      <c r="C25" s="246">
        <f>O16</f>
        <v>844.9</v>
      </c>
      <c r="D25" s="247" t="s">
        <v>30</v>
      </c>
    </row>
    <row r="26" spans="1:16">
      <c r="B26" s="248" t="s">
        <v>27</v>
      </c>
      <c r="C26" s="249">
        <f>O18</f>
        <v>1326.8</v>
      </c>
      <c r="D26" s="250" t="s">
        <v>29</v>
      </c>
      <c r="G26" s="251" t="s">
        <v>213</v>
      </c>
      <c r="H26" s="252">
        <v>0.16300000000000001</v>
      </c>
    </row>
    <row r="27" spans="1:16">
      <c r="B27" s="248" t="s">
        <v>206</v>
      </c>
      <c r="C27" s="253">
        <v>0.67</v>
      </c>
      <c r="D27" s="250"/>
      <c r="G27" s="71"/>
      <c r="H27" s="71"/>
    </row>
    <row r="28" spans="1:16">
      <c r="B28" s="254" t="s">
        <v>28</v>
      </c>
      <c r="C28" s="255">
        <f>Well!P4</f>
        <v>1437991</v>
      </c>
      <c r="D28" s="250" t="s">
        <v>31</v>
      </c>
    </row>
    <row r="29" spans="1:16" ht="16.5" customHeight="1" thickBot="1">
      <c r="B29" s="256" t="s">
        <v>32</v>
      </c>
      <c r="C29" s="257">
        <v>0.16300000000000001</v>
      </c>
      <c r="D29" s="258">
        <v>0.14369999999999999</v>
      </c>
    </row>
    <row r="30" spans="1:16">
      <c r="E30" s="244"/>
    </row>
    <row r="31" spans="1:16" ht="22.15" customHeight="1">
      <c r="B31" s="259" t="s">
        <v>217</v>
      </c>
      <c r="C31" s="260">
        <f>max*rf_1/10</f>
        <v>21.626840000000001</v>
      </c>
      <c r="D31" s="260">
        <f>max*rf_2/10</f>
        <v>19.066116000000001</v>
      </c>
      <c r="E31" s="261" t="s">
        <v>119</v>
      </c>
    </row>
    <row r="32" spans="1:16" ht="22.15" customHeight="1" thickBot="1">
      <c r="E32" s="244"/>
    </row>
    <row r="33" spans="1:6" ht="22.15" customHeight="1">
      <c r="B33" s="262" t="s">
        <v>25</v>
      </c>
      <c r="C33" s="263">
        <f>(C26*C28*C29)/1000</f>
        <v>310992.01278439997</v>
      </c>
      <c r="D33" s="264" t="s">
        <v>36</v>
      </c>
      <c r="F33" s="265"/>
    </row>
    <row r="34" spans="1:6" ht="22.15" customHeight="1" thickBot="1">
      <c r="B34" s="266"/>
      <c r="C34" s="267">
        <f>C33/365</f>
        <v>852.03291173808213</v>
      </c>
      <c r="D34" s="268" t="s">
        <v>33</v>
      </c>
    </row>
    <row r="35" spans="1:6" ht="22.15" customHeight="1" thickBot="1"/>
    <row r="36" spans="1:6" ht="22.15" customHeight="1">
      <c r="B36" s="269" t="s">
        <v>26</v>
      </c>
      <c r="C36" s="270">
        <f>C25*C28*C29/1000</f>
        <v>198038.25113169997</v>
      </c>
      <c r="D36" s="271" t="s">
        <v>34</v>
      </c>
    </row>
    <row r="37" spans="1:6" ht="22.15" customHeight="1" thickBot="1">
      <c r="B37" s="272"/>
      <c r="C37" s="273">
        <f>C36/365</f>
        <v>542.5705510457534</v>
      </c>
      <c r="D37" s="274" t="s">
        <v>35</v>
      </c>
    </row>
    <row r="38" spans="1:6" ht="18" thickTop="1" thickBot="1">
      <c r="B38" s="275" t="s">
        <v>218</v>
      </c>
      <c r="C38" s="276">
        <f>(C37/C34)*100</f>
        <v>63.679529695507988</v>
      </c>
      <c r="D38" s="277" t="s">
        <v>62</v>
      </c>
    </row>
    <row r="39" spans="1:6" ht="17.25" thickTop="1"/>
    <row r="40" spans="1:6">
      <c r="A40" s="207" t="s">
        <v>219</v>
      </c>
      <c r="C40" s="278">
        <v>115</v>
      </c>
      <c r="D40" s="279">
        <v>120</v>
      </c>
    </row>
    <row r="41" spans="1:6">
      <c r="A41" s="207" t="s">
        <v>220</v>
      </c>
      <c r="C41" s="280">
        <v>75</v>
      </c>
      <c r="D41" s="280">
        <v>80</v>
      </c>
    </row>
    <row r="42" spans="1:6">
      <c r="A42" s="207" t="s">
        <v>221</v>
      </c>
      <c r="C42" s="278">
        <v>95</v>
      </c>
      <c r="D42" s="279">
        <v>100</v>
      </c>
    </row>
    <row r="43" spans="1:6">
      <c r="A43" s="207" t="s">
        <v>222</v>
      </c>
      <c r="C43" s="278">
        <v>90</v>
      </c>
      <c r="D43" s="279">
        <v>95</v>
      </c>
    </row>
    <row r="44" spans="1:6">
      <c r="A44" s="207" t="s">
        <v>223</v>
      </c>
    </row>
    <row r="46" spans="1:6">
      <c r="A46" s="207" t="s">
        <v>114</v>
      </c>
    </row>
    <row r="48" spans="1:6">
      <c r="A48" s="207" t="s">
        <v>224</v>
      </c>
    </row>
    <row r="49" spans="1:12">
      <c r="A49" s="207" t="s">
        <v>225</v>
      </c>
    </row>
    <row r="51" spans="1:12">
      <c r="A51" s="71"/>
      <c r="B51" s="71"/>
      <c r="C51" s="71"/>
      <c r="D51" s="71"/>
      <c r="E51" s="71"/>
      <c r="F51" s="71"/>
      <c r="G51" s="71"/>
      <c r="H51" s="71"/>
      <c r="I51" s="71"/>
      <c r="J51" s="71"/>
      <c r="K51" s="71"/>
      <c r="L51" s="71"/>
    </row>
    <row r="52" spans="1:12" ht="17.25" thickBot="1">
      <c r="A52" s="71"/>
      <c r="B52" s="71"/>
      <c r="C52" s="71"/>
      <c r="D52" s="71"/>
      <c r="E52" s="71"/>
      <c r="F52" s="71"/>
      <c r="G52" s="71"/>
      <c r="H52" s="71"/>
      <c r="I52" s="71"/>
      <c r="J52" s="71"/>
      <c r="K52" s="71"/>
      <c r="L52" s="71"/>
    </row>
    <row r="53" spans="1:12" s="71" customFormat="1" ht="18" customHeight="1">
      <c r="A53" s="281" t="s">
        <v>189</v>
      </c>
      <c r="B53" s="282"/>
    </row>
    <row r="54" spans="1:12" s="71" customFormat="1" ht="18" customHeight="1" thickBot="1">
      <c r="A54" s="283"/>
      <c r="B54" s="284" t="s">
        <v>199</v>
      </c>
    </row>
    <row r="55" spans="1:12" s="71" customFormat="1" ht="18" customHeight="1">
      <c r="A55" s="285" t="s">
        <v>190</v>
      </c>
      <c r="B55" s="286">
        <v>83</v>
      </c>
    </row>
    <row r="56" spans="1:12" s="71" customFormat="1" ht="18" customHeight="1">
      <c r="A56" s="287" t="s">
        <v>191</v>
      </c>
      <c r="B56" s="288">
        <v>160</v>
      </c>
    </row>
    <row r="57" spans="1:12" s="71" customFormat="1" ht="18" customHeight="1">
      <c r="A57" s="287" t="s">
        <v>192</v>
      </c>
      <c r="B57" s="289">
        <v>60</v>
      </c>
    </row>
    <row r="58" spans="1:12" s="71" customFormat="1" ht="18" customHeight="1">
      <c r="A58" s="290" t="s">
        <v>193</v>
      </c>
      <c r="B58" s="291">
        <v>10</v>
      </c>
    </row>
    <row r="59" spans="1:12" s="71" customFormat="1" ht="18" customHeight="1">
      <c r="A59" s="290" t="s">
        <v>194</v>
      </c>
      <c r="B59" s="292">
        <f>B57+B58</f>
        <v>70</v>
      </c>
    </row>
    <row r="60" spans="1:12" s="71" customFormat="1" ht="18" customHeight="1">
      <c r="A60" s="290" t="s">
        <v>195</v>
      </c>
      <c r="B60" s="293">
        <v>0.47</v>
      </c>
    </row>
    <row r="61" spans="1:12" s="71" customFormat="1" ht="18" customHeight="1">
      <c r="A61" s="290"/>
      <c r="B61" s="291"/>
    </row>
    <row r="62" spans="1:12" s="71" customFormat="1" ht="18" customHeight="1">
      <c r="A62" s="290" t="s">
        <v>196</v>
      </c>
      <c r="B62" s="291">
        <f>ROUND((B56*B59)/(6572.5*B60),4)</f>
        <v>3.6257000000000001</v>
      </c>
    </row>
    <row r="63" spans="1:12" s="71" customFormat="1" ht="18" customHeight="1" thickBot="1">
      <c r="A63" s="294"/>
      <c r="B63" s="295">
        <f>ROUNDUP(B62,0)</f>
        <v>4</v>
      </c>
    </row>
    <row r="64" spans="1:12" s="71" customFormat="1" ht="18" customHeight="1">
      <c r="A64" s="285" t="s">
        <v>197</v>
      </c>
      <c r="B64" s="286">
        <v>5</v>
      </c>
    </row>
    <row r="65" spans="1:2" s="71" customFormat="1" ht="18" customHeight="1" thickBot="1">
      <c r="A65" s="296" t="s">
        <v>198</v>
      </c>
      <c r="B65" s="297">
        <f>ROUND((B64*B60*6572.5)/B59,1)</f>
        <v>220.6</v>
      </c>
    </row>
    <row r="66" spans="1:2" s="71" customFormat="1" ht="18" customHeight="1"/>
    <row r="67" spans="1:2" s="71" customFormat="1" ht="18" customHeight="1"/>
    <row r="68" spans="1:2" s="71" customFormat="1" ht="18" customHeight="1"/>
    <row r="69" spans="1:2" s="71" customFormat="1" ht="18" customHeight="1"/>
    <row r="70" spans="1:2" s="71" customFormat="1" ht="18" customHeight="1"/>
    <row r="71" spans="1:2" s="71" customFormat="1" ht="18" customHeight="1"/>
    <row r="72" spans="1:2" s="71" customFormat="1" ht="18" customHeight="1"/>
    <row r="73" spans="1:2" s="71" customFormat="1" ht="18" customHeight="1"/>
    <row r="74" spans="1:2" s="71" customFormat="1" ht="18" customHeight="1"/>
    <row r="75" spans="1:2" s="71" customFormat="1" ht="18" customHeight="1"/>
    <row r="76" spans="1:2" s="71" customFormat="1" ht="18" customHeight="1"/>
    <row r="77" spans="1:2" s="71" customFormat="1" ht="18" customHeight="1"/>
    <row r="78" spans="1:2" s="71" customFormat="1" ht="18" customHeight="1"/>
    <row r="79" spans="1:2" s="71" customFormat="1" ht="18" customHeight="1"/>
    <row r="80" spans="1:2" s="71" customFormat="1" ht="18" customHeight="1"/>
    <row r="81" s="71" customFormat="1" ht="18" customHeight="1"/>
    <row r="82" s="71" customFormat="1" ht="18" customHeight="1"/>
  </sheetData>
  <mergeCells count="1">
    <mergeCell ref="A53:B53"/>
  </mergeCells>
  <phoneticPr fontId="7" type="noConversion"/>
  <pageMargins left="0.7" right="0.7" top="0.75" bottom="0.75" header="0.3" footer="0.3"/>
  <pageSetup paperSize="9" orientation="portrait" horizontalDpi="4294967292" r:id="rId1"/>
  <drawing r:id="rId2"/>
  <legacyDrawing r:id="rId3"/>
  <controls>
    <mc:AlternateContent xmlns:mc="http://schemas.openxmlformats.org/markup-compatibility/2006">
      <mc:Choice Requires="x14">
        <control shapeId="50181" r:id="rId4" name="CommandButton1">
          <controlPr defaultSize="0" autoLine="0" r:id="rId5">
            <anchor moveWithCells="1">
              <from>
                <xdr:col>6</xdr:col>
                <xdr:colOff>314325</xdr:colOff>
                <xdr:row>47</xdr:row>
                <xdr:rowOff>9525</xdr:rowOff>
              </from>
              <to>
                <xdr:col>9</xdr:col>
                <xdr:colOff>257175</xdr:colOff>
                <xdr:row>49</xdr:row>
                <xdr:rowOff>104775</xdr:rowOff>
              </to>
            </anchor>
          </controlPr>
        </control>
      </mc:Choice>
      <mc:Fallback>
        <control shapeId="50181" r:id="rId4" name="CommandButton1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6"/>
  <dimension ref="A2:H14"/>
  <sheetViews>
    <sheetView workbookViewId="0">
      <selection activeCell="G18" sqref="G18"/>
    </sheetView>
  </sheetViews>
  <sheetFormatPr defaultRowHeight="16.5"/>
  <cols>
    <col min="1" max="1" width="28.5546875" style="71" customWidth="1"/>
    <col min="2" max="2" width="14.5546875" style="61" customWidth="1"/>
    <col min="3" max="3" width="4.77734375" style="71" customWidth="1"/>
    <col min="4" max="4" width="31.5546875" style="71" customWidth="1"/>
    <col min="5" max="5" width="8.88671875" style="72"/>
    <col min="6" max="6" width="8.88671875" style="71"/>
    <col min="7" max="7" width="36" style="71" customWidth="1"/>
    <col min="8" max="16384" width="8.88671875" style="71"/>
  </cols>
  <sheetData>
    <row r="2" spans="1:8" s="80" customFormat="1">
      <c r="A2" s="80" t="s">
        <v>176</v>
      </c>
      <c r="B2" s="81" t="s">
        <v>172</v>
      </c>
      <c r="D2" s="80" t="s">
        <v>175</v>
      </c>
      <c r="E2" s="82" t="s">
        <v>173</v>
      </c>
      <c r="G2" s="80" t="s">
        <v>174</v>
      </c>
    </row>
    <row r="3" spans="1:8">
      <c r="A3" s="71" t="s">
        <v>148</v>
      </c>
    </row>
    <row r="4" spans="1:8" s="76" customFormat="1">
      <c r="A4" s="75" t="s">
        <v>159</v>
      </c>
      <c r="B4" s="83">
        <v>2</v>
      </c>
      <c r="D4" s="75" t="s">
        <v>161</v>
      </c>
      <c r="E4" s="87">
        <v>10</v>
      </c>
      <c r="G4" s="75" t="s">
        <v>177</v>
      </c>
      <c r="H4" s="91">
        <v>1</v>
      </c>
    </row>
    <row r="5" spans="1:8">
      <c r="A5" s="73" t="s">
        <v>150</v>
      </c>
      <c r="B5" s="84">
        <v>3</v>
      </c>
      <c r="D5" s="73" t="s">
        <v>162</v>
      </c>
      <c r="E5" s="88">
        <v>10</v>
      </c>
      <c r="G5" s="73" t="s">
        <v>178</v>
      </c>
      <c r="H5" s="92">
        <v>3</v>
      </c>
    </row>
    <row r="6" spans="1:8" s="76" customFormat="1">
      <c r="A6" s="77" t="s">
        <v>151</v>
      </c>
      <c r="B6" s="85">
        <v>4</v>
      </c>
      <c r="D6" s="77" t="s">
        <v>163</v>
      </c>
      <c r="E6" s="89">
        <v>9</v>
      </c>
      <c r="G6" s="77" t="s">
        <v>149</v>
      </c>
      <c r="H6" s="93">
        <v>3</v>
      </c>
    </row>
    <row r="7" spans="1:8">
      <c r="A7" s="73" t="s">
        <v>152</v>
      </c>
      <c r="B7" s="84">
        <v>5</v>
      </c>
      <c r="D7" s="73" t="s">
        <v>164</v>
      </c>
      <c r="E7" s="88">
        <v>8</v>
      </c>
      <c r="G7" s="73" t="s">
        <v>154</v>
      </c>
      <c r="H7" s="92">
        <v>6</v>
      </c>
    </row>
    <row r="8" spans="1:8" s="76" customFormat="1">
      <c r="A8" s="77" t="s">
        <v>153</v>
      </c>
      <c r="B8" s="85">
        <v>6</v>
      </c>
      <c r="D8" s="77" t="s">
        <v>165</v>
      </c>
      <c r="E8" s="89">
        <v>7</v>
      </c>
      <c r="G8" s="77" t="s">
        <v>179</v>
      </c>
      <c r="H8" s="93">
        <v>6</v>
      </c>
    </row>
    <row r="9" spans="1:8">
      <c r="A9" s="73" t="s">
        <v>160</v>
      </c>
      <c r="B9" s="84">
        <v>6</v>
      </c>
      <c r="D9" s="73" t="s">
        <v>166</v>
      </c>
      <c r="E9" s="88">
        <v>6</v>
      </c>
      <c r="G9" s="73" t="s">
        <v>180</v>
      </c>
      <c r="H9" s="92">
        <v>6</v>
      </c>
    </row>
    <row r="10" spans="1:8" s="76" customFormat="1">
      <c r="A10" s="77" t="s">
        <v>158</v>
      </c>
      <c r="B10" s="85">
        <v>6</v>
      </c>
      <c r="D10" s="77" t="s">
        <v>167</v>
      </c>
      <c r="E10" s="89">
        <v>5</v>
      </c>
      <c r="G10" s="77" t="s">
        <v>181</v>
      </c>
      <c r="H10" s="93">
        <v>6</v>
      </c>
    </row>
    <row r="11" spans="1:8">
      <c r="A11" s="73" t="s">
        <v>155</v>
      </c>
      <c r="B11" s="84">
        <v>8</v>
      </c>
      <c r="D11" s="73" t="s">
        <v>168</v>
      </c>
      <c r="E11" s="88">
        <v>4</v>
      </c>
      <c r="G11" s="73" t="s">
        <v>150</v>
      </c>
      <c r="H11" s="92">
        <v>4</v>
      </c>
    </row>
    <row r="12" spans="1:8" s="76" customFormat="1">
      <c r="A12" s="77" t="s">
        <v>156</v>
      </c>
      <c r="B12" s="85">
        <v>9</v>
      </c>
      <c r="D12" s="77" t="s">
        <v>169</v>
      </c>
      <c r="E12" s="89">
        <v>3</v>
      </c>
      <c r="G12" s="77" t="s">
        <v>155</v>
      </c>
      <c r="H12" s="93">
        <v>8</v>
      </c>
    </row>
    <row r="13" spans="1:8">
      <c r="A13" s="74" t="s">
        <v>157</v>
      </c>
      <c r="B13" s="86">
        <v>10</v>
      </c>
      <c r="D13" s="73" t="s">
        <v>170</v>
      </c>
      <c r="E13" s="88">
        <v>2</v>
      </c>
      <c r="G13" s="73" t="s">
        <v>156</v>
      </c>
      <c r="H13" s="92">
        <v>9</v>
      </c>
    </row>
    <row r="14" spans="1:8" s="76" customFormat="1">
      <c r="B14" s="78"/>
      <c r="D14" s="79" t="s">
        <v>171</v>
      </c>
      <c r="E14" s="90">
        <v>1</v>
      </c>
      <c r="G14" s="79" t="s">
        <v>157</v>
      </c>
      <c r="H14" s="94">
        <v>10</v>
      </c>
    </row>
  </sheetData>
  <phoneticPr fontId="7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>
    <tabColor rgb="FF7030A0"/>
  </sheetPr>
  <dimension ref="A1:R72"/>
  <sheetViews>
    <sheetView workbookViewId="0">
      <selection activeCell="F23" sqref="F23"/>
    </sheetView>
  </sheetViews>
  <sheetFormatPr defaultColWidth="8.88671875" defaultRowHeight="16.5"/>
  <cols>
    <col min="1" max="1" width="5.21875" style="62" customWidth="1"/>
    <col min="2" max="2" width="14.5546875" style="61" customWidth="1"/>
    <col min="3" max="3" width="15.5546875" style="61" customWidth="1"/>
    <col min="4" max="4" width="14.109375" style="61" customWidth="1"/>
    <col min="5" max="5" width="9.6640625" style="61" customWidth="1"/>
    <col min="6" max="6" width="9.21875" style="61" customWidth="1"/>
    <col min="7" max="7" width="8.109375" style="61" customWidth="1"/>
    <col min="8" max="8" width="9.33203125" style="61" customWidth="1"/>
    <col min="9" max="9" width="7.77734375" style="61" customWidth="1"/>
    <col min="10" max="10" width="7.77734375" style="101" customWidth="1"/>
    <col min="11" max="11" width="8.109375" style="61" customWidth="1"/>
    <col min="12" max="12" width="5.33203125" style="61" customWidth="1"/>
    <col min="13" max="13" width="6.33203125" style="61" customWidth="1"/>
    <col min="14" max="14" width="6.5546875" style="61" customWidth="1"/>
    <col min="15" max="15" width="8.44140625" style="61" customWidth="1"/>
    <col min="16" max="16" width="12.21875" style="64" customWidth="1"/>
    <col min="17" max="17" width="15.6640625" style="61" customWidth="1"/>
    <col min="18" max="18" width="15" style="61" customWidth="1"/>
    <col min="19" max="16384" width="8.88671875" style="62"/>
  </cols>
  <sheetData>
    <row r="1" spans="1:18" ht="49.5" customHeight="1" thickBot="1">
      <c r="D1" s="95"/>
      <c r="E1" s="95"/>
      <c r="F1" s="63" t="s">
        <v>210</v>
      </c>
    </row>
    <row r="2" spans="1:18" s="61" customFormat="1" ht="30" customHeight="1">
      <c r="A2" s="176" t="s">
        <v>0</v>
      </c>
      <c r="B2" s="178" t="s">
        <v>52</v>
      </c>
      <c r="C2" s="178" t="s">
        <v>6</v>
      </c>
      <c r="D2" s="178" t="s">
        <v>50</v>
      </c>
      <c r="E2" s="178" t="s">
        <v>143</v>
      </c>
      <c r="F2" s="178" t="s">
        <v>51</v>
      </c>
      <c r="G2" s="184" t="s">
        <v>1</v>
      </c>
      <c r="H2" s="184" t="s">
        <v>2</v>
      </c>
      <c r="I2" s="184" t="s">
        <v>117</v>
      </c>
      <c r="J2" s="180" t="s">
        <v>118</v>
      </c>
      <c r="K2" s="184" t="s">
        <v>115</v>
      </c>
      <c r="L2" s="184" t="s">
        <v>3</v>
      </c>
      <c r="M2" s="184" t="s">
        <v>4</v>
      </c>
      <c r="N2" s="184" t="s">
        <v>5</v>
      </c>
      <c r="O2" s="184" t="s">
        <v>116</v>
      </c>
      <c r="P2" s="186" t="s">
        <v>53</v>
      </c>
      <c r="Q2" s="178" t="s">
        <v>188</v>
      </c>
      <c r="R2" s="182" t="s">
        <v>108</v>
      </c>
    </row>
    <row r="3" spans="1:18" s="61" customFormat="1" ht="30" customHeight="1" thickBot="1">
      <c r="A3" s="177"/>
      <c r="B3" s="179"/>
      <c r="C3" s="179"/>
      <c r="D3" s="179"/>
      <c r="E3" s="179"/>
      <c r="F3" s="179"/>
      <c r="G3" s="185"/>
      <c r="H3" s="185"/>
      <c r="I3" s="185"/>
      <c r="J3" s="181"/>
      <c r="K3" s="185"/>
      <c r="L3" s="185"/>
      <c r="M3" s="185"/>
      <c r="N3" s="185"/>
      <c r="O3" s="185"/>
      <c r="P3" s="187"/>
      <c r="Q3" s="179"/>
      <c r="R3" s="183"/>
    </row>
    <row r="4" spans="1:18" ht="30.75" customHeight="1" thickBot="1">
      <c r="A4" s="166" t="s">
        <v>183</v>
      </c>
      <c r="B4" s="159" t="s">
        <v>212</v>
      </c>
      <c r="C4" s="160"/>
      <c r="D4" s="160" t="s">
        <v>211</v>
      </c>
      <c r="E4" s="160"/>
      <c r="F4" s="160"/>
      <c r="G4" s="160">
        <v>250</v>
      </c>
      <c r="H4" s="160">
        <v>83</v>
      </c>
      <c r="I4" s="160">
        <v>150</v>
      </c>
      <c r="J4" s="161">
        <v>160</v>
      </c>
      <c r="K4" s="160">
        <v>150</v>
      </c>
      <c r="L4" s="160">
        <v>5</v>
      </c>
      <c r="M4" s="160">
        <v>60</v>
      </c>
      <c r="N4" s="162">
        <v>50</v>
      </c>
      <c r="O4" s="163">
        <v>265.3</v>
      </c>
      <c r="P4" s="164">
        <v>1437991</v>
      </c>
      <c r="Q4" s="160" t="s">
        <v>209</v>
      </c>
      <c r="R4" s="165" t="s">
        <v>208</v>
      </c>
    </row>
    <row r="5" spans="1:18" ht="23.25" customHeight="1">
      <c r="I5" s="155">
        <f>SUM(I4:I4)</f>
        <v>150</v>
      </c>
      <c r="J5"/>
    </row>
    <row r="6" spans="1:18">
      <c r="J6"/>
    </row>
    <row r="7" spans="1:18">
      <c r="J7"/>
    </row>
    <row r="8" spans="1:18">
      <c r="J8"/>
    </row>
    <row r="9" spans="1:18">
      <c r="J9"/>
    </row>
    <row r="10" spans="1:18">
      <c r="J10"/>
    </row>
    <row r="11" spans="1:18">
      <c r="J11"/>
    </row>
    <row r="12" spans="1:18">
      <c r="J12"/>
    </row>
    <row r="13" spans="1:18">
      <c r="J13"/>
    </row>
    <row r="14" spans="1:18">
      <c r="J14"/>
    </row>
    <row r="15" spans="1:18">
      <c r="J15"/>
    </row>
    <row r="16" spans="1:18">
      <c r="J16"/>
    </row>
    <row r="17" spans="10:10">
      <c r="J17"/>
    </row>
    <row r="18" spans="10:10">
      <c r="J18"/>
    </row>
    <row r="19" spans="10:10">
      <c r="J19"/>
    </row>
    <row r="20" spans="10:10">
      <c r="J20"/>
    </row>
    <row r="21" spans="10:10">
      <c r="J21"/>
    </row>
    <row r="22" spans="10:10">
      <c r="J22"/>
    </row>
    <row r="23" spans="10:10">
      <c r="J23"/>
    </row>
    <row r="24" spans="10:10">
      <c r="J24"/>
    </row>
    <row r="25" spans="10:10">
      <c r="J25"/>
    </row>
    <row r="26" spans="10:10">
      <c r="J26"/>
    </row>
    <row r="27" spans="10:10">
      <c r="J27"/>
    </row>
    <row r="28" spans="10:10">
      <c r="J28"/>
    </row>
    <row r="29" spans="10:10">
      <c r="J29"/>
    </row>
    <row r="30" spans="10:10">
      <c r="J30"/>
    </row>
    <row r="31" spans="10:10">
      <c r="J31"/>
    </row>
    <row r="32" spans="10:10">
      <c r="J32"/>
    </row>
    <row r="33" spans="10:10">
      <c r="J33"/>
    </row>
    <row r="34" spans="10:10">
      <c r="J34"/>
    </row>
    <row r="35" spans="10:10">
      <c r="J35"/>
    </row>
    <row r="36" spans="10:10">
      <c r="J36"/>
    </row>
    <row r="37" spans="10:10">
      <c r="J37"/>
    </row>
    <row r="38" spans="10:10">
      <c r="J38"/>
    </row>
    <row r="39" spans="10:10">
      <c r="J39"/>
    </row>
    <row r="40" spans="10:10">
      <c r="J40"/>
    </row>
    <row r="41" spans="10:10">
      <c r="J41"/>
    </row>
    <row r="42" spans="10:10">
      <c r="J42"/>
    </row>
    <row r="43" spans="10:10">
      <c r="J43"/>
    </row>
    <row r="44" spans="10:10">
      <c r="J44"/>
    </row>
    <row r="45" spans="10:10">
      <c r="J45"/>
    </row>
    <row r="46" spans="10:10">
      <c r="J46"/>
    </row>
    <row r="47" spans="10:10">
      <c r="J47"/>
    </row>
    <row r="48" spans="10:10">
      <c r="J48"/>
    </row>
    <row r="49" spans="10:10">
      <c r="J49"/>
    </row>
    <row r="50" spans="10:10">
      <c r="J50"/>
    </row>
    <row r="51" spans="10:10">
      <c r="J51"/>
    </row>
    <row r="52" spans="10:10">
      <c r="J52"/>
    </row>
    <row r="53" spans="10:10">
      <c r="J53"/>
    </row>
    <row r="54" spans="10:10">
      <c r="J54"/>
    </row>
    <row r="55" spans="10:10">
      <c r="J55"/>
    </row>
    <row r="56" spans="10:10">
      <c r="J56"/>
    </row>
    <row r="57" spans="10:10">
      <c r="J57"/>
    </row>
    <row r="58" spans="10:10">
      <c r="J58"/>
    </row>
    <row r="59" spans="10:10">
      <c r="J59"/>
    </row>
    <row r="60" spans="10:10">
      <c r="J60"/>
    </row>
    <row r="61" spans="10:10">
      <c r="J61"/>
    </row>
    <row r="62" spans="10:10">
      <c r="J62"/>
    </row>
    <row r="63" spans="10:10">
      <c r="J63"/>
    </row>
    <row r="64" spans="10:10">
      <c r="J64"/>
    </row>
    <row r="65" spans="10:10">
      <c r="J65"/>
    </row>
    <row r="66" spans="10:10">
      <c r="J66"/>
    </row>
    <row r="67" spans="10:10">
      <c r="J67"/>
    </row>
    <row r="68" spans="10:10">
      <c r="J68"/>
    </row>
    <row r="69" spans="10:10">
      <c r="J69"/>
    </row>
    <row r="70" spans="10:10">
      <c r="J70"/>
    </row>
    <row r="71" spans="10:10">
      <c r="J71"/>
    </row>
    <row r="72" spans="10:10">
      <c r="J72"/>
    </row>
  </sheetData>
  <mergeCells count="18">
    <mergeCell ref="Q2:Q3"/>
    <mergeCell ref="R2:R3"/>
    <mergeCell ref="O2:O3"/>
    <mergeCell ref="P2:P3"/>
    <mergeCell ref="B2:B3"/>
    <mergeCell ref="H2:H3"/>
    <mergeCell ref="I2:I3"/>
    <mergeCell ref="K2:K3"/>
    <mergeCell ref="L2:L3"/>
    <mergeCell ref="M2:M3"/>
    <mergeCell ref="N2:N3"/>
    <mergeCell ref="G2:G3"/>
    <mergeCell ref="A2:A3"/>
    <mergeCell ref="C2:C3"/>
    <mergeCell ref="D2:D3"/>
    <mergeCell ref="F2:F3"/>
    <mergeCell ref="J2:J3"/>
    <mergeCell ref="E2:E3"/>
  </mergeCells>
  <phoneticPr fontId="7" type="noConversion"/>
  <pageMargins left="1.1200000000000001" right="0.48" top="0.82" bottom="0.49" header="0.81" footer="0.46"/>
  <pageSetup paperSize="9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99330" r:id="rId4" name="CommandButton2">
          <controlPr defaultSize="0" autoLine="0" r:id="rId5">
            <anchor moveWithCells="1">
              <from>
                <xdr:col>2</xdr:col>
                <xdr:colOff>981075</xdr:colOff>
                <xdr:row>0</xdr:row>
                <xdr:rowOff>76200</xdr:rowOff>
              </from>
              <to>
                <xdr:col>4</xdr:col>
                <xdr:colOff>342900</xdr:colOff>
                <xdr:row>0</xdr:row>
                <xdr:rowOff>533400</xdr:rowOff>
              </to>
            </anchor>
          </controlPr>
        </control>
      </mc:Choice>
      <mc:Fallback>
        <control shapeId="99330" r:id="rId4" name="CommandButton2"/>
      </mc:Fallback>
    </mc:AlternateContent>
    <mc:AlternateContent xmlns:mc="http://schemas.openxmlformats.org/markup-compatibility/2006">
      <mc:Choice Requires="x14">
        <control shapeId="99329" r:id="rId6" name="CommandButton1">
          <controlPr defaultSize="0" autoLine="0" r:id="rId7">
            <anchor moveWithCells="1">
              <from>
                <xdr:col>1</xdr:col>
                <xdr:colOff>228600</xdr:colOff>
                <xdr:row>0</xdr:row>
                <xdr:rowOff>76200</xdr:rowOff>
              </from>
              <to>
                <xdr:col>2</xdr:col>
                <xdr:colOff>885825</xdr:colOff>
                <xdr:row>0</xdr:row>
                <xdr:rowOff>533400</xdr:rowOff>
              </to>
            </anchor>
          </controlPr>
        </control>
      </mc:Choice>
      <mc:Fallback>
        <control shapeId="99329" r:id="rId6" name="CommandButton1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>
    <tabColor rgb="FFFF0000"/>
  </sheetPr>
  <dimension ref="A2:M39"/>
  <sheetViews>
    <sheetView workbookViewId="0">
      <selection activeCell="H19" sqref="H19"/>
    </sheetView>
  </sheetViews>
  <sheetFormatPr defaultColWidth="8.88671875" defaultRowHeight="13.5"/>
  <cols>
    <col min="1" max="1" width="10.44140625" style="2" customWidth="1"/>
    <col min="2" max="2" width="16.44140625" style="2" customWidth="1"/>
    <col min="3" max="3" width="19.109375" style="2" customWidth="1"/>
    <col min="4" max="4" width="17.109375" style="2" customWidth="1"/>
    <col min="5" max="5" width="15" style="2" customWidth="1"/>
    <col min="6" max="6" width="14.44140625" style="2" customWidth="1"/>
    <col min="7" max="7" width="14.21875" style="2" customWidth="1"/>
    <col min="8" max="8" width="14" style="2" customWidth="1"/>
    <col min="9" max="9" width="20" style="2" customWidth="1"/>
    <col min="10" max="10" width="14.5546875" style="2" customWidth="1"/>
    <col min="11" max="11" width="15.21875" style="2" customWidth="1"/>
    <col min="12" max="16384" width="8.88671875" style="2"/>
  </cols>
  <sheetData>
    <row r="2" spans="1:13" ht="33" customHeight="1" thickBot="1">
      <c r="B2" s="38" t="s">
        <v>184</v>
      </c>
      <c r="C2" s="2" t="str">
        <f>Well!D4</f>
        <v>장구리 436-3</v>
      </c>
      <c r="I2"/>
      <c r="J2"/>
      <c r="K2"/>
      <c r="L2"/>
      <c r="M2"/>
    </row>
    <row r="3" spans="1:13" ht="26.1" customHeight="1">
      <c r="B3" s="3" t="s">
        <v>63</v>
      </c>
      <c r="C3" s="361">
        <f>Well!C4</f>
        <v>0</v>
      </c>
      <c r="D3" s="4" t="s">
        <v>64</v>
      </c>
      <c r="E3" s="5" t="s">
        <v>144</v>
      </c>
      <c r="F3" s="6" t="s">
        <v>133</v>
      </c>
      <c r="G3" s="3" t="s">
        <v>65</v>
      </c>
      <c r="I3"/>
      <c r="J3"/>
      <c r="K3"/>
      <c r="L3"/>
      <c r="M3"/>
    </row>
    <row r="4" spans="1:13" ht="26.1" customHeight="1">
      <c r="B4" s="7" t="s">
        <v>66</v>
      </c>
      <c r="C4" s="362" t="str">
        <f>Well!R4</f>
        <v>127, 9, 0</v>
      </c>
      <c r="D4" s="8" t="s">
        <v>67</v>
      </c>
      <c r="E4" s="9">
        <v>0</v>
      </c>
      <c r="F4" s="10"/>
      <c r="G4" s="11"/>
      <c r="I4"/>
      <c r="J4"/>
      <c r="K4"/>
      <c r="L4"/>
      <c r="M4"/>
    </row>
    <row r="5" spans="1:13" ht="26.1" customHeight="1">
      <c r="B5" s="7" t="s">
        <v>68</v>
      </c>
      <c r="C5" s="362" t="str">
        <f>Well!Q4</f>
        <v>36, 9, 11</v>
      </c>
      <c r="D5" s="8" t="s">
        <v>69</v>
      </c>
      <c r="E5" s="50">
        <v>15.64</v>
      </c>
      <c r="F5" s="51">
        <f>$E$5/$C$14</f>
        <v>0.21722222222222223</v>
      </c>
      <c r="G5" s="11">
        <v>6.2330000000000003E-4</v>
      </c>
      <c r="I5"/>
      <c r="J5"/>
      <c r="K5"/>
      <c r="L5"/>
      <c r="M5"/>
    </row>
    <row r="6" spans="1:13" ht="26.1" customHeight="1">
      <c r="B6" s="7" t="s">
        <v>70</v>
      </c>
      <c r="C6" s="363" t="str">
        <f>Well!D4</f>
        <v>장구리 436-3</v>
      </c>
      <c r="D6" s="8" t="s">
        <v>72</v>
      </c>
      <c r="E6" s="9">
        <v>9.8019999999999996</v>
      </c>
      <c r="F6" s="51">
        <f>$E$6/$C$14</f>
        <v>0.13613888888888889</v>
      </c>
      <c r="G6" s="11" t="s">
        <v>73</v>
      </c>
      <c r="I6"/>
      <c r="J6"/>
      <c r="K6"/>
      <c r="L6"/>
      <c r="M6"/>
    </row>
    <row r="7" spans="1:13" ht="26.1" customHeight="1" thickBot="1">
      <c r="B7" s="7" t="s">
        <v>71</v>
      </c>
      <c r="C7" s="364">
        <f>Well!H4</f>
        <v>83</v>
      </c>
      <c r="D7" s="48" t="s">
        <v>75</v>
      </c>
      <c r="E7" s="49">
        <f>(E5+E6)/2</f>
        <v>12.721</v>
      </c>
      <c r="F7" s="52">
        <f>$E$7/$C$14</f>
        <v>0.17668055555555556</v>
      </c>
      <c r="G7" s="48">
        <f>G5</f>
        <v>6.2330000000000003E-4</v>
      </c>
      <c r="I7"/>
      <c r="J7"/>
      <c r="K7"/>
      <c r="L7"/>
      <c r="M7"/>
    </row>
    <row r="8" spans="1:13" ht="26.1" customHeight="1" thickBot="1">
      <c r="B8" s="7" t="s">
        <v>74</v>
      </c>
      <c r="C8" s="364">
        <f>Well!G4</f>
        <v>250</v>
      </c>
      <c r="I8"/>
      <c r="J8"/>
      <c r="K8"/>
      <c r="L8"/>
    </row>
    <row r="9" spans="1:13" ht="26.1" customHeight="1" thickBot="1">
      <c r="B9" s="7" t="s">
        <v>76</v>
      </c>
      <c r="C9" s="364">
        <f>C10+C11</f>
        <v>11</v>
      </c>
      <c r="D9" s="12"/>
      <c r="E9" s="13" t="s">
        <v>134</v>
      </c>
      <c r="F9" s="53" t="s">
        <v>135</v>
      </c>
      <c r="G9" s="14" t="s">
        <v>136</v>
      </c>
    </row>
    <row r="10" spans="1:13" ht="26.1" customHeight="1" thickBot="1">
      <c r="B10" s="7" t="s">
        <v>77</v>
      </c>
      <c r="C10" s="362">
        <v>3</v>
      </c>
      <c r="D10" s="15" t="s">
        <v>78</v>
      </c>
      <c r="E10" s="16">
        <v>117.9</v>
      </c>
      <c r="F10" s="17">
        <v>144.5</v>
      </c>
      <c r="G10" s="18">
        <v>214.3</v>
      </c>
      <c r="H10" s="19"/>
      <c r="I10" s="20"/>
    </row>
    <row r="11" spans="1:13" ht="26.1" customHeight="1" thickBot="1">
      <c r="B11" s="7" t="s">
        <v>79</v>
      </c>
      <c r="C11" s="362">
        <v>8</v>
      </c>
      <c r="D11" s="47" t="s">
        <v>80</v>
      </c>
      <c r="E11" s="65">
        <f>ROUND(AVERAGE(E10:G10),1)</f>
        <v>158.9</v>
      </c>
      <c r="F11" s="22"/>
      <c r="G11" s="22"/>
      <c r="H11" s="19"/>
      <c r="I11" s="20"/>
      <c r="J11" s="188" t="s">
        <v>142</v>
      </c>
      <c r="K11" s="189"/>
    </row>
    <row r="12" spans="1:13" ht="26.1" customHeight="1" thickBot="1">
      <c r="A12" s="21" t="str">
        <f>IF(A13&lt;&gt;C7,"CHECK","OK")</f>
        <v>OK</v>
      </c>
      <c r="B12" s="7" t="s">
        <v>81</v>
      </c>
      <c r="C12" s="362">
        <f>C7-C9</f>
        <v>72</v>
      </c>
      <c r="H12" s="23"/>
      <c r="J12" s="67" t="s">
        <v>145</v>
      </c>
      <c r="K12" s="68">
        <v>8</v>
      </c>
      <c r="L12" s="102">
        <f>K12+180</f>
        <v>188</v>
      </c>
    </row>
    <row r="13" spans="1:13" ht="26.1" customHeight="1">
      <c r="A13" s="21">
        <f>C10+C11+C12+C13</f>
        <v>83</v>
      </c>
      <c r="B13" s="7" t="s">
        <v>82</v>
      </c>
      <c r="C13" s="362"/>
      <c r="H13" s="24"/>
      <c r="J13" s="54" t="s">
        <v>137</v>
      </c>
      <c r="K13" s="55">
        <v>958</v>
      </c>
      <c r="L13" s="69"/>
    </row>
    <row r="14" spans="1:13" ht="26.1" customHeight="1">
      <c r="B14" s="7" t="s">
        <v>83</v>
      </c>
      <c r="C14" s="365">
        <f>C7-IF(C20&gt;C9,C20,C9)</f>
        <v>72</v>
      </c>
      <c r="H14" s="24"/>
      <c r="J14" s="56" t="s">
        <v>138</v>
      </c>
      <c r="K14" s="57">
        <v>16</v>
      </c>
      <c r="L14" s="69"/>
    </row>
    <row r="15" spans="1:13" ht="26.1" customHeight="1" thickBot="1">
      <c r="B15" s="7" t="s">
        <v>84</v>
      </c>
      <c r="C15" s="364">
        <f>Well!I4</f>
        <v>150</v>
      </c>
      <c r="E15" s="66">
        <v>1</v>
      </c>
      <c r="J15" s="56" t="s">
        <v>139</v>
      </c>
      <c r="K15" s="57">
        <v>6</v>
      </c>
      <c r="L15" s="69"/>
    </row>
    <row r="16" spans="1:13" ht="26.1" customHeight="1">
      <c r="B16" s="7" t="s">
        <v>85</v>
      </c>
      <c r="C16" s="366">
        <f>Well!J4</f>
        <v>160</v>
      </c>
      <c r="E16" s="3" t="s">
        <v>88</v>
      </c>
      <c r="F16" s="45" t="s">
        <v>113</v>
      </c>
      <c r="G16" s="43" t="s">
        <v>112</v>
      </c>
      <c r="H16" s="24"/>
      <c r="J16" s="56" t="s">
        <v>146</v>
      </c>
      <c r="K16" s="58">
        <f>K14-C20</f>
        <v>12.1</v>
      </c>
      <c r="L16" s="69"/>
    </row>
    <row r="17" spans="2:12" ht="26.1" customHeight="1" thickBot="1">
      <c r="B17" s="7" t="s">
        <v>86</v>
      </c>
      <c r="C17" s="364">
        <f>Well!L4</f>
        <v>5</v>
      </c>
      <c r="E17" s="27">
        <f>Well!P4</f>
        <v>1437991</v>
      </c>
      <c r="F17" s="46">
        <f>(max*rf_1*E17/1000)</f>
        <v>310992.01278440002</v>
      </c>
      <c r="G17" s="44">
        <f>F17*allow_ratio</f>
        <v>208364.64856554804</v>
      </c>
      <c r="J17" s="56" t="s">
        <v>140</v>
      </c>
      <c r="K17" s="58">
        <f>K16-K15</f>
        <v>6.1</v>
      </c>
      <c r="L17" s="69"/>
    </row>
    <row r="18" spans="2:12" ht="26.1" customHeight="1" thickBot="1">
      <c r="B18" s="7" t="s">
        <v>87</v>
      </c>
      <c r="C18" s="364">
        <f>Well!M4</f>
        <v>60</v>
      </c>
      <c r="E18" s="3" t="s">
        <v>88</v>
      </c>
      <c r="F18" s="45" t="s">
        <v>89</v>
      </c>
      <c r="G18" s="43" t="s">
        <v>90</v>
      </c>
      <c r="I18" s="42"/>
      <c r="J18" s="59" t="s">
        <v>141</v>
      </c>
      <c r="K18" s="60">
        <f>(K17/K13)</f>
        <v>6.3674321503131518E-3</v>
      </c>
      <c r="L18" s="70">
        <f>K18*100</f>
        <v>0.63674321503131515</v>
      </c>
    </row>
    <row r="19" spans="2:12" ht="26.1" customHeight="1" thickBot="1">
      <c r="B19" s="26" t="s">
        <v>91</v>
      </c>
      <c r="C19" s="367">
        <f>Well!N4</f>
        <v>50</v>
      </c>
      <c r="E19" s="371">
        <f>E17</f>
        <v>1437991</v>
      </c>
      <c r="F19" s="46">
        <f>(max*rf_1*E19/1000)/365</f>
        <v>852.03291173808225</v>
      </c>
      <c r="G19" s="44">
        <f>F19*allow_ratio</f>
        <v>570.86205086451514</v>
      </c>
    </row>
    <row r="20" spans="2:12" ht="26.1" customHeight="1">
      <c r="B20" s="28" t="s">
        <v>92</v>
      </c>
      <c r="C20" s="368">
        <v>3.9</v>
      </c>
      <c r="D20" s="21"/>
      <c r="E20" s="40" t="s">
        <v>110</v>
      </c>
      <c r="F20" s="41" t="s">
        <v>93</v>
      </c>
      <c r="G20" s="39" t="s">
        <v>94</v>
      </c>
    </row>
    <row r="21" spans="2:12" ht="26.1" customHeight="1" thickBot="1">
      <c r="B21" s="26" t="s">
        <v>95</v>
      </c>
      <c r="C21" s="369">
        <v>12.08</v>
      </c>
      <c r="D21" s="21"/>
      <c r="E21" s="372">
        <f>Well!$I$4</f>
        <v>150</v>
      </c>
      <c r="F21" s="373">
        <f>Well!O4</f>
        <v>265.3</v>
      </c>
      <c r="G21" s="44">
        <f>G19-E21-F21</f>
        <v>155.56205086451513</v>
      </c>
    </row>
    <row r="22" spans="2:12" ht="26.1" customHeight="1" thickBot="1">
      <c r="B22" s="47" t="s">
        <v>205</v>
      </c>
      <c r="C22" s="370">
        <f>C21-C20</f>
        <v>8.18</v>
      </c>
      <c r="E22" s="25"/>
      <c r="F22" s="25"/>
      <c r="G22" s="25"/>
      <c r="I22" s="24"/>
    </row>
    <row r="23" spans="2:12" ht="16.149999999999999" customHeight="1">
      <c r="E23" s="25"/>
      <c r="F23" s="25"/>
      <c r="G23" s="25"/>
    </row>
    <row r="24" spans="2:12" ht="16.149999999999999" customHeight="1" thickBot="1">
      <c r="E24" s="29"/>
      <c r="F24" s="29"/>
      <c r="G24" s="29"/>
      <c r="H24" s="29"/>
    </row>
    <row r="25" spans="2:12" ht="69" customHeight="1" thickBot="1">
      <c r="B25" s="374" t="s">
        <v>120</v>
      </c>
      <c r="C25" s="375"/>
      <c r="D25" s="376" t="s">
        <v>131</v>
      </c>
      <c r="E25" s="376" t="s">
        <v>132</v>
      </c>
      <c r="F25" s="376" t="s">
        <v>121</v>
      </c>
      <c r="G25" s="376" t="s">
        <v>122</v>
      </c>
      <c r="H25" s="376" t="s">
        <v>147</v>
      </c>
      <c r="I25" s="376" t="s">
        <v>123</v>
      </c>
      <c r="J25" s="376" t="s">
        <v>124</v>
      </c>
      <c r="K25" s="376" t="s">
        <v>125</v>
      </c>
    </row>
    <row r="26" spans="2:12" ht="55.5" customHeight="1" thickBot="1">
      <c r="B26" s="377" t="s">
        <v>126</v>
      </c>
      <c r="C26" s="166" t="s">
        <v>127</v>
      </c>
      <c r="D26" s="381">
        <f>C20</f>
        <v>3.9</v>
      </c>
      <c r="E26" s="382">
        <f>Recharge!C31</f>
        <v>21.626840000000001</v>
      </c>
      <c r="F26" s="383" t="s">
        <v>182</v>
      </c>
      <c r="G26" s="381" t="s">
        <v>187</v>
      </c>
      <c r="H26" s="384">
        <f>L18</f>
        <v>0.63674321503131515</v>
      </c>
      <c r="I26" s="381" t="s">
        <v>182</v>
      </c>
      <c r="J26" s="381">
        <f>(E7/C14)/864</f>
        <v>2.0449138374485596E-4</v>
      </c>
      <c r="K26" s="381" t="s">
        <v>214</v>
      </c>
    </row>
    <row r="27" spans="2:12" ht="36.75" customHeight="1" thickBot="1">
      <c r="B27" s="378"/>
      <c r="C27" s="166" t="s">
        <v>128</v>
      </c>
      <c r="D27" s="61">
        <v>9</v>
      </c>
      <c r="E27" s="61">
        <v>8</v>
      </c>
      <c r="F27" s="61">
        <v>3</v>
      </c>
      <c r="G27" s="61">
        <v>4</v>
      </c>
      <c r="H27" s="61">
        <v>10</v>
      </c>
      <c r="I27" s="61">
        <v>4</v>
      </c>
      <c r="J27" s="61">
        <v>4</v>
      </c>
      <c r="K27" s="385"/>
    </row>
    <row r="28" spans="2:12" ht="36.75" customHeight="1" thickBot="1">
      <c r="B28" s="378"/>
      <c r="C28" s="379" t="s">
        <v>129</v>
      </c>
      <c r="D28" s="386">
        <v>5</v>
      </c>
      <c r="E28" s="386">
        <v>4</v>
      </c>
      <c r="F28" s="386">
        <v>3</v>
      </c>
      <c r="G28" s="386">
        <v>5</v>
      </c>
      <c r="H28" s="386">
        <v>3</v>
      </c>
      <c r="I28" s="386">
        <v>4</v>
      </c>
      <c r="J28" s="386">
        <v>2</v>
      </c>
      <c r="K28" s="386"/>
    </row>
    <row r="29" spans="2:12" ht="36.75" customHeight="1" thickBot="1">
      <c r="B29" s="380"/>
      <c r="C29" s="166" t="s">
        <v>130</v>
      </c>
      <c r="D29" s="387">
        <f>D27*D28</f>
        <v>45</v>
      </c>
      <c r="E29" s="387">
        <f t="shared" ref="E29:J29" si="0">E27*E28</f>
        <v>32</v>
      </c>
      <c r="F29" s="387">
        <f t="shared" si="0"/>
        <v>9</v>
      </c>
      <c r="G29" s="387">
        <f t="shared" si="0"/>
        <v>20</v>
      </c>
      <c r="H29" s="387">
        <f t="shared" si="0"/>
        <v>30</v>
      </c>
      <c r="I29" s="387">
        <f t="shared" si="0"/>
        <v>16</v>
      </c>
      <c r="J29" s="387">
        <f t="shared" si="0"/>
        <v>8</v>
      </c>
      <c r="K29" s="387">
        <f>SUM(D29:J29)</f>
        <v>160</v>
      </c>
    </row>
    <row r="30" spans="2:12" ht="20.100000000000001" customHeight="1"/>
    <row r="31" spans="2:12" ht="20.100000000000001" customHeight="1"/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</sheetData>
  <mergeCells count="3">
    <mergeCell ref="B25:C25"/>
    <mergeCell ref="B26:B29"/>
    <mergeCell ref="J11:K1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092" r:id="rId4" name="CommandButton1">
          <controlPr defaultSize="0" autoLine="0" r:id="rId5">
            <anchor moveWithCells="1">
              <from>
                <xdr:col>7</xdr:col>
                <xdr:colOff>371475</xdr:colOff>
                <xdr:row>10</xdr:row>
                <xdr:rowOff>76200</xdr:rowOff>
              </from>
              <to>
                <xdr:col>8</xdr:col>
                <xdr:colOff>1333500</xdr:colOff>
                <xdr:row>11</xdr:row>
                <xdr:rowOff>171450</xdr:rowOff>
              </to>
            </anchor>
          </controlPr>
        </control>
      </mc:Choice>
      <mc:Fallback>
        <control shapeId="3092" r:id="rId4" name="CommandButton1"/>
      </mc:Fallback>
    </mc:AlternateContent>
    <mc:AlternateContent xmlns:mc="http://schemas.openxmlformats.org/markup-compatibility/2006">
      <mc:Choice Requires="x14">
        <control shapeId="3093" r:id="rId6" name="CommandButton2">
          <controlPr defaultSize="0" autoLine="0" r:id="rId7">
            <anchor moveWithCells="1">
              <from>
                <xdr:col>7</xdr:col>
                <xdr:colOff>371475</xdr:colOff>
                <xdr:row>11</xdr:row>
                <xdr:rowOff>247650</xdr:rowOff>
              </from>
              <to>
                <xdr:col>8</xdr:col>
                <xdr:colOff>1333500</xdr:colOff>
                <xdr:row>13</xdr:row>
                <xdr:rowOff>19050</xdr:rowOff>
              </to>
            </anchor>
          </controlPr>
        </control>
      </mc:Choice>
      <mc:Fallback>
        <control shapeId="3093" r:id="rId6" name="CommandButton2"/>
      </mc:Fallback>
    </mc:AlternateContent>
    <mc:AlternateContent xmlns:mc="http://schemas.openxmlformats.org/markup-compatibility/2006">
      <mc:Choice Requires="x14">
        <control shapeId="3094" r:id="rId8" name="CommandButton3">
          <controlPr defaultSize="0" autoLine="0" r:id="rId9">
            <anchor moveWithCells="1">
              <from>
                <xdr:col>7</xdr:col>
                <xdr:colOff>371475</xdr:colOff>
                <xdr:row>13</xdr:row>
                <xdr:rowOff>95250</xdr:rowOff>
              </from>
              <to>
                <xdr:col>8</xdr:col>
                <xdr:colOff>1333500</xdr:colOff>
                <xdr:row>14</xdr:row>
                <xdr:rowOff>190500</xdr:rowOff>
              </to>
            </anchor>
          </controlPr>
        </control>
      </mc:Choice>
      <mc:Fallback>
        <control shapeId="3094" r:id="rId8" name="CommandButton3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 xr:uid="{00000000-0002-0000-0600-000000000000}">
          <x14:formula1>
            <xm:f>drastic!$A$4:$A$13</xm:f>
          </x14:formula1>
          <xm:sqref>F26</xm:sqref>
        </x14:dataValidation>
        <x14:dataValidation type="list" allowBlank="1" showInputMessage="1" showErrorMessage="1" xr:uid="{00000000-0002-0000-0600-000001000000}">
          <x14:formula1>
            <xm:f>drastic!$D$4:$D$14</xm:f>
          </x14:formula1>
          <xm:sqref>G26</xm:sqref>
        </x14:dataValidation>
        <x14:dataValidation type="list" allowBlank="1" showInputMessage="1" showErrorMessage="1" xr:uid="{00000000-0002-0000-0600-000002000000}">
          <x14:formula1>
            <xm:f>drastic!$G$4:$G$14</xm:f>
          </x14:formula1>
          <xm:sqref>I26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CFBEA2-85E7-4BA5-9A67-A905C0ED0A98}">
  <sheetPr codeName="Sheet30"/>
  <dimension ref="B1:J44"/>
  <sheetViews>
    <sheetView topLeftCell="A10" workbookViewId="0">
      <selection activeCell="I7" sqref="I7"/>
    </sheetView>
  </sheetViews>
  <sheetFormatPr defaultColWidth="8.88671875" defaultRowHeight="14.25"/>
  <cols>
    <col min="1" max="1" width="8.88671875" style="37"/>
    <col min="2" max="2" width="13.109375" style="37" customWidth="1"/>
    <col min="3" max="3" width="10" style="37" customWidth="1"/>
    <col min="4" max="4" width="8.77734375" style="37" customWidth="1"/>
    <col min="5" max="6" width="8.77734375" style="36" customWidth="1"/>
    <col min="7" max="13" width="8.77734375" style="37" customWidth="1"/>
    <col min="14" max="16384" width="8.88671875" style="37"/>
  </cols>
  <sheetData>
    <row r="1" spans="2:9" s="30" customFormat="1" ht="18" customHeight="1">
      <c r="E1" s="1"/>
      <c r="F1" s="1"/>
    </row>
    <row r="2" spans="2:9" s="30" customFormat="1" ht="18" customHeight="1">
      <c r="B2" s="30" t="s">
        <v>96</v>
      </c>
      <c r="E2" s="1"/>
      <c r="F2" s="1"/>
    </row>
    <row r="3" spans="2:9" s="30" customFormat="1" ht="18" customHeight="1">
      <c r="E3" s="1"/>
      <c r="F3" s="1"/>
    </row>
    <row r="4" spans="2:9" s="30" customFormat="1" ht="18" customHeight="1">
      <c r="B4" s="127" t="s">
        <v>109</v>
      </c>
      <c r="E4" s="1"/>
      <c r="F4" s="1"/>
    </row>
    <row r="5" spans="2:9" s="30" customFormat="1" ht="18" customHeight="1" thickBot="1">
      <c r="E5" s="1"/>
      <c r="F5" s="1"/>
    </row>
    <row r="6" spans="2:9" s="30" customFormat="1" ht="26.1" customHeight="1" thickBot="1">
      <c r="B6" s="128" t="s">
        <v>97</v>
      </c>
      <c r="C6" s="129">
        <v>43577.375</v>
      </c>
      <c r="D6" s="32"/>
      <c r="E6" s="1"/>
      <c r="F6" s="1"/>
    </row>
    <row r="7" spans="2:9" s="30" customFormat="1" ht="26.1" customHeight="1" thickBot="1">
      <c r="B7" s="31" t="s">
        <v>98</v>
      </c>
      <c r="C7" s="33">
        <v>14</v>
      </c>
      <c r="D7" s="32"/>
      <c r="E7" s="1"/>
      <c r="F7" s="1"/>
    </row>
    <row r="8" spans="2:9" s="30" customFormat="1" ht="26.1" customHeight="1">
      <c r="B8" s="34" t="s">
        <v>99</v>
      </c>
      <c r="C8" s="35">
        <v>226</v>
      </c>
      <c r="D8" s="34">
        <v>229</v>
      </c>
      <c r="E8" s="1"/>
      <c r="F8" s="1"/>
    </row>
    <row r="9" spans="2:9" s="30" customFormat="1" ht="26.1" customHeight="1">
      <c r="B9" s="34" t="s">
        <v>100</v>
      </c>
      <c r="C9" s="35">
        <v>7.9</v>
      </c>
      <c r="D9" s="34">
        <v>7.8</v>
      </c>
      <c r="E9" s="1"/>
      <c r="F9" s="1"/>
    </row>
    <row r="10" spans="2:9" s="30" customFormat="1" ht="26.1" customHeight="1">
      <c r="B10" s="34"/>
      <c r="C10" s="35"/>
      <c r="D10" s="32"/>
      <c r="E10" s="1"/>
      <c r="F10" s="1"/>
    </row>
    <row r="11" spans="2:9" s="30" customFormat="1" ht="18" customHeight="1" thickBot="1">
      <c r="E11" s="1"/>
      <c r="F11" s="1"/>
    </row>
    <row r="12" spans="2:9" s="1" customFormat="1" ht="26.1" customHeight="1">
      <c r="B12" s="190" t="s">
        <v>101</v>
      </c>
      <c r="C12" s="192"/>
      <c r="D12" s="190" t="s">
        <v>102</v>
      </c>
      <c r="E12" s="191"/>
      <c r="F12" s="192"/>
      <c r="G12" s="190" t="s">
        <v>185</v>
      </c>
      <c r="H12" s="191"/>
      <c r="I12" s="192"/>
    </row>
    <row r="13" spans="2:9" s="1" customFormat="1" ht="26.1" customHeight="1">
      <c r="B13" s="106" t="s">
        <v>97</v>
      </c>
      <c r="C13" s="107" t="s">
        <v>103</v>
      </c>
      <c r="D13" s="106" t="s">
        <v>104</v>
      </c>
      <c r="E13" s="109" t="s">
        <v>105</v>
      </c>
      <c r="F13" s="107" t="s">
        <v>106</v>
      </c>
      <c r="G13" s="106" t="s">
        <v>104</v>
      </c>
      <c r="H13" s="109" t="s">
        <v>105</v>
      </c>
      <c r="I13" s="107" t="s">
        <v>106</v>
      </c>
    </row>
    <row r="14" spans="2:9" s="1" customFormat="1" ht="26.1" customHeight="1">
      <c r="B14" s="130">
        <f>$C$6+C14/1440</f>
        <v>43577.378472222219</v>
      </c>
      <c r="C14" s="111">
        <v>5</v>
      </c>
      <c r="D14" s="131" t="e">
        <f t="shared" ref="D14:D23" si="0">baseTemp+D31</f>
        <v>#VALUE!</v>
      </c>
      <c r="E14" s="132" t="e">
        <f t="shared" ref="E14:E23" si="1">$C$8+E31</f>
        <v>#VALUE!</v>
      </c>
      <c r="F14" s="114" t="e">
        <f t="shared" ref="F14:F23" si="2">$C$9+F31</f>
        <v>#VALUE!</v>
      </c>
      <c r="G14" s="133" t="e">
        <f t="shared" ref="G14:G23" si="3">baseTemp+H31</f>
        <v>#VALUE!</v>
      </c>
      <c r="H14" s="132" t="e">
        <f>$D$8+I31</f>
        <v>#VALUE!</v>
      </c>
      <c r="I14" s="114" t="e">
        <f>$D$9+J31</f>
        <v>#VALUE!</v>
      </c>
    </row>
    <row r="15" spans="2:9" s="1" customFormat="1" ht="26.1" customHeight="1">
      <c r="B15" s="134">
        <f t="shared" ref="B15:B23" si="4">$C$6+C15/1440</f>
        <v>43577.395833333336</v>
      </c>
      <c r="C15" s="116">
        <v>30</v>
      </c>
      <c r="D15" s="103" t="e">
        <f t="shared" si="0"/>
        <v>#VALUE!</v>
      </c>
      <c r="E15" s="135" t="e">
        <f t="shared" si="1"/>
        <v>#VALUE!</v>
      </c>
      <c r="F15" s="119" t="e">
        <f t="shared" si="2"/>
        <v>#VALUE!</v>
      </c>
      <c r="G15" s="133" t="e">
        <f t="shared" si="3"/>
        <v>#VALUE!</v>
      </c>
      <c r="H15" s="132" t="e">
        <f t="shared" ref="H15:H23" si="5">$D$8+I32</f>
        <v>#VALUE!</v>
      </c>
      <c r="I15" s="114" t="e">
        <f t="shared" ref="I15:I22" si="6">$D$9+J32</f>
        <v>#VALUE!</v>
      </c>
    </row>
    <row r="16" spans="2:9" s="1" customFormat="1" ht="26.1" customHeight="1">
      <c r="B16" s="134">
        <f t="shared" si="4"/>
        <v>43577.416666666664</v>
      </c>
      <c r="C16" s="116">
        <v>60</v>
      </c>
      <c r="D16" s="103" t="e">
        <f t="shared" si="0"/>
        <v>#VALUE!</v>
      </c>
      <c r="E16" s="135" t="e">
        <f t="shared" si="1"/>
        <v>#VALUE!</v>
      </c>
      <c r="F16" s="119" t="e">
        <f t="shared" si="2"/>
        <v>#VALUE!</v>
      </c>
      <c r="G16" s="133" t="e">
        <f t="shared" si="3"/>
        <v>#VALUE!</v>
      </c>
      <c r="H16" s="132" t="e">
        <f t="shared" si="5"/>
        <v>#VALUE!</v>
      </c>
      <c r="I16" s="114" t="e">
        <f t="shared" si="6"/>
        <v>#VALUE!</v>
      </c>
    </row>
    <row r="17" spans="2:10" s="1" customFormat="1" ht="26.1" customHeight="1">
      <c r="B17" s="134">
        <f t="shared" si="4"/>
        <v>43577.458333333336</v>
      </c>
      <c r="C17" s="116">
        <v>120</v>
      </c>
      <c r="D17" s="103" t="e">
        <f t="shared" si="0"/>
        <v>#VALUE!</v>
      </c>
      <c r="E17" s="135" t="e">
        <f t="shared" si="1"/>
        <v>#VALUE!</v>
      </c>
      <c r="F17" s="119" t="e">
        <f t="shared" si="2"/>
        <v>#VALUE!</v>
      </c>
      <c r="G17" s="133" t="e">
        <f t="shared" si="3"/>
        <v>#VALUE!</v>
      </c>
      <c r="H17" s="132" t="e">
        <f t="shared" si="5"/>
        <v>#VALUE!</v>
      </c>
      <c r="I17" s="114" t="e">
        <f t="shared" si="6"/>
        <v>#VALUE!</v>
      </c>
    </row>
    <row r="18" spans="2:10" s="1" customFormat="1" ht="26.1" customHeight="1">
      <c r="B18" s="134">
        <f t="shared" si="4"/>
        <v>43577.541666666664</v>
      </c>
      <c r="C18" s="116">
        <v>240</v>
      </c>
      <c r="D18" s="103" t="e">
        <f t="shared" si="0"/>
        <v>#VALUE!</v>
      </c>
      <c r="E18" s="135" t="e">
        <f t="shared" si="1"/>
        <v>#VALUE!</v>
      </c>
      <c r="F18" s="119" t="e">
        <f t="shared" si="2"/>
        <v>#VALUE!</v>
      </c>
      <c r="G18" s="133" t="e">
        <f t="shared" si="3"/>
        <v>#VALUE!</v>
      </c>
      <c r="H18" s="132" t="e">
        <f t="shared" si="5"/>
        <v>#VALUE!</v>
      </c>
      <c r="I18" s="114" t="e">
        <f t="shared" si="6"/>
        <v>#VALUE!</v>
      </c>
    </row>
    <row r="19" spans="2:10" s="1" customFormat="1" ht="26.1" customHeight="1">
      <c r="B19" s="134">
        <f t="shared" si="4"/>
        <v>43577.708333333336</v>
      </c>
      <c r="C19" s="116">
        <v>480</v>
      </c>
      <c r="D19" s="103" t="e">
        <f t="shared" si="0"/>
        <v>#VALUE!</v>
      </c>
      <c r="E19" s="135" t="e">
        <f t="shared" si="1"/>
        <v>#VALUE!</v>
      </c>
      <c r="F19" s="119" t="e">
        <f t="shared" si="2"/>
        <v>#VALUE!</v>
      </c>
      <c r="G19" s="133" t="e">
        <f t="shared" si="3"/>
        <v>#VALUE!</v>
      </c>
      <c r="H19" s="132" t="e">
        <f t="shared" si="5"/>
        <v>#VALUE!</v>
      </c>
      <c r="I19" s="114" t="e">
        <f t="shared" si="6"/>
        <v>#VALUE!</v>
      </c>
    </row>
    <row r="20" spans="2:10" s="30" customFormat="1" ht="26.1" customHeight="1">
      <c r="B20" s="134">
        <f t="shared" si="4"/>
        <v>43578.375</v>
      </c>
      <c r="C20" s="116">
        <v>1440</v>
      </c>
      <c r="D20" s="103" t="e">
        <f t="shared" si="0"/>
        <v>#VALUE!</v>
      </c>
      <c r="E20" s="135" t="e">
        <f t="shared" si="1"/>
        <v>#VALUE!</v>
      </c>
      <c r="F20" s="119" t="e">
        <f t="shared" si="2"/>
        <v>#VALUE!</v>
      </c>
      <c r="G20" s="133" t="e">
        <f t="shared" si="3"/>
        <v>#VALUE!</v>
      </c>
      <c r="H20" s="132" t="e">
        <f t="shared" si="5"/>
        <v>#VALUE!</v>
      </c>
      <c r="I20" s="114" t="e">
        <f t="shared" si="6"/>
        <v>#VALUE!</v>
      </c>
    </row>
    <row r="21" spans="2:10" s="30" customFormat="1" ht="26.1" customHeight="1">
      <c r="B21" s="134">
        <f t="shared" si="4"/>
        <v>43578.541666666664</v>
      </c>
      <c r="C21" s="116">
        <v>1680</v>
      </c>
      <c r="D21" s="103" t="e">
        <f t="shared" si="0"/>
        <v>#VALUE!</v>
      </c>
      <c r="E21" s="135" t="e">
        <f t="shared" si="1"/>
        <v>#VALUE!</v>
      </c>
      <c r="F21" s="119" t="e">
        <f t="shared" si="2"/>
        <v>#VALUE!</v>
      </c>
      <c r="G21" s="133" t="e">
        <f t="shared" si="3"/>
        <v>#VALUE!</v>
      </c>
      <c r="H21" s="132" t="e">
        <f t="shared" si="5"/>
        <v>#VALUE!</v>
      </c>
      <c r="I21" s="114" t="e">
        <f t="shared" si="6"/>
        <v>#VALUE!</v>
      </c>
    </row>
    <row r="22" spans="2:10" s="30" customFormat="1" ht="26.1" customHeight="1">
      <c r="B22" s="134">
        <f t="shared" si="4"/>
        <v>43578.708333333336</v>
      </c>
      <c r="C22" s="116">
        <v>1920</v>
      </c>
      <c r="D22" s="103" t="e">
        <f t="shared" si="0"/>
        <v>#VALUE!</v>
      </c>
      <c r="E22" s="135" t="e">
        <f t="shared" si="1"/>
        <v>#VALUE!</v>
      </c>
      <c r="F22" s="119" t="e">
        <f t="shared" si="2"/>
        <v>#VALUE!</v>
      </c>
      <c r="G22" s="133" t="e">
        <f t="shared" si="3"/>
        <v>#VALUE!</v>
      </c>
      <c r="H22" s="132" t="e">
        <f t="shared" si="5"/>
        <v>#VALUE!</v>
      </c>
      <c r="I22" s="114" t="e">
        <f t="shared" si="6"/>
        <v>#VALUE!</v>
      </c>
    </row>
    <row r="23" spans="2:10" s="30" customFormat="1" ht="26.1" customHeight="1">
      <c r="B23" s="136">
        <f t="shared" si="4"/>
        <v>43579.375</v>
      </c>
      <c r="C23" s="137">
        <v>2880</v>
      </c>
      <c r="D23" s="104" t="e">
        <f t="shared" si="0"/>
        <v>#VALUE!</v>
      </c>
      <c r="E23" s="138" t="e">
        <f t="shared" si="1"/>
        <v>#VALUE!</v>
      </c>
      <c r="F23" s="139" t="e">
        <f t="shared" si="2"/>
        <v>#VALUE!</v>
      </c>
      <c r="G23" s="140" t="e">
        <f t="shared" si="3"/>
        <v>#VALUE!</v>
      </c>
      <c r="H23" s="141" t="e">
        <f t="shared" si="5"/>
        <v>#VALUE!</v>
      </c>
      <c r="I23" s="139" t="e">
        <f t="shared" ref="I23" si="7">$D$9+J40-0.02</f>
        <v>#VALUE!</v>
      </c>
    </row>
    <row r="24" spans="2:10" s="30" customFormat="1" ht="26.1" customHeight="1">
      <c r="B24" s="193" t="s">
        <v>48</v>
      </c>
      <c r="C24" s="194"/>
      <c r="D24" s="106" t="e">
        <f>MAX(D14:D23)</f>
        <v>#VALUE!</v>
      </c>
      <c r="E24" s="109" t="e">
        <f t="shared" ref="E24:F24" si="8">MAX(E14:E23)</f>
        <v>#VALUE!</v>
      </c>
      <c r="F24" s="107" t="e">
        <f t="shared" si="8"/>
        <v>#VALUE!</v>
      </c>
      <c r="G24" s="106" t="e">
        <f>MAX(G14:G23)</f>
        <v>#VALUE!</v>
      </c>
      <c r="H24" s="109" t="e">
        <f t="shared" ref="H24:I24" si="9">MAX(H14:H23)</f>
        <v>#VALUE!</v>
      </c>
      <c r="I24" s="107" t="e">
        <f t="shared" si="9"/>
        <v>#VALUE!</v>
      </c>
      <c r="J24" s="1"/>
    </row>
    <row r="25" spans="2:10" s="30" customFormat="1" ht="26.1" customHeight="1">
      <c r="B25" s="193" t="s">
        <v>49</v>
      </c>
      <c r="C25" s="194"/>
      <c r="D25" s="106" t="e">
        <f>MIN(D14:D23)</f>
        <v>#VALUE!</v>
      </c>
      <c r="E25" s="109" t="e">
        <f t="shared" ref="E25:F25" si="10">MIN(E14:E23)</f>
        <v>#VALUE!</v>
      </c>
      <c r="F25" s="142" t="e">
        <f t="shared" si="10"/>
        <v>#VALUE!</v>
      </c>
      <c r="G25" s="106" t="e">
        <f>MIN(G14:G23)</f>
        <v>#VALUE!</v>
      </c>
      <c r="H25" s="109" t="e">
        <f t="shared" ref="H25:I25" si="11">MIN(H14:H23)</f>
        <v>#VALUE!</v>
      </c>
      <c r="I25" s="107" t="e">
        <f t="shared" si="11"/>
        <v>#VALUE!</v>
      </c>
      <c r="J25" s="1"/>
    </row>
    <row r="26" spans="2:10" s="30" customFormat="1" ht="26.1" customHeight="1" thickBot="1">
      <c r="B26" s="195" t="s">
        <v>107</v>
      </c>
      <c r="C26" s="196"/>
      <c r="D26" s="143" t="e">
        <f>D24-D25</f>
        <v>#VALUE!</v>
      </c>
      <c r="E26" s="122" t="e">
        <f t="shared" ref="E26:F26" si="12">E24-E25</f>
        <v>#VALUE!</v>
      </c>
      <c r="F26" s="123" t="e">
        <f t="shared" si="12"/>
        <v>#VALUE!</v>
      </c>
      <c r="G26" s="143" t="e">
        <f>G24-G25</f>
        <v>#VALUE!</v>
      </c>
      <c r="H26" s="122" t="e">
        <f t="shared" ref="H26:I26" si="13">H24-H25</f>
        <v>#VALUE!</v>
      </c>
      <c r="I26" s="123" t="e">
        <f t="shared" si="13"/>
        <v>#VALUE!</v>
      </c>
      <c r="J26" s="1"/>
    </row>
    <row r="27" spans="2:10" s="30" customFormat="1" ht="18" customHeight="1">
      <c r="E27" s="1"/>
      <c r="F27" s="1"/>
    </row>
    <row r="28" spans="2:10" s="30" customFormat="1" ht="18" customHeight="1" thickBot="1">
      <c r="E28" s="1"/>
      <c r="F28" s="1"/>
    </row>
    <row r="29" spans="2:10" s="30" customFormat="1" ht="18" customHeight="1">
      <c r="D29" s="190" t="s">
        <v>102</v>
      </c>
      <c r="E29" s="191"/>
      <c r="F29" s="192"/>
      <c r="H29" s="190" t="s">
        <v>185</v>
      </c>
      <c r="I29" s="191"/>
      <c r="J29" s="192"/>
    </row>
    <row r="30" spans="2:10" s="30" customFormat="1" ht="18" customHeight="1">
      <c r="D30" s="106" t="s">
        <v>104</v>
      </c>
      <c r="E30" s="109" t="s">
        <v>105</v>
      </c>
      <c r="F30" s="107" t="s">
        <v>106</v>
      </c>
      <c r="H30" s="106" t="s">
        <v>104</v>
      </c>
      <c r="I30" s="109" t="s">
        <v>105</v>
      </c>
      <c r="J30" s="107" t="s">
        <v>106</v>
      </c>
    </row>
    <row r="31" spans="2:10" s="30" customFormat="1" ht="18" customHeight="1">
      <c r="D31" s="144" t="e">
        <f>ROUND(myRandBetween(1,3,10), 1)</f>
        <v>#VALUE!</v>
      </c>
      <c r="E31" s="124" t="e">
        <f>myRandBetween(1,3,1)</f>
        <v>#VALUE!</v>
      </c>
      <c r="F31" s="145" t="e">
        <f>ROUND(myRandBetween(7,12,100), 2)</f>
        <v>#VALUE!</v>
      </c>
      <c r="H31" s="146" t="e">
        <f>ROUND(myRandBetween(1,3,10), 1)</f>
        <v>#VALUE!</v>
      </c>
      <c r="I31" s="147" t="e">
        <f>myRandBetween(1,3,1)</f>
        <v>#VALUE!</v>
      </c>
      <c r="J31" s="148" t="e">
        <f>ROUND(myRandBetween(7,12,100), 2)</f>
        <v>#VALUE!</v>
      </c>
    </row>
    <row r="32" spans="2:10" s="30" customFormat="1" ht="18" customHeight="1">
      <c r="D32" s="144" t="e">
        <f t="shared" ref="D32:D40" si="14">ROUND(myRandBetween(1,3,10), 1)</f>
        <v>#VALUE!</v>
      </c>
      <c r="E32" s="124" t="e">
        <f t="shared" ref="E32:E40" si="15">myRandBetween(1,3,1)</f>
        <v>#VALUE!</v>
      </c>
      <c r="F32" s="145" t="e">
        <f t="shared" ref="F32:F40" si="16">ROUND(myRandBetween(7,12,100), 2)</f>
        <v>#VALUE!</v>
      </c>
      <c r="H32" s="144" t="e">
        <f t="shared" ref="H32:H40" si="17">ROUND(myRandBetween(1,3,10), 1)</f>
        <v>#VALUE!</v>
      </c>
      <c r="I32" s="124" t="e">
        <f t="shared" ref="I32:I40" si="18">myRandBetween(1,3,1)</f>
        <v>#VALUE!</v>
      </c>
      <c r="J32" s="148" t="e">
        <f t="shared" ref="J32:J40" si="19">ROUND(myRandBetween(7,12,100), 2)</f>
        <v>#VALUE!</v>
      </c>
    </row>
    <row r="33" spans="4:10" s="30" customFormat="1" ht="18" customHeight="1">
      <c r="D33" s="144" t="e">
        <f>ROUND(myRandBetween(1,3,10), 1)</f>
        <v>#VALUE!</v>
      </c>
      <c r="E33" s="124" t="e">
        <f t="shared" si="15"/>
        <v>#VALUE!</v>
      </c>
      <c r="F33" s="145" t="e">
        <f t="shared" si="16"/>
        <v>#VALUE!</v>
      </c>
      <c r="H33" s="144" t="e">
        <f t="shared" si="17"/>
        <v>#VALUE!</v>
      </c>
      <c r="I33" s="124" t="e">
        <f t="shared" si="18"/>
        <v>#VALUE!</v>
      </c>
      <c r="J33" s="148" t="e">
        <f t="shared" si="19"/>
        <v>#VALUE!</v>
      </c>
    </row>
    <row r="34" spans="4:10" s="30" customFormat="1" ht="18" customHeight="1">
      <c r="D34" s="144" t="e">
        <f t="shared" si="14"/>
        <v>#VALUE!</v>
      </c>
      <c r="E34" s="124" t="e">
        <f t="shared" si="15"/>
        <v>#VALUE!</v>
      </c>
      <c r="F34" s="145" t="e">
        <f t="shared" si="16"/>
        <v>#VALUE!</v>
      </c>
      <c r="H34" s="144" t="e">
        <f t="shared" si="17"/>
        <v>#VALUE!</v>
      </c>
      <c r="I34" s="124" t="e">
        <f t="shared" si="18"/>
        <v>#VALUE!</v>
      </c>
      <c r="J34" s="148" t="e">
        <f t="shared" si="19"/>
        <v>#VALUE!</v>
      </c>
    </row>
    <row r="35" spans="4:10" s="30" customFormat="1" ht="18" customHeight="1">
      <c r="D35" s="144" t="e">
        <f t="shared" si="14"/>
        <v>#VALUE!</v>
      </c>
      <c r="E35" s="124" t="e">
        <f t="shared" si="15"/>
        <v>#VALUE!</v>
      </c>
      <c r="F35" s="145" t="e">
        <f t="shared" si="16"/>
        <v>#VALUE!</v>
      </c>
      <c r="H35" s="144" t="e">
        <f t="shared" si="17"/>
        <v>#VALUE!</v>
      </c>
      <c r="I35" s="124" t="e">
        <f t="shared" si="18"/>
        <v>#VALUE!</v>
      </c>
      <c r="J35" s="148" t="e">
        <f t="shared" si="19"/>
        <v>#VALUE!</v>
      </c>
    </row>
    <row r="36" spans="4:10" s="30" customFormat="1" ht="18" customHeight="1">
      <c r="D36" s="144" t="e">
        <f t="shared" si="14"/>
        <v>#VALUE!</v>
      </c>
      <c r="E36" s="124" t="e">
        <f t="shared" si="15"/>
        <v>#VALUE!</v>
      </c>
      <c r="F36" s="145" t="e">
        <f t="shared" si="16"/>
        <v>#VALUE!</v>
      </c>
      <c r="H36" s="144" t="e">
        <f t="shared" si="17"/>
        <v>#VALUE!</v>
      </c>
      <c r="I36" s="124" t="e">
        <f t="shared" si="18"/>
        <v>#VALUE!</v>
      </c>
      <c r="J36" s="148" t="e">
        <f t="shared" si="19"/>
        <v>#VALUE!</v>
      </c>
    </row>
    <row r="37" spans="4:10" s="30" customFormat="1" ht="18" customHeight="1">
      <c r="D37" s="144" t="e">
        <f t="shared" si="14"/>
        <v>#VALUE!</v>
      </c>
      <c r="E37" s="124" t="e">
        <f t="shared" si="15"/>
        <v>#VALUE!</v>
      </c>
      <c r="F37" s="145" t="e">
        <f t="shared" si="16"/>
        <v>#VALUE!</v>
      </c>
      <c r="H37" s="144" t="e">
        <f t="shared" si="17"/>
        <v>#VALUE!</v>
      </c>
      <c r="I37" s="124" t="e">
        <f t="shared" si="18"/>
        <v>#VALUE!</v>
      </c>
      <c r="J37" s="148" t="e">
        <f t="shared" si="19"/>
        <v>#VALUE!</v>
      </c>
    </row>
    <row r="38" spans="4:10" ht="18" customHeight="1">
      <c r="D38" s="144" t="e">
        <f t="shared" si="14"/>
        <v>#VALUE!</v>
      </c>
      <c r="E38" s="124" t="e">
        <f t="shared" si="15"/>
        <v>#VALUE!</v>
      </c>
      <c r="F38" s="145" t="e">
        <f t="shared" si="16"/>
        <v>#VALUE!</v>
      </c>
      <c r="H38" s="144" t="e">
        <f t="shared" si="17"/>
        <v>#VALUE!</v>
      </c>
      <c r="I38" s="124" t="e">
        <f t="shared" si="18"/>
        <v>#VALUE!</v>
      </c>
      <c r="J38" s="148" t="e">
        <f t="shared" si="19"/>
        <v>#VALUE!</v>
      </c>
    </row>
    <row r="39" spans="4:10" ht="18" customHeight="1">
      <c r="D39" s="144" t="e">
        <f t="shared" si="14"/>
        <v>#VALUE!</v>
      </c>
      <c r="E39" s="124" t="e">
        <f t="shared" si="15"/>
        <v>#VALUE!</v>
      </c>
      <c r="F39" s="145" t="e">
        <f t="shared" si="16"/>
        <v>#VALUE!</v>
      </c>
      <c r="H39" s="144" t="e">
        <f t="shared" si="17"/>
        <v>#VALUE!</v>
      </c>
      <c r="I39" s="124" t="e">
        <f t="shared" si="18"/>
        <v>#VALUE!</v>
      </c>
      <c r="J39" s="148" t="e">
        <f t="shared" si="19"/>
        <v>#VALUE!</v>
      </c>
    </row>
    <row r="40" spans="4:10" ht="18" customHeight="1" thickBot="1">
      <c r="D40" s="149" t="e">
        <f t="shared" si="14"/>
        <v>#VALUE!</v>
      </c>
      <c r="E40" s="125" t="e">
        <f t="shared" si="15"/>
        <v>#VALUE!</v>
      </c>
      <c r="F40" s="150" t="e">
        <f t="shared" si="16"/>
        <v>#VALUE!</v>
      </c>
      <c r="H40" s="149" t="e">
        <f t="shared" si="17"/>
        <v>#VALUE!</v>
      </c>
      <c r="I40" s="125" t="e">
        <f t="shared" si="18"/>
        <v>#VALUE!</v>
      </c>
      <c r="J40" s="151" t="e">
        <f t="shared" si="19"/>
        <v>#VALUE!</v>
      </c>
    </row>
    <row r="41" spans="4:10" ht="18" customHeight="1"/>
    <row r="42" spans="4:10" ht="18" customHeight="1"/>
    <row r="43" spans="4:10" ht="18" customHeight="1"/>
    <row r="44" spans="4:10" ht="18" customHeight="1"/>
  </sheetData>
  <mergeCells count="8">
    <mergeCell ref="D29:F29"/>
    <mergeCell ref="H29:J29"/>
    <mergeCell ref="B12:C12"/>
    <mergeCell ref="D12:F12"/>
    <mergeCell ref="G12:I12"/>
    <mergeCell ref="B24:C24"/>
    <mergeCell ref="B25:C25"/>
    <mergeCell ref="B26:C26"/>
  </mergeCells>
  <phoneticPr fontId="7" type="noConversion"/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04B297-66F3-47E5-817C-85E87D53E034}">
  <sheetPr codeName="Sheet31"/>
  <dimension ref="B1:N44"/>
  <sheetViews>
    <sheetView topLeftCell="A7" workbookViewId="0">
      <selection activeCell="U16" sqref="U16"/>
    </sheetView>
  </sheetViews>
  <sheetFormatPr defaultColWidth="8.88671875" defaultRowHeight="14.25"/>
  <cols>
    <col min="1" max="1" width="8.88671875" style="37"/>
    <col min="2" max="2" width="13.109375" style="37" customWidth="1"/>
    <col min="3" max="3" width="10.77734375" style="37" bestFit="1" customWidth="1"/>
    <col min="4" max="4" width="7.33203125" style="37" customWidth="1"/>
    <col min="5" max="6" width="7.33203125" style="36" customWidth="1"/>
    <col min="7" max="12" width="7.33203125" style="37" customWidth="1"/>
    <col min="13" max="23" width="6.77734375" style="37" customWidth="1"/>
    <col min="24" max="16384" width="8.88671875" style="37"/>
  </cols>
  <sheetData>
    <row r="1" spans="2:12" s="30" customFormat="1" ht="18" customHeight="1">
      <c r="E1" s="1"/>
      <c r="F1" s="1"/>
    </row>
    <row r="2" spans="2:12" s="30" customFormat="1" ht="18" customHeight="1">
      <c r="B2" s="30" t="s">
        <v>96</v>
      </c>
      <c r="E2" s="1"/>
      <c r="F2" s="1"/>
    </row>
    <row r="3" spans="2:12" s="30" customFormat="1" ht="18" customHeight="1">
      <c r="E3" s="1"/>
      <c r="F3" s="1"/>
    </row>
    <row r="4" spans="2:12" s="30" customFormat="1" ht="18" customHeight="1">
      <c r="B4" s="127" t="s">
        <v>109</v>
      </c>
      <c r="E4" s="1"/>
      <c r="F4" s="1"/>
    </row>
    <row r="5" spans="2:12" s="30" customFormat="1" ht="18" customHeight="1" thickBot="1">
      <c r="E5" s="1"/>
      <c r="F5" s="1"/>
    </row>
    <row r="6" spans="2:12" s="30" customFormat="1" ht="26.1" customHeight="1" thickBot="1">
      <c r="B6" s="128" t="s">
        <v>97</v>
      </c>
      <c r="C6" s="129">
        <v>43580.375</v>
      </c>
      <c r="D6" s="32"/>
      <c r="E6" s="32"/>
      <c r="F6" s="1"/>
    </row>
    <row r="7" spans="2:12" s="30" customFormat="1" ht="26.1" customHeight="1" thickBot="1">
      <c r="B7" s="31" t="s">
        <v>98</v>
      </c>
      <c r="C7" s="33">
        <v>14</v>
      </c>
      <c r="D7" s="32"/>
      <c r="E7" s="32"/>
      <c r="F7" s="1"/>
    </row>
    <row r="8" spans="2:12" s="30" customFormat="1" ht="26.1" customHeight="1">
      <c r="B8" s="34" t="s">
        <v>99</v>
      </c>
      <c r="C8" s="35">
        <v>233</v>
      </c>
      <c r="D8" s="34">
        <v>238</v>
      </c>
      <c r="E8" s="156">
        <v>231</v>
      </c>
      <c r="F8" s="1"/>
    </row>
    <row r="9" spans="2:12" s="30" customFormat="1" ht="26.1" customHeight="1">
      <c r="B9" s="34" t="s">
        <v>100</v>
      </c>
      <c r="C9" s="35">
        <v>6.2</v>
      </c>
      <c r="D9" s="34">
        <v>6.3</v>
      </c>
      <c r="E9" s="156">
        <v>6.7</v>
      </c>
      <c r="F9" s="1"/>
    </row>
    <row r="10" spans="2:12" s="30" customFormat="1" ht="26.1" customHeight="1">
      <c r="B10" s="34"/>
      <c r="C10" s="35"/>
      <c r="D10" s="32"/>
      <c r="E10" s="32"/>
      <c r="F10" s="1"/>
    </row>
    <row r="11" spans="2:12" s="30" customFormat="1" ht="18" customHeight="1" thickBot="1">
      <c r="E11" s="1"/>
      <c r="F11" s="1"/>
    </row>
    <row r="12" spans="2:12" s="1" customFormat="1" ht="27" customHeight="1">
      <c r="B12" s="190" t="s">
        <v>101</v>
      </c>
      <c r="C12" s="192"/>
      <c r="D12" s="190" t="s">
        <v>102</v>
      </c>
      <c r="E12" s="191"/>
      <c r="F12" s="192"/>
      <c r="G12" s="190" t="s">
        <v>185</v>
      </c>
      <c r="H12" s="191"/>
      <c r="I12" s="192"/>
      <c r="J12" s="197" t="s">
        <v>186</v>
      </c>
      <c r="K12" s="191"/>
      <c r="L12" s="192"/>
    </row>
    <row r="13" spans="2:12" s="1" customFormat="1" ht="27" customHeight="1">
      <c r="B13" s="106" t="s">
        <v>97</v>
      </c>
      <c r="C13" s="107" t="s">
        <v>103</v>
      </c>
      <c r="D13" s="106" t="s">
        <v>201</v>
      </c>
      <c r="E13" s="109" t="s">
        <v>202</v>
      </c>
      <c r="F13" s="107" t="s">
        <v>106</v>
      </c>
      <c r="G13" s="106" t="s">
        <v>201</v>
      </c>
      <c r="H13" s="109" t="s">
        <v>202</v>
      </c>
      <c r="I13" s="107" t="s">
        <v>106</v>
      </c>
      <c r="J13" s="108" t="s">
        <v>201</v>
      </c>
      <c r="K13" s="109" t="s">
        <v>202</v>
      </c>
      <c r="L13" s="107" t="s">
        <v>106</v>
      </c>
    </row>
    <row r="14" spans="2:12" s="1" customFormat="1" ht="27" customHeight="1">
      <c r="B14" s="130">
        <f>$C$6+C14/1440</f>
        <v>43580.378472222219</v>
      </c>
      <c r="C14" s="111">
        <v>5</v>
      </c>
      <c r="D14" s="131" t="e">
        <f t="shared" ref="D14:D23" si="0">baseTemp+D31</f>
        <v>#VALUE!</v>
      </c>
      <c r="E14" s="132" t="e">
        <f t="shared" ref="E14:E23" si="1">$C$8+E31</f>
        <v>#VALUE!</v>
      </c>
      <c r="F14" s="114" t="e">
        <f t="shared" ref="F14:F23" si="2">$C$9+F31</f>
        <v>#VALUE!</v>
      </c>
      <c r="G14" s="133" t="e">
        <f t="shared" ref="G14:G23" si="3">baseTemp+H31</f>
        <v>#VALUE!</v>
      </c>
      <c r="H14" s="132" t="e">
        <f>$D$8+I31</f>
        <v>#VALUE!</v>
      </c>
      <c r="I14" s="114" t="e">
        <f>$D$9+J31</f>
        <v>#VALUE!</v>
      </c>
      <c r="J14" s="152" t="e">
        <f t="shared" ref="J14:J23" si="4">baseTemp+L31</f>
        <v>#VALUE!</v>
      </c>
      <c r="K14" s="132" t="e">
        <f>$E$8+M31</f>
        <v>#VALUE!</v>
      </c>
      <c r="L14" s="114" t="e">
        <f>$E$9+N31</f>
        <v>#VALUE!</v>
      </c>
    </row>
    <row r="15" spans="2:12" s="1" customFormat="1" ht="27" customHeight="1">
      <c r="B15" s="134">
        <f t="shared" ref="B15:B23" si="5">$C$6+C15/1440</f>
        <v>43580.395833333336</v>
      </c>
      <c r="C15" s="116">
        <v>30</v>
      </c>
      <c r="D15" s="103" t="e">
        <f t="shared" si="0"/>
        <v>#VALUE!</v>
      </c>
      <c r="E15" s="135" t="e">
        <f t="shared" si="1"/>
        <v>#VALUE!</v>
      </c>
      <c r="F15" s="119" t="e">
        <f t="shared" si="2"/>
        <v>#VALUE!</v>
      </c>
      <c r="G15" s="133" t="e">
        <f t="shared" si="3"/>
        <v>#VALUE!</v>
      </c>
      <c r="H15" s="132" t="e">
        <f t="shared" ref="H15:H23" si="6">$D$8+I32</f>
        <v>#VALUE!</v>
      </c>
      <c r="I15" s="114" t="e">
        <f t="shared" ref="I15:I23" si="7">$D$9+J32</f>
        <v>#VALUE!</v>
      </c>
      <c r="J15" s="152" t="e">
        <f t="shared" si="4"/>
        <v>#VALUE!</v>
      </c>
      <c r="K15" s="132" t="e">
        <f t="shared" ref="K15:K23" si="8">$E$8+M32</f>
        <v>#VALUE!</v>
      </c>
      <c r="L15" s="114" t="e">
        <f t="shared" ref="L15:L23" si="9">$E$9+N32</f>
        <v>#VALUE!</v>
      </c>
    </row>
    <row r="16" spans="2:12" s="1" customFormat="1" ht="27" customHeight="1">
      <c r="B16" s="134">
        <f t="shared" si="5"/>
        <v>43580.416666666664</v>
      </c>
      <c r="C16" s="116">
        <v>60</v>
      </c>
      <c r="D16" s="103" t="e">
        <f t="shared" si="0"/>
        <v>#VALUE!</v>
      </c>
      <c r="E16" s="135" t="e">
        <f t="shared" si="1"/>
        <v>#VALUE!</v>
      </c>
      <c r="F16" s="119" t="e">
        <f t="shared" si="2"/>
        <v>#VALUE!</v>
      </c>
      <c r="G16" s="133" t="e">
        <f t="shared" si="3"/>
        <v>#VALUE!</v>
      </c>
      <c r="H16" s="132" t="e">
        <f t="shared" si="6"/>
        <v>#VALUE!</v>
      </c>
      <c r="I16" s="114" t="e">
        <f t="shared" si="7"/>
        <v>#VALUE!</v>
      </c>
      <c r="J16" s="152" t="e">
        <f t="shared" si="4"/>
        <v>#VALUE!</v>
      </c>
      <c r="K16" s="132" t="e">
        <f t="shared" si="8"/>
        <v>#VALUE!</v>
      </c>
      <c r="L16" s="114" t="e">
        <f t="shared" si="9"/>
        <v>#VALUE!</v>
      </c>
    </row>
    <row r="17" spans="2:14" s="1" customFormat="1" ht="27" customHeight="1">
      <c r="B17" s="134">
        <f t="shared" si="5"/>
        <v>43580.458333333336</v>
      </c>
      <c r="C17" s="116">
        <v>120</v>
      </c>
      <c r="D17" s="103" t="e">
        <f t="shared" si="0"/>
        <v>#VALUE!</v>
      </c>
      <c r="E17" s="135" t="e">
        <f t="shared" si="1"/>
        <v>#VALUE!</v>
      </c>
      <c r="F17" s="119" t="e">
        <f t="shared" si="2"/>
        <v>#VALUE!</v>
      </c>
      <c r="G17" s="133" t="e">
        <f t="shared" si="3"/>
        <v>#VALUE!</v>
      </c>
      <c r="H17" s="132" t="e">
        <f t="shared" si="6"/>
        <v>#VALUE!</v>
      </c>
      <c r="I17" s="114" t="e">
        <f t="shared" si="7"/>
        <v>#VALUE!</v>
      </c>
      <c r="J17" s="152" t="e">
        <f t="shared" si="4"/>
        <v>#VALUE!</v>
      </c>
      <c r="K17" s="132" t="e">
        <f t="shared" si="8"/>
        <v>#VALUE!</v>
      </c>
      <c r="L17" s="114" t="e">
        <f t="shared" si="9"/>
        <v>#VALUE!</v>
      </c>
    </row>
    <row r="18" spans="2:14" s="1" customFormat="1" ht="27" customHeight="1">
      <c r="B18" s="134">
        <f t="shared" si="5"/>
        <v>43580.541666666664</v>
      </c>
      <c r="C18" s="116">
        <v>240</v>
      </c>
      <c r="D18" s="103" t="e">
        <f t="shared" si="0"/>
        <v>#VALUE!</v>
      </c>
      <c r="E18" s="135" t="e">
        <f t="shared" si="1"/>
        <v>#VALUE!</v>
      </c>
      <c r="F18" s="119" t="e">
        <f t="shared" si="2"/>
        <v>#VALUE!</v>
      </c>
      <c r="G18" s="133" t="e">
        <f t="shared" si="3"/>
        <v>#VALUE!</v>
      </c>
      <c r="H18" s="132" t="e">
        <f t="shared" si="6"/>
        <v>#VALUE!</v>
      </c>
      <c r="I18" s="114" t="e">
        <f t="shared" si="7"/>
        <v>#VALUE!</v>
      </c>
      <c r="J18" s="152" t="e">
        <f t="shared" si="4"/>
        <v>#VALUE!</v>
      </c>
      <c r="K18" s="132" t="e">
        <f t="shared" si="8"/>
        <v>#VALUE!</v>
      </c>
      <c r="L18" s="114" t="e">
        <f t="shared" si="9"/>
        <v>#VALUE!</v>
      </c>
    </row>
    <row r="19" spans="2:14" s="1" customFormat="1" ht="27" customHeight="1">
      <c r="B19" s="134">
        <f t="shared" si="5"/>
        <v>43580.708333333336</v>
      </c>
      <c r="C19" s="116">
        <v>480</v>
      </c>
      <c r="D19" s="103" t="e">
        <f t="shared" si="0"/>
        <v>#VALUE!</v>
      </c>
      <c r="E19" s="135" t="e">
        <f t="shared" si="1"/>
        <v>#VALUE!</v>
      </c>
      <c r="F19" s="119" t="e">
        <f t="shared" si="2"/>
        <v>#VALUE!</v>
      </c>
      <c r="G19" s="133" t="e">
        <f t="shared" si="3"/>
        <v>#VALUE!</v>
      </c>
      <c r="H19" s="132" t="e">
        <f t="shared" si="6"/>
        <v>#VALUE!</v>
      </c>
      <c r="I19" s="114" t="e">
        <f t="shared" si="7"/>
        <v>#VALUE!</v>
      </c>
      <c r="J19" s="152" t="e">
        <f t="shared" si="4"/>
        <v>#VALUE!</v>
      </c>
      <c r="K19" s="132" t="e">
        <f t="shared" si="8"/>
        <v>#VALUE!</v>
      </c>
      <c r="L19" s="114" t="e">
        <f t="shared" si="9"/>
        <v>#VALUE!</v>
      </c>
    </row>
    <row r="20" spans="2:14" s="30" customFormat="1" ht="27" customHeight="1">
      <c r="B20" s="134">
        <f t="shared" si="5"/>
        <v>43581.375</v>
      </c>
      <c r="C20" s="116">
        <v>1440</v>
      </c>
      <c r="D20" s="103" t="e">
        <f t="shared" si="0"/>
        <v>#VALUE!</v>
      </c>
      <c r="E20" s="135" t="e">
        <f t="shared" si="1"/>
        <v>#VALUE!</v>
      </c>
      <c r="F20" s="119" t="e">
        <f t="shared" si="2"/>
        <v>#VALUE!</v>
      </c>
      <c r="G20" s="133" t="e">
        <f t="shared" si="3"/>
        <v>#VALUE!</v>
      </c>
      <c r="H20" s="132" t="e">
        <f t="shared" si="6"/>
        <v>#VALUE!</v>
      </c>
      <c r="I20" s="114" t="e">
        <f t="shared" si="7"/>
        <v>#VALUE!</v>
      </c>
      <c r="J20" s="152" t="e">
        <f t="shared" si="4"/>
        <v>#VALUE!</v>
      </c>
      <c r="K20" s="132" t="e">
        <f t="shared" si="8"/>
        <v>#VALUE!</v>
      </c>
      <c r="L20" s="114" t="e">
        <f t="shared" si="9"/>
        <v>#VALUE!</v>
      </c>
    </row>
    <row r="21" spans="2:14" s="30" customFormat="1" ht="27" customHeight="1">
      <c r="B21" s="134">
        <f t="shared" si="5"/>
        <v>43581.541666666664</v>
      </c>
      <c r="C21" s="116">
        <v>1680</v>
      </c>
      <c r="D21" s="103" t="e">
        <f t="shared" si="0"/>
        <v>#VALUE!</v>
      </c>
      <c r="E21" s="135" t="e">
        <f t="shared" si="1"/>
        <v>#VALUE!</v>
      </c>
      <c r="F21" s="119" t="e">
        <f t="shared" si="2"/>
        <v>#VALUE!</v>
      </c>
      <c r="G21" s="133" t="e">
        <f t="shared" si="3"/>
        <v>#VALUE!</v>
      </c>
      <c r="H21" s="132" t="e">
        <f t="shared" si="6"/>
        <v>#VALUE!</v>
      </c>
      <c r="I21" s="114" t="e">
        <f t="shared" si="7"/>
        <v>#VALUE!</v>
      </c>
      <c r="J21" s="152" t="e">
        <f t="shared" si="4"/>
        <v>#VALUE!</v>
      </c>
      <c r="K21" s="132" t="e">
        <f t="shared" si="8"/>
        <v>#VALUE!</v>
      </c>
      <c r="L21" s="114" t="e">
        <f t="shared" si="9"/>
        <v>#VALUE!</v>
      </c>
    </row>
    <row r="22" spans="2:14" s="30" customFormat="1" ht="27" customHeight="1">
      <c r="B22" s="134">
        <f t="shared" si="5"/>
        <v>43581.708333333336</v>
      </c>
      <c r="C22" s="116">
        <v>1920</v>
      </c>
      <c r="D22" s="103" t="e">
        <f t="shared" si="0"/>
        <v>#VALUE!</v>
      </c>
      <c r="E22" s="135" t="e">
        <f t="shared" si="1"/>
        <v>#VALUE!</v>
      </c>
      <c r="F22" s="119" t="e">
        <f t="shared" si="2"/>
        <v>#VALUE!</v>
      </c>
      <c r="G22" s="133" t="e">
        <f t="shared" si="3"/>
        <v>#VALUE!</v>
      </c>
      <c r="H22" s="132" t="e">
        <f t="shared" si="6"/>
        <v>#VALUE!</v>
      </c>
      <c r="I22" s="114" t="e">
        <f t="shared" si="7"/>
        <v>#VALUE!</v>
      </c>
      <c r="J22" s="152" t="e">
        <f t="shared" si="4"/>
        <v>#VALUE!</v>
      </c>
      <c r="K22" s="132" t="e">
        <f t="shared" si="8"/>
        <v>#VALUE!</v>
      </c>
      <c r="L22" s="114" t="e">
        <f t="shared" si="9"/>
        <v>#VALUE!</v>
      </c>
    </row>
    <row r="23" spans="2:14" s="30" customFormat="1" ht="27" customHeight="1">
      <c r="B23" s="136">
        <f t="shared" si="5"/>
        <v>43582.375</v>
      </c>
      <c r="C23" s="137">
        <v>2880</v>
      </c>
      <c r="D23" s="104" t="e">
        <f t="shared" si="0"/>
        <v>#VALUE!</v>
      </c>
      <c r="E23" s="138" t="e">
        <f t="shared" si="1"/>
        <v>#VALUE!</v>
      </c>
      <c r="F23" s="139" t="e">
        <f t="shared" si="2"/>
        <v>#VALUE!</v>
      </c>
      <c r="G23" s="140" t="e">
        <f t="shared" si="3"/>
        <v>#VALUE!</v>
      </c>
      <c r="H23" s="141" t="e">
        <f t="shared" si="6"/>
        <v>#VALUE!</v>
      </c>
      <c r="I23" s="153" t="e">
        <f t="shared" si="7"/>
        <v>#VALUE!</v>
      </c>
      <c r="J23" s="154" t="e">
        <f t="shared" si="4"/>
        <v>#VALUE!</v>
      </c>
      <c r="K23" s="141" t="e">
        <f t="shared" si="8"/>
        <v>#VALUE!</v>
      </c>
      <c r="L23" s="153" t="e">
        <f t="shared" si="9"/>
        <v>#VALUE!</v>
      </c>
    </row>
    <row r="24" spans="2:14" s="30" customFormat="1" ht="27" customHeight="1">
      <c r="B24" s="193" t="s">
        <v>48</v>
      </c>
      <c r="C24" s="194"/>
      <c r="D24" s="106" t="e">
        <f>MAX(D14:D23)</f>
        <v>#VALUE!</v>
      </c>
      <c r="E24" s="109" t="e">
        <f t="shared" ref="E24:F24" si="10">MAX(E14:E23)</f>
        <v>#VALUE!</v>
      </c>
      <c r="F24" s="107" t="e">
        <f t="shared" si="10"/>
        <v>#VALUE!</v>
      </c>
      <c r="G24" s="106" t="e">
        <f>MAX(G14:G23)</f>
        <v>#VALUE!</v>
      </c>
      <c r="H24" s="109" t="e">
        <f t="shared" ref="H24:I24" si="11">MAX(H14:H23)</f>
        <v>#VALUE!</v>
      </c>
      <c r="I24" s="107" t="e">
        <f t="shared" si="11"/>
        <v>#VALUE!</v>
      </c>
      <c r="J24" s="108" t="e">
        <f>MAX(J14:J23)</f>
        <v>#VALUE!</v>
      </c>
      <c r="K24" s="109" t="e">
        <f t="shared" ref="K24:L24" si="12">MAX(K14:K23)</f>
        <v>#VALUE!</v>
      </c>
      <c r="L24" s="107" t="e">
        <f t="shared" si="12"/>
        <v>#VALUE!</v>
      </c>
    </row>
    <row r="25" spans="2:14" s="30" customFormat="1" ht="27" customHeight="1">
      <c r="B25" s="193" t="s">
        <v>49</v>
      </c>
      <c r="C25" s="194"/>
      <c r="D25" s="106" t="e">
        <f>MIN(D14:D23)</f>
        <v>#VALUE!</v>
      </c>
      <c r="E25" s="109" t="e">
        <f t="shared" ref="E25:F25" si="13">MIN(E14:E23)</f>
        <v>#VALUE!</v>
      </c>
      <c r="F25" s="107" t="e">
        <f t="shared" si="13"/>
        <v>#VALUE!</v>
      </c>
      <c r="G25" s="106" t="e">
        <f>MIN(G14:G23)</f>
        <v>#VALUE!</v>
      </c>
      <c r="H25" s="109" t="e">
        <f t="shared" ref="H25:I25" si="14">MIN(H14:H23)</f>
        <v>#VALUE!</v>
      </c>
      <c r="I25" s="107" t="e">
        <f t="shared" si="14"/>
        <v>#VALUE!</v>
      </c>
      <c r="J25" s="108" t="e">
        <f>MIN(J14:J23)</f>
        <v>#VALUE!</v>
      </c>
      <c r="K25" s="109" t="e">
        <f t="shared" ref="K25:L25" si="15">MIN(K14:K23)</f>
        <v>#VALUE!</v>
      </c>
      <c r="L25" s="107" t="e">
        <f t="shared" si="15"/>
        <v>#VALUE!</v>
      </c>
    </row>
    <row r="26" spans="2:14" s="30" customFormat="1" ht="27" customHeight="1" thickBot="1">
      <c r="B26" s="195" t="s">
        <v>107</v>
      </c>
      <c r="C26" s="196"/>
      <c r="D26" s="143" t="e">
        <f>D24-D25</f>
        <v>#VALUE!</v>
      </c>
      <c r="E26" s="122" t="e">
        <f t="shared" ref="E26:F26" si="16">E24-E25</f>
        <v>#VALUE!</v>
      </c>
      <c r="F26" s="123" t="e">
        <f t="shared" si="16"/>
        <v>#VALUE!</v>
      </c>
      <c r="G26" s="143" t="e">
        <f>G24-G25</f>
        <v>#VALUE!</v>
      </c>
      <c r="H26" s="122" t="e">
        <f t="shared" ref="H26:I26" si="17">H24-H25</f>
        <v>#VALUE!</v>
      </c>
      <c r="I26" s="123" t="e">
        <f t="shared" si="17"/>
        <v>#VALUE!</v>
      </c>
      <c r="J26" s="121" t="e">
        <f>J24-J25</f>
        <v>#VALUE!</v>
      </c>
      <c r="K26" s="122" t="e">
        <f t="shared" ref="K26:L26" si="18">K24-K25</f>
        <v>#VALUE!</v>
      </c>
      <c r="L26" s="123" t="e">
        <f t="shared" si="18"/>
        <v>#VALUE!</v>
      </c>
    </row>
    <row r="27" spans="2:14" s="30" customFormat="1" ht="18" customHeight="1">
      <c r="E27" s="1"/>
      <c r="F27" s="1"/>
    </row>
    <row r="28" spans="2:14" s="30" customFormat="1" ht="18" customHeight="1" thickBot="1">
      <c r="E28" s="1"/>
      <c r="F28" s="1"/>
    </row>
    <row r="29" spans="2:14" s="30" customFormat="1" ht="18" customHeight="1">
      <c r="D29" s="190" t="s">
        <v>102</v>
      </c>
      <c r="E29" s="191"/>
      <c r="F29" s="192"/>
      <c r="H29" s="190" t="s">
        <v>185</v>
      </c>
      <c r="I29" s="191"/>
      <c r="J29" s="192"/>
      <c r="L29" s="190" t="s">
        <v>186</v>
      </c>
      <c r="M29" s="191"/>
      <c r="N29" s="192"/>
    </row>
    <row r="30" spans="2:14" s="30" customFormat="1" ht="18" customHeight="1">
      <c r="D30" s="106" t="s">
        <v>203</v>
      </c>
      <c r="E30" s="109" t="s">
        <v>204</v>
      </c>
      <c r="F30" s="107" t="s">
        <v>106</v>
      </c>
      <c r="H30" s="106" t="s">
        <v>203</v>
      </c>
      <c r="I30" s="109" t="s">
        <v>204</v>
      </c>
      <c r="J30" s="107" t="s">
        <v>106</v>
      </c>
      <c r="L30" s="106" t="s">
        <v>203</v>
      </c>
      <c r="M30" s="109" t="s">
        <v>204</v>
      </c>
      <c r="N30" s="107" t="s">
        <v>106</v>
      </c>
    </row>
    <row r="31" spans="2:14" s="30" customFormat="1" ht="18" customHeight="1">
      <c r="D31" s="144" t="e">
        <f>ROUND(myRandBetween(1,3,10), 1)</f>
        <v>#VALUE!</v>
      </c>
      <c r="E31" s="124" t="e">
        <f>myRandBetween(1,3,1)</f>
        <v>#VALUE!</v>
      </c>
      <c r="F31" s="145" t="e">
        <f>ROUND(myRandBetween(7,12,100), 2)</f>
        <v>#VALUE!</v>
      </c>
      <c r="H31" s="144" t="e">
        <f>ROUND(myRandBetween(1,3,10), 1)</f>
        <v>#VALUE!</v>
      </c>
      <c r="I31" s="124" t="e">
        <f>myRandBetween(1,3,1)</f>
        <v>#VALUE!</v>
      </c>
      <c r="J31" s="145" t="e">
        <f>ROUND(myRandBetween(7,12,100), 2)</f>
        <v>#VALUE!</v>
      </c>
      <c r="L31" s="144" t="e">
        <f>ROUND(myRandBetween(1,3,10), 1)</f>
        <v>#VALUE!</v>
      </c>
      <c r="M31" s="124" t="e">
        <f>myRandBetween(1,3,1)</f>
        <v>#VALUE!</v>
      </c>
      <c r="N31" s="145" t="e">
        <f>ROUND(myRandBetween(7,12,100), 2)</f>
        <v>#VALUE!</v>
      </c>
    </row>
    <row r="32" spans="2:14" s="30" customFormat="1" ht="18" customHeight="1">
      <c r="D32" s="144" t="e">
        <f t="shared" ref="D32:D40" si="19">ROUND(myRandBetween(1,3,10), 1)</f>
        <v>#VALUE!</v>
      </c>
      <c r="E32" s="124" t="e">
        <f t="shared" ref="E32:E40" si="20">myRandBetween(1,3,1)</f>
        <v>#VALUE!</v>
      </c>
      <c r="F32" s="145" t="e">
        <f t="shared" ref="F32:F40" si="21">ROUND(myRandBetween(7,12,100), 2)</f>
        <v>#VALUE!</v>
      </c>
      <c r="H32" s="144" t="e">
        <f t="shared" ref="H32:H40" si="22">ROUND(myRandBetween(1,3,10), 1)</f>
        <v>#VALUE!</v>
      </c>
      <c r="I32" s="124" t="e">
        <f t="shared" ref="I32:I40" si="23">myRandBetween(1,3,1)</f>
        <v>#VALUE!</v>
      </c>
      <c r="J32" s="145" t="e">
        <f t="shared" ref="J32:J40" si="24">ROUND(myRandBetween(7,12,100), 2)</f>
        <v>#VALUE!</v>
      </c>
      <c r="L32" s="144" t="e">
        <f t="shared" ref="L32:L40" si="25">ROUND(myRandBetween(1,3,10), 1)</f>
        <v>#VALUE!</v>
      </c>
      <c r="M32" s="124" t="e">
        <f t="shared" ref="M32:M40" si="26">myRandBetween(1,3,1)</f>
        <v>#VALUE!</v>
      </c>
      <c r="N32" s="145" t="e">
        <f t="shared" ref="N32:N40" si="27">ROUND(myRandBetween(7,12,100), 2)</f>
        <v>#VALUE!</v>
      </c>
    </row>
    <row r="33" spans="4:14" s="30" customFormat="1" ht="18" customHeight="1">
      <c r="D33" s="144" t="e">
        <f t="shared" si="19"/>
        <v>#VALUE!</v>
      </c>
      <c r="E33" s="124" t="e">
        <f t="shared" si="20"/>
        <v>#VALUE!</v>
      </c>
      <c r="F33" s="145" t="e">
        <f t="shared" si="21"/>
        <v>#VALUE!</v>
      </c>
      <c r="H33" s="144" t="e">
        <f t="shared" si="22"/>
        <v>#VALUE!</v>
      </c>
      <c r="I33" s="124" t="e">
        <f t="shared" si="23"/>
        <v>#VALUE!</v>
      </c>
      <c r="J33" s="145" t="e">
        <f t="shared" si="24"/>
        <v>#VALUE!</v>
      </c>
      <c r="L33" s="144" t="e">
        <f t="shared" si="25"/>
        <v>#VALUE!</v>
      </c>
      <c r="M33" s="124" t="e">
        <f t="shared" si="26"/>
        <v>#VALUE!</v>
      </c>
      <c r="N33" s="145" t="e">
        <f t="shared" si="27"/>
        <v>#VALUE!</v>
      </c>
    </row>
    <row r="34" spans="4:14" s="30" customFormat="1" ht="18" customHeight="1">
      <c r="D34" s="144" t="e">
        <f t="shared" si="19"/>
        <v>#VALUE!</v>
      </c>
      <c r="E34" s="124" t="e">
        <f t="shared" si="20"/>
        <v>#VALUE!</v>
      </c>
      <c r="F34" s="145" t="e">
        <f t="shared" si="21"/>
        <v>#VALUE!</v>
      </c>
      <c r="H34" s="144" t="e">
        <f t="shared" si="22"/>
        <v>#VALUE!</v>
      </c>
      <c r="I34" s="124" t="e">
        <f t="shared" si="23"/>
        <v>#VALUE!</v>
      </c>
      <c r="J34" s="145" t="e">
        <f t="shared" si="24"/>
        <v>#VALUE!</v>
      </c>
      <c r="L34" s="144" t="e">
        <f t="shared" si="25"/>
        <v>#VALUE!</v>
      </c>
      <c r="M34" s="124" t="e">
        <f t="shared" si="26"/>
        <v>#VALUE!</v>
      </c>
      <c r="N34" s="145" t="e">
        <f t="shared" si="27"/>
        <v>#VALUE!</v>
      </c>
    </row>
    <row r="35" spans="4:14" s="30" customFormat="1" ht="18" customHeight="1">
      <c r="D35" s="144" t="e">
        <f t="shared" si="19"/>
        <v>#VALUE!</v>
      </c>
      <c r="E35" s="124" t="e">
        <f t="shared" si="20"/>
        <v>#VALUE!</v>
      </c>
      <c r="F35" s="145" t="e">
        <f t="shared" si="21"/>
        <v>#VALUE!</v>
      </c>
      <c r="H35" s="144" t="e">
        <f t="shared" si="22"/>
        <v>#VALUE!</v>
      </c>
      <c r="I35" s="124" t="e">
        <f t="shared" si="23"/>
        <v>#VALUE!</v>
      </c>
      <c r="J35" s="145" t="e">
        <f t="shared" si="24"/>
        <v>#VALUE!</v>
      </c>
      <c r="L35" s="144" t="e">
        <f t="shared" si="25"/>
        <v>#VALUE!</v>
      </c>
      <c r="M35" s="124" t="e">
        <f t="shared" si="26"/>
        <v>#VALUE!</v>
      </c>
      <c r="N35" s="145" t="e">
        <f t="shared" si="27"/>
        <v>#VALUE!</v>
      </c>
    </row>
    <row r="36" spans="4:14" s="30" customFormat="1" ht="18" customHeight="1">
      <c r="D36" s="144" t="e">
        <f t="shared" si="19"/>
        <v>#VALUE!</v>
      </c>
      <c r="E36" s="124" t="e">
        <f t="shared" si="20"/>
        <v>#VALUE!</v>
      </c>
      <c r="F36" s="145" t="e">
        <f t="shared" si="21"/>
        <v>#VALUE!</v>
      </c>
      <c r="H36" s="144" t="e">
        <f t="shared" si="22"/>
        <v>#VALUE!</v>
      </c>
      <c r="I36" s="124" t="e">
        <f t="shared" si="23"/>
        <v>#VALUE!</v>
      </c>
      <c r="J36" s="145" t="e">
        <f t="shared" si="24"/>
        <v>#VALUE!</v>
      </c>
      <c r="L36" s="144" t="e">
        <f t="shared" si="25"/>
        <v>#VALUE!</v>
      </c>
      <c r="M36" s="124" t="e">
        <f t="shared" si="26"/>
        <v>#VALUE!</v>
      </c>
      <c r="N36" s="145" t="e">
        <f t="shared" si="27"/>
        <v>#VALUE!</v>
      </c>
    </row>
    <row r="37" spans="4:14" s="30" customFormat="1" ht="18" customHeight="1">
      <c r="D37" s="144" t="e">
        <f t="shared" si="19"/>
        <v>#VALUE!</v>
      </c>
      <c r="E37" s="124" t="e">
        <f t="shared" si="20"/>
        <v>#VALUE!</v>
      </c>
      <c r="F37" s="145" t="e">
        <f t="shared" si="21"/>
        <v>#VALUE!</v>
      </c>
      <c r="H37" s="144" t="e">
        <f t="shared" si="22"/>
        <v>#VALUE!</v>
      </c>
      <c r="I37" s="124" t="e">
        <f t="shared" si="23"/>
        <v>#VALUE!</v>
      </c>
      <c r="J37" s="145" t="e">
        <f t="shared" si="24"/>
        <v>#VALUE!</v>
      </c>
      <c r="L37" s="144" t="e">
        <f t="shared" si="25"/>
        <v>#VALUE!</v>
      </c>
      <c r="M37" s="124" t="e">
        <f t="shared" si="26"/>
        <v>#VALUE!</v>
      </c>
      <c r="N37" s="145" t="e">
        <f t="shared" si="27"/>
        <v>#VALUE!</v>
      </c>
    </row>
    <row r="38" spans="4:14" ht="18" customHeight="1">
      <c r="D38" s="144" t="e">
        <f t="shared" si="19"/>
        <v>#VALUE!</v>
      </c>
      <c r="E38" s="124" t="e">
        <f t="shared" si="20"/>
        <v>#VALUE!</v>
      </c>
      <c r="F38" s="145" t="e">
        <f t="shared" si="21"/>
        <v>#VALUE!</v>
      </c>
      <c r="H38" s="144" t="e">
        <f t="shared" si="22"/>
        <v>#VALUE!</v>
      </c>
      <c r="I38" s="124" t="e">
        <f t="shared" si="23"/>
        <v>#VALUE!</v>
      </c>
      <c r="J38" s="145" t="e">
        <f t="shared" si="24"/>
        <v>#VALUE!</v>
      </c>
      <c r="L38" s="144" t="e">
        <f t="shared" si="25"/>
        <v>#VALUE!</v>
      </c>
      <c r="M38" s="124" t="e">
        <f t="shared" si="26"/>
        <v>#VALUE!</v>
      </c>
      <c r="N38" s="145" t="e">
        <f t="shared" si="27"/>
        <v>#VALUE!</v>
      </c>
    </row>
    <row r="39" spans="4:14" ht="18" customHeight="1">
      <c r="D39" s="144" t="e">
        <f t="shared" si="19"/>
        <v>#VALUE!</v>
      </c>
      <c r="E39" s="124" t="e">
        <f t="shared" si="20"/>
        <v>#VALUE!</v>
      </c>
      <c r="F39" s="145" t="e">
        <f t="shared" si="21"/>
        <v>#VALUE!</v>
      </c>
      <c r="H39" s="144" t="e">
        <f t="shared" si="22"/>
        <v>#VALUE!</v>
      </c>
      <c r="I39" s="124" t="e">
        <f t="shared" si="23"/>
        <v>#VALUE!</v>
      </c>
      <c r="J39" s="145" t="e">
        <f t="shared" si="24"/>
        <v>#VALUE!</v>
      </c>
      <c r="L39" s="144" t="e">
        <f t="shared" si="25"/>
        <v>#VALUE!</v>
      </c>
      <c r="M39" s="124" t="e">
        <f t="shared" si="26"/>
        <v>#VALUE!</v>
      </c>
      <c r="N39" s="145" t="e">
        <f t="shared" si="27"/>
        <v>#VALUE!</v>
      </c>
    </row>
    <row r="40" spans="4:14" ht="18" customHeight="1" thickBot="1">
      <c r="D40" s="149" t="e">
        <f t="shared" si="19"/>
        <v>#VALUE!</v>
      </c>
      <c r="E40" s="125" t="e">
        <f t="shared" si="20"/>
        <v>#VALUE!</v>
      </c>
      <c r="F40" s="150" t="e">
        <f t="shared" si="21"/>
        <v>#VALUE!</v>
      </c>
      <c r="H40" s="149" t="e">
        <f t="shared" si="22"/>
        <v>#VALUE!</v>
      </c>
      <c r="I40" s="125" t="e">
        <f t="shared" si="23"/>
        <v>#VALUE!</v>
      </c>
      <c r="J40" s="150" t="e">
        <f t="shared" si="24"/>
        <v>#VALUE!</v>
      </c>
      <c r="L40" s="149" t="e">
        <f t="shared" si="25"/>
        <v>#VALUE!</v>
      </c>
      <c r="M40" s="125" t="e">
        <f t="shared" si="26"/>
        <v>#VALUE!</v>
      </c>
      <c r="N40" s="150" t="e">
        <f t="shared" si="27"/>
        <v>#VALUE!</v>
      </c>
    </row>
    <row r="41" spans="4:14" ht="18" customHeight="1"/>
    <row r="42" spans="4:14" ht="18" customHeight="1"/>
    <row r="43" spans="4:14" ht="18" customHeight="1"/>
    <row r="44" spans="4:14" ht="18" customHeight="1"/>
  </sheetData>
  <mergeCells count="10">
    <mergeCell ref="B26:C26"/>
    <mergeCell ref="D29:F29"/>
    <mergeCell ref="H29:J29"/>
    <mergeCell ref="L29:N29"/>
    <mergeCell ref="B12:C12"/>
    <mergeCell ref="D12:F12"/>
    <mergeCell ref="G12:I12"/>
    <mergeCell ref="J12:L12"/>
    <mergeCell ref="B24:C24"/>
    <mergeCell ref="B25:C25"/>
  </mergeCells>
  <phoneticPr fontId="7" type="noConversion"/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E504F4-D327-4576-B96B-4B6194C22D91}">
  <sheetPr codeName="Sheet15"/>
  <dimension ref="B1:J44"/>
  <sheetViews>
    <sheetView workbookViewId="0">
      <selection activeCell="K9" sqref="K9"/>
    </sheetView>
  </sheetViews>
  <sheetFormatPr defaultColWidth="8.88671875" defaultRowHeight="14.25"/>
  <cols>
    <col min="1" max="1" width="8.88671875" style="37"/>
    <col min="2" max="2" width="16.6640625" style="37" customWidth="1"/>
    <col min="3" max="4" width="14.6640625" style="37" customWidth="1"/>
    <col min="5" max="5" width="12" style="36" customWidth="1"/>
    <col min="6" max="6" width="12.33203125" style="36" customWidth="1"/>
    <col min="7" max="7" width="8.88671875" style="37"/>
    <col min="8" max="10" width="12.44140625" style="37" customWidth="1"/>
    <col min="11" max="16384" width="8.88671875" style="37"/>
  </cols>
  <sheetData>
    <row r="1" spans="2:10" s="30" customFormat="1" ht="18" customHeight="1">
      <c r="E1" s="1"/>
      <c r="F1" s="1"/>
    </row>
    <row r="2" spans="2:10" s="30" customFormat="1" ht="18" customHeight="1">
      <c r="B2" s="30" t="s">
        <v>96</v>
      </c>
      <c r="E2" s="1"/>
      <c r="F2" s="1"/>
    </row>
    <row r="3" spans="2:10" s="30" customFormat="1" ht="18" customHeight="1">
      <c r="E3" s="1"/>
      <c r="F3" s="1"/>
    </row>
    <row r="4" spans="2:10" s="98" customFormat="1" ht="26.25" customHeight="1">
      <c r="B4" s="96" t="s">
        <v>109</v>
      </c>
      <c r="C4" s="97" t="s">
        <v>102</v>
      </c>
      <c r="E4" s="97"/>
      <c r="F4" s="97"/>
    </row>
    <row r="5" spans="2:10" s="30" customFormat="1" ht="18" customHeight="1" thickBot="1">
      <c r="E5" s="1"/>
      <c r="F5" s="1"/>
    </row>
    <row r="6" spans="2:10" s="30" customFormat="1" ht="26.1" customHeight="1" thickBot="1">
      <c r="B6" s="31" t="s">
        <v>97</v>
      </c>
      <c r="C6" s="99">
        <v>43949.541666666664</v>
      </c>
      <c r="D6" s="32"/>
      <c r="E6" s="1"/>
      <c r="F6" s="1"/>
    </row>
    <row r="7" spans="2:10" s="30" customFormat="1" ht="26.1" customHeight="1" thickBot="1">
      <c r="B7" s="31" t="s">
        <v>98</v>
      </c>
      <c r="C7" s="33">
        <v>14.6</v>
      </c>
      <c r="D7" s="32"/>
      <c r="E7" s="1"/>
      <c r="F7" s="1"/>
    </row>
    <row r="8" spans="2:10" s="30" customFormat="1" ht="26.1" customHeight="1">
      <c r="B8" s="34" t="s">
        <v>99</v>
      </c>
      <c r="C8" s="35">
        <v>234</v>
      </c>
      <c r="D8" s="32"/>
      <c r="E8" s="1"/>
      <c r="F8" s="1"/>
    </row>
    <row r="9" spans="2:10" s="30" customFormat="1" ht="26.1" customHeight="1">
      <c r="B9" s="34" t="s">
        <v>100</v>
      </c>
      <c r="C9" s="100">
        <v>7.4</v>
      </c>
      <c r="D9" s="32"/>
      <c r="E9" s="1"/>
      <c r="F9" s="1"/>
    </row>
    <row r="10" spans="2:10" s="30" customFormat="1" ht="26.1" customHeight="1">
      <c r="B10" s="34"/>
      <c r="C10" s="35"/>
      <c r="D10" s="32"/>
      <c r="E10" s="1"/>
      <c r="F10" s="1"/>
    </row>
    <row r="11" spans="2:10" s="30" customFormat="1" ht="18" customHeight="1" thickBot="1">
      <c r="E11" s="1"/>
      <c r="F11" s="1"/>
    </row>
    <row r="12" spans="2:10" s="1" customFormat="1" ht="26.1" customHeight="1">
      <c r="B12" s="200" t="s">
        <v>101</v>
      </c>
      <c r="C12" s="201"/>
      <c r="D12" s="202" t="s">
        <v>102</v>
      </c>
      <c r="E12" s="203"/>
      <c r="F12" s="201"/>
      <c r="H12" s="190" t="s">
        <v>102</v>
      </c>
      <c r="I12" s="191"/>
      <c r="J12" s="192"/>
    </row>
    <row r="13" spans="2:10" s="1" customFormat="1" ht="26.1" customHeight="1">
      <c r="B13" s="173" t="s">
        <v>97</v>
      </c>
      <c r="C13" s="169" t="s">
        <v>103</v>
      </c>
      <c r="D13" s="167" t="s">
        <v>104</v>
      </c>
      <c r="E13" s="168" t="s">
        <v>105</v>
      </c>
      <c r="F13" s="169" t="s">
        <v>106</v>
      </c>
      <c r="H13" s="157" t="s">
        <v>104</v>
      </c>
      <c r="I13" s="109" t="s">
        <v>105</v>
      </c>
      <c r="J13" s="158" t="s">
        <v>106</v>
      </c>
    </row>
    <row r="14" spans="2:10" s="1" customFormat="1" ht="26.1" customHeight="1">
      <c r="B14" s="110">
        <f>$C$6+C14/1440</f>
        <v>43949.545138888883</v>
      </c>
      <c r="C14" s="111">
        <v>5</v>
      </c>
      <c r="D14" s="112" t="e">
        <f t="shared" ref="D14:D23" si="0">baseTemp+H14</f>
        <v>#VALUE!</v>
      </c>
      <c r="E14" s="113" t="e">
        <f>$C$8+I14</f>
        <v>#VALUE!</v>
      </c>
      <c r="F14" s="114" t="e">
        <f>$C$9+J14</f>
        <v>#VALUE!</v>
      </c>
      <c r="H14" s="103" t="e">
        <f>ROUND(myRandBetween(1,3,10), 1)</f>
        <v>#VALUE!</v>
      </c>
      <c r="I14" s="124" t="e">
        <f>myRandBetween(1,2,1)</f>
        <v>#VALUE!</v>
      </c>
      <c r="J14" s="116" t="e">
        <f>ROUND(myRandBetween(7,12,100), 2)</f>
        <v>#VALUE!</v>
      </c>
    </row>
    <row r="15" spans="2:10" s="1" customFormat="1" ht="26.1" customHeight="1">
      <c r="B15" s="115">
        <f t="shared" ref="B15:B23" si="1">$C$6+C15/1440</f>
        <v>43949.5625</v>
      </c>
      <c r="C15" s="116">
        <v>30</v>
      </c>
      <c r="D15" s="117" t="e">
        <f t="shared" si="0"/>
        <v>#VALUE!</v>
      </c>
      <c r="E15" s="118" t="e">
        <f t="shared" ref="E15:E23" si="2">$C$8+I15</f>
        <v>#VALUE!</v>
      </c>
      <c r="F15" s="119" t="e">
        <f t="shared" ref="F15:F23" si="3">$C$9+J15</f>
        <v>#VALUE!</v>
      </c>
      <c r="H15" s="103" t="e">
        <f t="shared" ref="H15:H23" si="4">ROUND(myRandBetween(1,3,10), 1)</f>
        <v>#VALUE!</v>
      </c>
      <c r="I15" s="124" t="e">
        <f t="shared" ref="I15:I23" si="5">myRandBetween(1,2,1)</f>
        <v>#VALUE!</v>
      </c>
      <c r="J15" s="116" t="e">
        <f t="shared" ref="J15:J23" si="6">ROUND(myRandBetween(7,12,100), 2)</f>
        <v>#VALUE!</v>
      </c>
    </row>
    <row r="16" spans="2:10" s="1" customFormat="1" ht="26.1" customHeight="1">
      <c r="B16" s="115">
        <f t="shared" si="1"/>
        <v>43949.583333333328</v>
      </c>
      <c r="C16" s="116">
        <v>60</v>
      </c>
      <c r="D16" s="117" t="e">
        <f t="shared" si="0"/>
        <v>#VALUE!</v>
      </c>
      <c r="E16" s="118" t="e">
        <f t="shared" si="2"/>
        <v>#VALUE!</v>
      </c>
      <c r="F16" s="119" t="e">
        <f t="shared" si="3"/>
        <v>#VALUE!</v>
      </c>
      <c r="H16" s="103" t="e">
        <f t="shared" si="4"/>
        <v>#VALUE!</v>
      </c>
      <c r="I16" s="124" t="e">
        <f t="shared" si="5"/>
        <v>#VALUE!</v>
      </c>
      <c r="J16" s="116" t="e">
        <f t="shared" si="6"/>
        <v>#VALUE!</v>
      </c>
    </row>
    <row r="17" spans="2:10" s="1" customFormat="1" ht="26.1" customHeight="1">
      <c r="B17" s="115">
        <f t="shared" si="1"/>
        <v>43949.625</v>
      </c>
      <c r="C17" s="116">
        <v>120</v>
      </c>
      <c r="D17" s="117" t="e">
        <f t="shared" si="0"/>
        <v>#VALUE!</v>
      </c>
      <c r="E17" s="118" t="e">
        <f t="shared" si="2"/>
        <v>#VALUE!</v>
      </c>
      <c r="F17" s="119" t="e">
        <f t="shared" si="3"/>
        <v>#VALUE!</v>
      </c>
      <c r="H17" s="103" t="e">
        <f t="shared" si="4"/>
        <v>#VALUE!</v>
      </c>
      <c r="I17" s="124" t="e">
        <f t="shared" si="5"/>
        <v>#VALUE!</v>
      </c>
      <c r="J17" s="116" t="e">
        <f t="shared" si="6"/>
        <v>#VALUE!</v>
      </c>
    </row>
    <row r="18" spans="2:10" s="1" customFormat="1" ht="26.1" customHeight="1">
      <c r="B18" s="115">
        <f t="shared" si="1"/>
        <v>43949.708333333328</v>
      </c>
      <c r="C18" s="116">
        <v>240</v>
      </c>
      <c r="D18" s="117" t="e">
        <f t="shared" si="0"/>
        <v>#VALUE!</v>
      </c>
      <c r="E18" s="118" t="e">
        <f t="shared" si="2"/>
        <v>#VALUE!</v>
      </c>
      <c r="F18" s="119" t="e">
        <f t="shared" si="3"/>
        <v>#VALUE!</v>
      </c>
      <c r="H18" s="103" t="e">
        <f t="shared" si="4"/>
        <v>#VALUE!</v>
      </c>
      <c r="I18" s="124" t="e">
        <f t="shared" si="5"/>
        <v>#VALUE!</v>
      </c>
      <c r="J18" s="116" t="e">
        <f t="shared" si="6"/>
        <v>#VALUE!</v>
      </c>
    </row>
    <row r="19" spans="2:10" s="1" customFormat="1" ht="26.1" customHeight="1">
      <c r="B19" s="115">
        <f t="shared" si="1"/>
        <v>43949.875</v>
      </c>
      <c r="C19" s="116">
        <v>480</v>
      </c>
      <c r="D19" s="120" t="e">
        <f t="shared" si="0"/>
        <v>#VALUE!</v>
      </c>
      <c r="E19" s="118" t="e">
        <f t="shared" si="2"/>
        <v>#VALUE!</v>
      </c>
      <c r="F19" s="119" t="e">
        <f t="shared" si="3"/>
        <v>#VALUE!</v>
      </c>
      <c r="H19" s="103" t="e">
        <f t="shared" si="4"/>
        <v>#VALUE!</v>
      </c>
      <c r="I19" s="124" t="e">
        <f t="shared" si="5"/>
        <v>#VALUE!</v>
      </c>
      <c r="J19" s="116" t="e">
        <f t="shared" si="6"/>
        <v>#VALUE!</v>
      </c>
    </row>
    <row r="20" spans="2:10" s="30" customFormat="1" ht="26.1" customHeight="1">
      <c r="B20" s="115">
        <f t="shared" si="1"/>
        <v>43950.541666666664</v>
      </c>
      <c r="C20" s="116">
        <v>1440</v>
      </c>
      <c r="D20" s="117" t="e">
        <f t="shared" si="0"/>
        <v>#VALUE!</v>
      </c>
      <c r="E20" s="118" t="e">
        <f t="shared" si="2"/>
        <v>#VALUE!</v>
      </c>
      <c r="F20" s="119" t="e">
        <f t="shared" si="3"/>
        <v>#VALUE!</v>
      </c>
      <c r="H20" s="103" t="e">
        <f t="shared" si="4"/>
        <v>#VALUE!</v>
      </c>
      <c r="I20" s="124" t="e">
        <f t="shared" si="5"/>
        <v>#VALUE!</v>
      </c>
      <c r="J20" s="116" t="e">
        <f t="shared" si="6"/>
        <v>#VALUE!</v>
      </c>
    </row>
    <row r="21" spans="2:10" s="30" customFormat="1" ht="26.1" customHeight="1">
      <c r="B21" s="115">
        <f t="shared" si="1"/>
        <v>43950.708333333328</v>
      </c>
      <c r="C21" s="116">
        <v>1680</v>
      </c>
      <c r="D21" s="117" t="e">
        <f t="shared" si="0"/>
        <v>#VALUE!</v>
      </c>
      <c r="E21" s="118" t="e">
        <f t="shared" si="2"/>
        <v>#VALUE!</v>
      </c>
      <c r="F21" s="119" t="e">
        <f t="shared" si="3"/>
        <v>#VALUE!</v>
      </c>
      <c r="H21" s="103" t="e">
        <f t="shared" si="4"/>
        <v>#VALUE!</v>
      </c>
      <c r="I21" s="124" t="e">
        <f t="shared" si="5"/>
        <v>#VALUE!</v>
      </c>
      <c r="J21" s="116" t="e">
        <f t="shared" si="6"/>
        <v>#VALUE!</v>
      </c>
    </row>
    <row r="22" spans="2:10" s="30" customFormat="1" ht="26.1" customHeight="1">
      <c r="B22" s="115">
        <f t="shared" si="1"/>
        <v>43950.875</v>
      </c>
      <c r="C22" s="116">
        <v>1920</v>
      </c>
      <c r="D22" s="117" t="e">
        <f t="shared" si="0"/>
        <v>#VALUE!</v>
      </c>
      <c r="E22" s="118" t="e">
        <f t="shared" si="2"/>
        <v>#VALUE!</v>
      </c>
      <c r="F22" s="119" t="e">
        <f t="shared" si="3"/>
        <v>#VALUE!</v>
      </c>
      <c r="H22" s="103" t="e">
        <f t="shared" si="4"/>
        <v>#VALUE!</v>
      </c>
      <c r="I22" s="124" t="e">
        <f t="shared" si="5"/>
        <v>#VALUE!</v>
      </c>
      <c r="J22" s="116" t="e">
        <f t="shared" si="6"/>
        <v>#VALUE!</v>
      </c>
    </row>
    <row r="23" spans="2:10" s="30" customFormat="1" ht="26.1" customHeight="1" thickBot="1">
      <c r="B23" s="115">
        <f t="shared" si="1"/>
        <v>43951.541666666664</v>
      </c>
      <c r="C23" s="116">
        <v>2880</v>
      </c>
      <c r="D23" s="117" t="e">
        <f t="shared" si="0"/>
        <v>#VALUE!</v>
      </c>
      <c r="E23" s="118" t="e">
        <f t="shared" si="2"/>
        <v>#VALUE!</v>
      </c>
      <c r="F23" s="119" t="e">
        <f t="shared" si="3"/>
        <v>#VALUE!</v>
      </c>
      <c r="H23" s="105" t="e">
        <f t="shared" si="4"/>
        <v>#VALUE!</v>
      </c>
      <c r="I23" s="125" t="e">
        <f t="shared" si="5"/>
        <v>#VALUE!</v>
      </c>
      <c r="J23" s="126" t="e">
        <f t="shared" si="6"/>
        <v>#VALUE!</v>
      </c>
    </row>
    <row r="24" spans="2:10" s="30" customFormat="1" ht="26.1" customHeight="1">
      <c r="B24" s="204" t="s">
        <v>48</v>
      </c>
      <c r="C24" s="205"/>
      <c r="D24" s="167" t="e">
        <f>MAX(D14:D23)</f>
        <v>#VALUE!</v>
      </c>
      <c r="E24" s="168" t="e">
        <f t="shared" ref="E24:F24" si="7">MAX(E14:E23)</f>
        <v>#VALUE!</v>
      </c>
      <c r="F24" s="169" t="e">
        <f t="shared" si="7"/>
        <v>#VALUE!</v>
      </c>
      <c r="H24" s="1"/>
      <c r="I24" s="1"/>
      <c r="J24" s="1"/>
    </row>
    <row r="25" spans="2:10" s="30" customFormat="1" ht="26.1" customHeight="1">
      <c r="B25" s="204" t="s">
        <v>49</v>
      </c>
      <c r="C25" s="205"/>
      <c r="D25" s="167" t="e">
        <f>MIN(D14:D23)</f>
        <v>#VALUE!</v>
      </c>
      <c r="E25" s="168" t="e">
        <f t="shared" ref="E25:F25" si="8">MIN(E14:E23)</f>
        <v>#VALUE!</v>
      </c>
      <c r="F25" s="169" t="e">
        <f t="shared" si="8"/>
        <v>#VALUE!</v>
      </c>
      <c r="H25" s="1"/>
      <c r="I25" s="1"/>
      <c r="J25" s="1"/>
    </row>
    <row r="26" spans="2:10" s="30" customFormat="1" ht="26.1" customHeight="1" thickBot="1">
      <c r="B26" s="198" t="s">
        <v>107</v>
      </c>
      <c r="C26" s="199"/>
      <c r="D26" s="170" t="e">
        <f>D24-D25</f>
        <v>#VALUE!</v>
      </c>
      <c r="E26" s="171" t="e">
        <f t="shared" ref="E26:F26" si="9">E24-E25</f>
        <v>#VALUE!</v>
      </c>
      <c r="F26" s="172" t="e">
        <f t="shared" si="9"/>
        <v>#VALUE!</v>
      </c>
      <c r="H26" s="1"/>
      <c r="I26" s="1"/>
      <c r="J26" s="1"/>
    </row>
    <row r="27" spans="2:10" s="30" customFormat="1" ht="18" customHeight="1">
      <c r="E27" s="1"/>
      <c r="F27" s="1"/>
    </row>
    <row r="28" spans="2:10" s="30" customFormat="1" ht="18" customHeight="1">
      <c r="E28" s="1"/>
      <c r="F28" s="1"/>
    </row>
    <row r="29" spans="2:10" s="30" customFormat="1" ht="18" customHeight="1">
      <c r="E29" s="1"/>
      <c r="F29" s="1"/>
    </row>
    <row r="30" spans="2:10" s="30" customFormat="1" ht="18" customHeight="1">
      <c r="E30" s="1"/>
      <c r="F30" s="1"/>
    </row>
    <row r="31" spans="2:10" s="30" customFormat="1" ht="18" customHeight="1">
      <c r="E31" s="1"/>
      <c r="F31" s="1"/>
    </row>
    <row r="32" spans="2:10" s="30" customFormat="1" ht="18" customHeight="1">
      <c r="E32" s="1"/>
      <c r="F32" s="1"/>
    </row>
    <row r="33" spans="5:6" s="30" customFormat="1" ht="18" customHeight="1">
      <c r="E33" s="1"/>
      <c r="F33" s="1"/>
    </row>
    <row r="34" spans="5:6" s="30" customFormat="1" ht="18" customHeight="1">
      <c r="E34" s="1"/>
      <c r="F34" s="1"/>
    </row>
    <row r="35" spans="5:6" s="30" customFormat="1" ht="18" customHeight="1">
      <c r="E35" s="1"/>
      <c r="F35" s="1"/>
    </row>
    <row r="36" spans="5:6" s="30" customFormat="1" ht="18" customHeight="1">
      <c r="E36" s="1"/>
      <c r="F36" s="1"/>
    </row>
    <row r="37" spans="5:6" s="30" customFormat="1" ht="18" customHeight="1">
      <c r="E37" s="1"/>
      <c r="F37" s="1"/>
    </row>
    <row r="38" spans="5:6" ht="18" customHeight="1"/>
    <row r="39" spans="5:6" ht="18" customHeight="1"/>
    <row r="40" spans="5:6" ht="18" customHeight="1"/>
    <row r="41" spans="5:6" ht="18" customHeight="1"/>
    <row r="42" spans="5:6" ht="18" customHeight="1"/>
    <row r="43" spans="5:6" ht="18" customHeight="1"/>
    <row r="44" spans="5:6" ht="18" customHeight="1"/>
  </sheetData>
  <mergeCells count="6">
    <mergeCell ref="B26:C26"/>
    <mergeCell ref="B12:C12"/>
    <mergeCell ref="D12:F12"/>
    <mergeCell ref="H12:J12"/>
    <mergeCell ref="B24:C24"/>
    <mergeCell ref="B25:C25"/>
  </mergeCells>
  <phoneticPr fontId="7" type="noConversion"/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8</vt:i4>
      </vt:variant>
    </vt:vector>
  </HeadingPairs>
  <TitlesOfParts>
    <vt:vector size="18" baseType="lpstr">
      <vt:lpstr>30Year</vt:lpstr>
      <vt:lpstr>Y</vt:lpstr>
      <vt:lpstr>M</vt:lpstr>
      <vt:lpstr>Recharge</vt:lpstr>
      <vt:lpstr>drastic</vt:lpstr>
      <vt:lpstr>Well</vt:lpstr>
      <vt:lpstr>1</vt:lpstr>
      <vt:lpstr>Q1</vt:lpstr>
      <vt:lpstr>Q2</vt:lpstr>
      <vt:lpstr>w1</vt:lpstr>
      <vt:lpstr>allow_ratio</vt:lpstr>
      <vt:lpstr>'Q1'!baseTemp</vt:lpstr>
      <vt:lpstr>'Q2'!baseTemp</vt:lpstr>
      <vt:lpstr>'w1'!baseTemp</vt:lpstr>
      <vt:lpstr>max</vt:lpstr>
      <vt:lpstr>min</vt:lpstr>
      <vt:lpstr>rf_1</vt:lpstr>
      <vt:lpstr>rf_2</vt:lpstr>
    </vt:vector>
  </TitlesOfParts>
  <Company>Korea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홍순욱</dc:creator>
  <cp:lastModifiedBy>ihanseol</cp:lastModifiedBy>
  <cp:lastPrinted>2009-04-26T05:41:25Z</cp:lastPrinted>
  <dcterms:created xsi:type="dcterms:W3CDTF">2006-03-22T01:28:03Z</dcterms:created>
  <dcterms:modified xsi:type="dcterms:W3CDTF">2020-05-20T12:09:31Z</dcterms:modified>
</cp:coreProperties>
</file>