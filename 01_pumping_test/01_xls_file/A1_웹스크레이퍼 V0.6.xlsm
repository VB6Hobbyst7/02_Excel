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362BCA07-1869-42D6-A143-EFD88AE6AE08}" xr6:coauthVersionLast="45" xr6:coauthVersionMax="45" xr10:uidLastSave="{00000000-0000-0000-0000-000000000000}"/>
  <bookViews>
    <workbookView minimized="1" xWindow="2745" yWindow="1320" windowWidth="27120" windowHeight="1743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sharedStrings.xml><?xml version="1.0" encoding="utf-8"?>
<sst xmlns="http://schemas.openxmlformats.org/spreadsheetml/2006/main" count="276" uniqueCount="181">
  <si>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</si>
  <si>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</si>
  <si>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</si>
  <si>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</si>
  <si>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</si>
  <si>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</si>
  <si>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</si>
  <si>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</si>
  <si>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</si>
  <si>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</si>
  <si>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</si>
  <si>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</si>
  <si>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</si>
  <si>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</si>
  <si>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</si>
  <si>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</si>
  <si>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</si>
  <si>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</si>
  <si>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</si>
  <si>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</si>
  <si>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</si>
  <si>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</si>
  <si>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</si>
  <si>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</si>
  <si>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</si>
  <si>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</si>
  <si>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</si>
  <si>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</si>
  <si>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</si>
  <si>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</si>
  <si>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</si>
  <si>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</si>
  <si>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</si>
  <si>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</si>
  <si>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</si>
  <si>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</si>
  <si>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</si>
  <si>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</si>
  <si>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</si>
  <si>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</si>
  <si>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</si>
  <si>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</si>
  <si>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</si>
  <si>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</si>
  <si>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</si>
  <si>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</si>
  <si>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</si>
  <si>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</si>
  <si>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</si>
  <si>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</si>
  <si>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</si>
  <si>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</si>
  <si>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</si>
  <si>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</si>
  <si>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</si>
  <si>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</si>
  <si>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</si>
  <si>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</si>
  <si>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</si>
  <si>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</si>
  <si>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</si>
  <si>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</si>
  <si>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</si>
  <si>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</si>
  <si>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</si>
  <si>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</si>
  <si>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</si>
  <si>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</si>
  <si>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</si>
  <si>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</si>
  <si>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</si>
  <si>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Button 5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</si>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</sst>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20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1DE13D7-517D-4AC8-B922-C3B3830ED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topLeftCell="A22"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/>
  <dimension ref="B1:T62"/>
  <sheetViews>
    <sheetView tabSelected="1" zoomScaleNormal="100" workbookViewId="0">
      <selection activeCell="R15" sqref="R1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1" spans="2:20">
      <c r="T1" s="2" t="s">
        <v>71</v>
      </c>
    </row>
    <row r="2" spans="2:20">
      <c r="B2" s="30" t="s">
        <v>69</v>
      </c>
    </row>
    <row r="3" spans="2:20" ht="24.75" customHeight="1">
      <c r="R3" s="98"/>
    </row>
    <row r="4" spans="2:20" ht="21.75" customHeight="1" thickBot="1"/>
    <row r="5" spans="2:20" s="3" customFormat="1" ht="21.95" customHeigh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20" ht="21.95" customHeight="1">
      <c r="B6" s="102">
        <v>1990</v>
      </c>
      <c r="C6" s="38">
        <v>33.700000000000003</v>
      </c>
      <c r="D6" s="38">
        <v>81.400000000000006</v>
      </c>
      <c r="E6" s="38">
        <v>85.1</v>
      </c>
      <c r="F6" s="38">
        <v>77.400000000000006</v>
      </c>
      <c r="G6" s="38">
        <v>152.69999999999999</v>
      </c>
      <c r="H6" s="38">
        <v>357.5</v>
      </c>
      <c r="I6" s="38">
        <v>492.4</v>
      </c>
      <c r="J6" s="38">
        <v>213.1</v>
      </c>
      <c r="K6" s="38">
        <v>491.9</v>
      </c>
      <c r="L6" s="38">
        <v>13.5</v>
      </c>
      <c r="M6" s="38">
        <v>46.5</v>
      </c>
      <c r="N6" s="46">
        <v>24</v>
      </c>
      <c r="O6" s="55">
        <f t="shared" ref="O6:O35" si="0">ROUND(SUM(C6:N6),1)</f>
        <v>2069.1999999999998</v>
      </c>
      <c r="P6" s="54">
        <f>ROUND(O6/12,1)</f>
        <v>172.4</v>
      </c>
      <c r="Q6" s="29"/>
    </row>
    <row r="7" spans="2:20" ht="21.95" customHeight="1">
      <c r="B7" s="103">
        <v>1991</v>
      </c>
      <c r="C7" s="39">
        <v>18.3</v>
      </c>
      <c r="D7" s="39">
        <v>38.4</v>
      </c>
      <c r="E7" s="39">
        <v>30.6</v>
      </c>
      <c r="F7" s="39">
        <v>49.8</v>
      </c>
      <c r="G7" s="39">
        <v>87.2</v>
      </c>
      <c r="H7" s="39">
        <v>107.9</v>
      </c>
      <c r="I7" s="39">
        <v>624.70000000000005</v>
      </c>
      <c r="J7" s="39">
        <v>58.8</v>
      </c>
      <c r="K7" s="39">
        <v>189</v>
      </c>
      <c r="L7" s="39">
        <v>21</v>
      </c>
      <c r="M7" s="39">
        <v>24.4</v>
      </c>
      <c r="N7" s="48">
        <v>47.9</v>
      </c>
      <c r="O7" s="55">
        <f t="shared" si="0"/>
        <v>1298</v>
      </c>
      <c r="P7" s="49">
        <f t="shared" ref="P7:P35" si="1">ROUND(O7/12,1)</f>
        <v>108.2</v>
      </c>
      <c r="Q7" s="29"/>
      <c r="T7" s="116" t="s">
        <v>180</v>
      </c>
    </row>
    <row r="8" spans="2:20" ht="21.95" customHeight="1">
      <c r="B8" s="103">
        <v>1992</v>
      </c>
      <c r="C8" s="39">
        <v>13.8</v>
      </c>
      <c r="D8" s="39">
        <v>59.7</v>
      </c>
      <c r="E8" s="39">
        <v>10.4</v>
      </c>
      <c r="F8" s="39">
        <v>64.3</v>
      </c>
      <c r="G8" s="39">
        <v>123.6</v>
      </c>
      <c r="H8" s="39">
        <v>75</v>
      </c>
      <c r="I8" s="39">
        <v>142.30000000000001</v>
      </c>
      <c r="J8" s="39">
        <v>277.5</v>
      </c>
      <c r="K8" s="39">
        <v>142.5</v>
      </c>
      <c r="L8" s="39">
        <v>55</v>
      </c>
      <c r="M8" s="39">
        <v>60.9</v>
      </c>
      <c r="N8" s="48">
        <v>76.5</v>
      </c>
      <c r="O8" s="55">
        <f t="shared" si="0"/>
        <v>1101.5</v>
      </c>
      <c r="P8" s="49">
        <f t="shared" si="1"/>
        <v>91.8</v>
      </c>
      <c r="Q8" s="29"/>
    </row>
    <row r="9" spans="2:20" ht="21.95" customHeight="1">
      <c r="B9" s="103">
        <v>1993</v>
      </c>
      <c r="C9" s="39">
        <v>10</v>
      </c>
      <c r="D9" s="39">
        <v>49.1</v>
      </c>
      <c r="E9" s="39">
        <v>22.5</v>
      </c>
      <c r="F9" s="39">
        <v>83.5</v>
      </c>
      <c r="G9" s="39">
        <v>184.9</v>
      </c>
      <c r="H9" s="39">
        <v>170.7</v>
      </c>
      <c r="I9" s="39">
        <v>318.39999999999998</v>
      </c>
      <c r="J9" s="39">
        <v>199.9</v>
      </c>
      <c r="K9" s="39">
        <v>45.7</v>
      </c>
      <c r="L9" s="39">
        <v>13.8</v>
      </c>
      <c r="M9" s="39">
        <v>49.5</v>
      </c>
      <c r="N9" s="48">
        <v>13</v>
      </c>
      <c r="O9" s="55">
        <f t="shared" si="0"/>
        <v>1161</v>
      </c>
      <c r="P9" s="49">
        <f t="shared" si="1"/>
        <v>96.8</v>
      </c>
      <c r="Q9" s="29"/>
    </row>
    <row r="10" spans="2:20" ht="21.95" customHeight="1">
      <c r="B10" s="103">
        <v>1994</v>
      </c>
      <c r="C10" s="39">
        <v>10.199999999999999</v>
      </c>
      <c r="D10" s="39">
        <v>4.5999999999999996</v>
      </c>
      <c r="E10" s="39">
        <v>21.7</v>
      </c>
      <c r="F10" s="39">
        <v>35</v>
      </c>
      <c r="G10" s="39">
        <v>130.6</v>
      </c>
      <c r="H10" s="39">
        <v>99.9</v>
      </c>
      <c r="I10" s="39">
        <v>128.5</v>
      </c>
      <c r="J10" s="39">
        <v>248.5</v>
      </c>
      <c r="K10" s="39">
        <v>59.9</v>
      </c>
      <c r="L10" s="39">
        <v>137.30000000000001</v>
      </c>
      <c r="M10" s="39">
        <v>45.5</v>
      </c>
      <c r="N10" s="48">
        <v>9.1999999999999993</v>
      </c>
      <c r="O10" s="55">
        <f t="shared" si="0"/>
        <v>930.9</v>
      </c>
      <c r="P10" s="49">
        <f t="shared" si="1"/>
        <v>77.599999999999994</v>
      </c>
      <c r="Q10" s="29"/>
    </row>
    <row r="11" spans="2:20" ht="21.95" customHeight="1">
      <c r="B11" s="103">
        <v>1995</v>
      </c>
      <c r="C11" s="39">
        <v>8.4</v>
      </c>
      <c r="D11" s="39">
        <v>7.6</v>
      </c>
      <c r="E11" s="39">
        <v>53.5</v>
      </c>
      <c r="F11" s="39">
        <v>43</v>
      </c>
      <c r="G11" s="39">
        <v>45.9</v>
      </c>
      <c r="H11" s="39">
        <v>54.2</v>
      </c>
      <c r="I11" s="39">
        <v>453.9</v>
      </c>
      <c r="J11" s="39">
        <v>774.7</v>
      </c>
      <c r="K11" s="39">
        <v>74.2</v>
      </c>
      <c r="L11" s="39">
        <v>25.8</v>
      </c>
      <c r="M11" s="39">
        <v>47.4</v>
      </c>
      <c r="N11" s="48">
        <v>4.5</v>
      </c>
      <c r="O11" s="55">
        <f t="shared" si="0"/>
        <v>1593.1</v>
      </c>
      <c r="P11" s="49">
        <f t="shared" si="1"/>
        <v>132.80000000000001</v>
      </c>
      <c r="Q11" s="29"/>
    </row>
    <row r="12" spans="2:20" ht="21.95" customHeight="1">
      <c r="B12" s="103">
        <v>1996</v>
      </c>
      <c r="C12" s="39">
        <v>17.5</v>
      </c>
      <c r="D12" s="39">
        <v>5.3</v>
      </c>
      <c r="E12" s="39">
        <v>70.400000000000006</v>
      </c>
      <c r="F12" s="39">
        <v>54.2</v>
      </c>
      <c r="G12" s="39">
        <v>23.3</v>
      </c>
      <c r="H12" s="39">
        <v>236.1</v>
      </c>
      <c r="I12" s="39">
        <v>545.70000000000005</v>
      </c>
      <c r="J12" s="39">
        <v>74.3</v>
      </c>
      <c r="K12" s="39">
        <v>35.700000000000003</v>
      </c>
      <c r="L12" s="39">
        <v>64.8</v>
      </c>
      <c r="M12" s="39">
        <v>45</v>
      </c>
      <c r="N12" s="48">
        <v>13.4</v>
      </c>
      <c r="O12" s="55">
        <f t="shared" si="0"/>
        <v>1185.7</v>
      </c>
      <c r="P12" s="49">
        <f t="shared" si="1"/>
        <v>98.8</v>
      </c>
    </row>
    <row r="13" spans="2:20" ht="21.95" customHeight="1">
      <c r="B13" s="103">
        <v>1997</v>
      </c>
      <c r="C13" s="39">
        <v>18.5</v>
      </c>
      <c r="D13" s="39">
        <v>31.7</v>
      </c>
      <c r="E13" s="39">
        <v>16.3</v>
      </c>
      <c r="F13" s="39">
        <v>32.299999999999997</v>
      </c>
      <c r="G13" s="39">
        <v>281.89999999999998</v>
      </c>
      <c r="H13" s="39">
        <v>110.7</v>
      </c>
      <c r="I13" s="39">
        <v>241.3</v>
      </c>
      <c r="J13" s="39">
        <v>155.4</v>
      </c>
      <c r="K13" s="39">
        <v>127.9</v>
      </c>
      <c r="L13" s="39">
        <v>29.5</v>
      </c>
      <c r="M13" s="39">
        <v>94.6</v>
      </c>
      <c r="N13" s="48">
        <v>35.6</v>
      </c>
      <c r="O13" s="55">
        <f t="shared" si="0"/>
        <v>1175.7</v>
      </c>
      <c r="P13" s="49">
        <f t="shared" si="1"/>
        <v>98</v>
      </c>
    </row>
    <row r="14" spans="2:20" ht="21.95" customHeight="1">
      <c r="B14" s="103">
        <v>1998</v>
      </c>
      <c r="C14" s="39">
        <v>13.4</v>
      </c>
      <c r="D14" s="39">
        <v>34.1</v>
      </c>
      <c r="E14" s="39">
        <v>32.4</v>
      </c>
      <c r="F14" s="39">
        <v>131.6</v>
      </c>
      <c r="G14" s="39">
        <v>92.2</v>
      </c>
      <c r="H14" s="39">
        <v>183.3</v>
      </c>
      <c r="I14" s="39">
        <v>366</v>
      </c>
      <c r="J14" s="39">
        <v>663.9</v>
      </c>
      <c r="K14" s="39">
        <v>83.5</v>
      </c>
      <c r="L14" s="39">
        <v>36.200000000000003</v>
      </c>
      <c r="M14" s="39">
        <v>67.099999999999994</v>
      </c>
      <c r="N14" s="48">
        <v>3.9</v>
      </c>
      <c r="O14" s="55">
        <f t="shared" si="0"/>
        <v>1707.6</v>
      </c>
      <c r="P14" s="49">
        <f t="shared" si="1"/>
        <v>142.30000000000001</v>
      </c>
      <c r="R14" s="119">
        <v>101</v>
      </c>
    </row>
    <row r="15" spans="2:20" ht="21.95" customHeight="1">
      <c r="B15" s="103">
        <v>1999</v>
      </c>
      <c r="C15" s="39">
        <v>5.6</v>
      </c>
      <c r="D15" s="39">
        <v>1.3</v>
      </c>
      <c r="E15" s="39">
        <v>47.2</v>
      </c>
      <c r="F15" s="39">
        <v>75</v>
      </c>
      <c r="G15" s="39">
        <v>103.8</v>
      </c>
      <c r="H15" s="39">
        <v>93.4</v>
      </c>
      <c r="I15" s="39">
        <v>226.1</v>
      </c>
      <c r="J15" s="39">
        <v>563</v>
      </c>
      <c r="K15" s="39">
        <v>348.3</v>
      </c>
      <c r="L15" s="39">
        <v>93.1</v>
      </c>
      <c r="M15" s="39">
        <v>19.3</v>
      </c>
      <c r="N15" s="48">
        <v>10.8</v>
      </c>
      <c r="O15" s="55">
        <f t="shared" si="0"/>
        <v>1586.9</v>
      </c>
      <c r="P15" s="49">
        <f t="shared" si="1"/>
        <v>132.19999999999999</v>
      </c>
    </row>
    <row r="16" spans="2:20" ht="21.95" customHeight="1">
      <c r="B16" s="103">
        <v>2000</v>
      </c>
      <c r="C16" s="39">
        <v>46.6</v>
      </c>
      <c r="D16" s="39">
        <v>4</v>
      </c>
      <c r="E16" s="39">
        <v>14.3</v>
      </c>
      <c r="F16" s="39">
        <v>15.3</v>
      </c>
      <c r="G16" s="39">
        <v>80.099999999999994</v>
      </c>
      <c r="H16" s="39">
        <v>113.2</v>
      </c>
      <c r="I16" s="39">
        <v>182.2</v>
      </c>
      <c r="J16" s="39">
        <v>481.6</v>
      </c>
      <c r="K16" s="39">
        <v>139.80000000000001</v>
      </c>
      <c r="L16" s="39">
        <v>16.899999999999999</v>
      </c>
      <c r="M16" s="39">
        <v>25.4</v>
      </c>
      <c r="N16" s="48">
        <v>35.5</v>
      </c>
      <c r="O16" s="55">
        <f t="shared" si="0"/>
        <v>1154.9000000000001</v>
      </c>
      <c r="P16" s="49">
        <f t="shared" si="1"/>
        <v>96.2</v>
      </c>
    </row>
    <row r="17" spans="2:16" ht="21.95" customHeight="1">
      <c r="B17" s="103">
        <v>2001</v>
      </c>
      <c r="C17" s="39">
        <v>32.799999999999997</v>
      </c>
      <c r="D17" s="39">
        <v>30.5</v>
      </c>
      <c r="E17" s="39">
        <v>14.8</v>
      </c>
      <c r="F17" s="39">
        <v>13.6</v>
      </c>
      <c r="G17" s="39">
        <v>12.3</v>
      </c>
      <c r="H17" s="39">
        <v>178</v>
      </c>
      <c r="I17" s="39">
        <v>520.29999999999995</v>
      </c>
      <c r="J17" s="39">
        <v>193.4</v>
      </c>
      <c r="K17" s="39">
        <v>8.9</v>
      </c>
      <c r="L17" s="39">
        <v>72.599999999999994</v>
      </c>
      <c r="M17" s="39">
        <v>12.3</v>
      </c>
      <c r="N17" s="48">
        <v>18.5</v>
      </c>
      <c r="O17" s="55">
        <f t="shared" si="0"/>
        <v>1108</v>
      </c>
      <c r="P17" s="49">
        <f t="shared" si="1"/>
        <v>92.3</v>
      </c>
    </row>
    <row r="18" spans="2:16" ht="21.95" customHeight="1">
      <c r="B18" s="103">
        <v>2002</v>
      </c>
      <c r="C18" s="39">
        <v>62.2</v>
      </c>
      <c r="D18" s="39">
        <v>4.5999999999999996</v>
      </c>
      <c r="E18" s="39">
        <v>36.700000000000003</v>
      </c>
      <c r="F18" s="39">
        <v>143.80000000000001</v>
      </c>
      <c r="G18" s="39">
        <v>55.6</v>
      </c>
      <c r="H18" s="39">
        <v>79.599999999999994</v>
      </c>
      <c r="I18" s="39">
        <v>214.6</v>
      </c>
      <c r="J18" s="39">
        <v>413.2</v>
      </c>
      <c r="K18" s="39">
        <v>55</v>
      </c>
      <c r="L18" s="39">
        <v>70.3</v>
      </c>
      <c r="M18" s="39">
        <v>14.3</v>
      </c>
      <c r="N18" s="48">
        <v>27.8</v>
      </c>
      <c r="O18" s="55">
        <f t="shared" si="0"/>
        <v>1177.7</v>
      </c>
      <c r="P18" s="49">
        <f t="shared" si="1"/>
        <v>98.1</v>
      </c>
    </row>
    <row r="19" spans="2:16" ht="21.95" customHeight="1">
      <c r="B19" s="103">
        <v>2003</v>
      </c>
      <c r="C19" s="39">
        <v>15.9</v>
      </c>
      <c r="D19" s="39">
        <v>36</v>
      </c>
      <c r="E19" s="39">
        <v>27.3</v>
      </c>
      <c r="F19" s="39">
        <v>147</v>
      </c>
      <c r="G19" s="39">
        <v>125.5</v>
      </c>
      <c r="H19" s="39">
        <v>121.9</v>
      </c>
      <c r="I19" s="39">
        <v>340.9</v>
      </c>
      <c r="J19" s="39">
        <v>632.70000000000005</v>
      </c>
      <c r="K19" s="39">
        <v>313</v>
      </c>
      <c r="L19" s="39">
        <v>33.1</v>
      </c>
      <c r="M19" s="39">
        <v>66</v>
      </c>
      <c r="N19" s="48">
        <v>6.5</v>
      </c>
      <c r="O19" s="55">
        <f t="shared" si="0"/>
        <v>1865.8</v>
      </c>
      <c r="P19" s="49">
        <f t="shared" si="1"/>
        <v>155.5</v>
      </c>
    </row>
    <row r="20" spans="2:16" ht="21.95" customHeight="1">
      <c r="B20" s="103">
        <v>2004</v>
      </c>
      <c r="C20" s="39">
        <v>10.9</v>
      </c>
      <c r="D20" s="39">
        <v>58.8</v>
      </c>
      <c r="E20" s="39">
        <v>20.399999999999999</v>
      </c>
      <c r="F20" s="39">
        <v>59.7</v>
      </c>
      <c r="G20" s="39">
        <v>135</v>
      </c>
      <c r="H20" s="39">
        <v>105.7</v>
      </c>
      <c r="I20" s="39">
        <v>532.29999999999995</v>
      </c>
      <c r="J20" s="39">
        <v>215.6</v>
      </c>
      <c r="K20" s="39">
        <v>193.6</v>
      </c>
      <c r="L20" s="39">
        <v>1.8</v>
      </c>
      <c r="M20" s="39">
        <v>43</v>
      </c>
      <c r="N20" s="48">
        <v>27.2</v>
      </c>
      <c r="O20" s="55">
        <f t="shared" si="0"/>
        <v>1404</v>
      </c>
      <c r="P20" s="49">
        <f t="shared" si="1"/>
        <v>117</v>
      </c>
    </row>
    <row r="21" spans="2:16" ht="21.95" customHeight="1">
      <c r="B21" s="103">
        <v>2005</v>
      </c>
      <c r="C21" s="39">
        <v>3.7</v>
      </c>
      <c r="D21" s="39">
        <v>30.8</v>
      </c>
      <c r="E21" s="39">
        <v>17.5</v>
      </c>
      <c r="F21" s="39">
        <v>86.5</v>
      </c>
      <c r="G21" s="39">
        <v>72.3</v>
      </c>
      <c r="H21" s="39">
        <v>160</v>
      </c>
      <c r="I21" s="39">
        <v>321.7</v>
      </c>
      <c r="J21" s="39">
        <v>340.5</v>
      </c>
      <c r="K21" s="39">
        <v>210.5</v>
      </c>
      <c r="L21" s="39">
        <v>32.299999999999997</v>
      </c>
      <c r="M21" s="39">
        <v>48.8</v>
      </c>
      <c r="N21" s="48">
        <v>9.6</v>
      </c>
      <c r="O21" s="55">
        <f t="shared" si="0"/>
        <v>1334.2</v>
      </c>
      <c r="P21" s="49">
        <f t="shared" si="1"/>
        <v>111.2</v>
      </c>
    </row>
    <row r="22" spans="2:16" ht="21.95" customHeight="1">
      <c r="B22" s="103">
        <v>2006</v>
      </c>
      <c r="C22" s="39">
        <v>34.200000000000003</v>
      </c>
      <c r="D22" s="39">
        <v>13.5</v>
      </c>
      <c r="E22" s="39">
        <v>18</v>
      </c>
      <c r="F22" s="39">
        <v>81</v>
      </c>
      <c r="G22" s="39">
        <v>125.8</v>
      </c>
      <c r="H22" s="39">
        <v>164</v>
      </c>
      <c r="I22" s="39">
        <v>908.2</v>
      </c>
      <c r="J22" s="39">
        <v>136.80000000000001</v>
      </c>
      <c r="K22" s="39">
        <v>19.8</v>
      </c>
      <c r="L22" s="39">
        <v>81.5</v>
      </c>
      <c r="M22" s="39">
        <v>62</v>
      </c>
      <c r="N22" s="48">
        <v>14.6</v>
      </c>
      <c r="O22" s="55">
        <f t="shared" si="0"/>
        <v>1659.4</v>
      </c>
      <c r="P22" s="49">
        <f t="shared" si="1"/>
        <v>138.30000000000001</v>
      </c>
    </row>
    <row r="23" spans="2:16" ht="21.95" customHeight="1">
      <c r="B23" s="103">
        <v>2007</v>
      </c>
      <c r="C23" s="39">
        <v>6.3</v>
      </c>
      <c r="D23" s="39">
        <v>12</v>
      </c>
      <c r="E23" s="39">
        <v>109.3</v>
      </c>
      <c r="F23" s="39">
        <v>45.1</v>
      </c>
      <c r="G23" s="39">
        <v>138.5</v>
      </c>
      <c r="H23" s="39">
        <v>53.9</v>
      </c>
      <c r="I23" s="39">
        <v>217.9</v>
      </c>
      <c r="J23" s="39">
        <v>446</v>
      </c>
      <c r="K23" s="39">
        <v>286.10000000000002</v>
      </c>
      <c r="L23" s="39">
        <v>26.7</v>
      </c>
      <c r="M23" s="39">
        <v>22.3</v>
      </c>
      <c r="N23" s="48">
        <v>10.8</v>
      </c>
      <c r="O23" s="55">
        <f t="shared" si="0"/>
        <v>1374.9</v>
      </c>
      <c r="P23" s="49">
        <f t="shared" si="1"/>
        <v>114.6</v>
      </c>
    </row>
    <row r="24" spans="2:16" ht="21.95" customHeight="1">
      <c r="B24" s="103">
        <v>2008</v>
      </c>
      <c r="C24" s="39">
        <v>9.6999999999999993</v>
      </c>
      <c r="D24" s="39">
        <v>5.4</v>
      </c>
      <c r="E24" s="39">
        <v>61.6</v>
      </c>
      <c r="F24" s="39">
        <v>34</v>
      </c>
      <c r="G24" s="39">
        <v>108.2</v>
      </c>
      <c r="H24" s="39">
        <v>170.1</v>
      </c>
      <c r="I24" s="39">
        <v>597.29999999999995</v>
      </c>
      <c r="J24" s="39">
        <v>297.5</v>
      </c>
      <c r="K24" s="39">
        <v>83.3</v>
      </c>
      <c r="L24" s="39">
        <v>28.5</v>
      </c>
      <c r="M24" s="39">
        <v>13.6</v>
      </c>
      <c r="N24" s="48">
        <v>30.2</v>
      </c>
      <c r="O24" s="55">
        <f t="shared" si="0"/>
        <v>1439.4</v>
      </c>
      <c r="P24" s="49">
        <f t="shared" si="1"/>
        <v>120</v>
      </c>
    </row>
    <row r="25" spans="2:16" ht="21.95" customHeight="1">
      <c r="B25" s="103">
        <v>2009</v>
      </c>
      <c r="C25" s="39">
        <v>3.4</v>
      </c>
      <c r="D25" s="39">
        <v>31.2</v>
      </c>
      <c r="E25" s="39">
        <v>55.4</v>
      </c>
      <c r="F25" s="39">
        <v>62</v>
      </c>
      <c r="G25" s="39">
        <v>97.9</v>
      </c>
      <c r="H25" s="39">
        <v>156.9</v>
      </c>
      <c r="I25" s="39">
        <v>627.70000000000005</v>
      </c>
      <c r="J25" s="39">
        <v>279.39999999999998</v>
      </c>
      <c r="K25" s="39">
        <v>23.3</v>
      </c>
      <c r="L25" s="39">
        <v>41.9</v>
      </c>
      <c r="M25" s="39">
        <v>49.4</v>
      </c>
      <c r="N25" s="48">
        <v>18.399999999999999</v>
      </c>
      <c r="O25" s="55">
        <f t="shared" si="0"/>
        <v>1446.9</v>
      </c>
      <c r="P25" s="49">
        <f t="shared" si="1"/>
        <v>120.6</v>
      </c>
    </row>
    <row r="26" spans="2:16" ht="21.95" customHeight="1">
      <c r="B26" s="103">
        <v>2010</v>
      </c>
      <c r="C26" s="39">
        <v>40.6</v>
      </c>
      <c r="D26" s="39">
        <v>35.4</v>
      </c>
      <c r="E26" s="39">
        <v>65.8</v>
      </c>
      <c r="F26" s="39">
        <v>64.2</v>
      </c>
      <c r="G26" s="39">
        <v>106.1</v>
      </c>
      <c r="H26" s="39">
        <v>54.9</v>
      </c>
      <c r="I26" s="39">
        <v>220.5</v>
      </c>
      <c r="J26" s="39">
        <v>468.1</v>
      </c>
      <c r="K26" s="39">
        <v>448.5</v>
      </c>
      <c r="L26" s="39">
        <v>31.1</v>
      </c>
      <c r="M26" s="39">
        <v>13.9</v>
      </c>
      <c r="N26" s="48">
        <v>32.299999999999997</v>
      </c>
      <c r="O26" s="55">
        <f t="shared" si="0"/>
        <v>1581.4</v>
      </c>
      <c r="P26" s="49">
        <f t="shared" si="1"/>
        <v>131.80000000000001</v>
      </c>
    </row>
    <row r="27" spans="2:16" ht="21.95" customHeight="1">
      <c r="B27" s="103">
        <v>2011</v>
      </c>
      <c r="C27" s="39">
        <v>5.3</v>
      </c>
      <c r="D27" s="39">
        <v>34.5</v>
      </c>
      <c r="E27" s="39">
        <v>12.7</v>
      </c>
      <c r="F27" s="39">
        <v>116.6</v>
      </c>
      <c r="G27" s="39">
        <v>119.5</v>
      </c>
      <c r="H27" s="39">
        <v>459.6</v>
      </c>
      <c r="I27" s="39">
        <v>932.5</v>
      </c>
      <c r="J27" s="39">
        <v>161.1</v>
      </c>
      <c r="K27" s="39">
        <v>64.5</v>
      </c>
      <c r="L27" s="39">
        <v>23.6</v>
      </c>
      <c r="M27" s="39">
        <v>82.8</v>
      </c>
      <c r="N27" s="48">
        <v>16.600000000000001</v>
      </c>
      <c r="O27" s="55">
        <f t="shared" si="0"/>
        <v>2029.3</v>
      </c>
      <c r="P27" s="49">
        <f t="shared" si="1"/>
        <v>169.1</v>
      </c>
    </row>
    <row r="28" spans="2:16" ht="21.95" customHeight="1">
      <c r="B28" s="103">
        <v>2012</v>
      </c>
      <c r="C28" s="39">
        <v>6.9</v>
      </c>
      <c r="D28" s="39">
        <v>1.7</v>
      </c>
      <c r="E28" s="39">
        <v>38.6</v>
      </c>
      <c r="F28" s="39">
        <v>148.5</v>
      </c>
      <c r="G28" s="39">
        <v>42.6</v>
      </c>
      <c r="H28" s="39">
        <v>116.4</v>
      </c>
      <c r="I28" s="39">
        <v>285.89999999999998</v>
      </c>
      <c r="J28" s="39">
        <v>352.7</v>
      </c>
      <c r="K28" s="39">
        <v>146</v>
      </c>
      <c r="L28" s="39">
        <v>76.3</v>
      </c>
      <c r="M28" s="39">
        <v>59.3</v>
      </c>
      <c r="N28" s="48">
        <v>49.4</v>
      </c>
      <c r="O28" s="55">
        <f t="shared" si="0"/>
        <v>1324.3</v>
      </c>
      <c r="P28" s="49">
        <f t="shared" si="1"/>
        <v>110.4</v>
      </c>
    </row>
    <row r="29" spans="2:16" ht="21.95" customHeight="1">
      <c r="B29" s="103">
        <v>2013</v>
      </c>
      <c r="C29" s="39">
        <v>33.299999999999997</v>
      </c>
      <c r="D29" s="39">
        <v>60.6</v>
      </c>
      <c r="E29" s="39">
        <v>35.5</v>
      </c>
      <c r="F29" s="39">
        <v>69.099999999999994</v>
      </c>
      <c r="G29" s="39">
        <v>109.8</v>
      </c>
      <c r="H29" s="39">
        <v>71.099999999999994</v>
      </c>
      <c r="I29" s="39">
        <v>871.3</v>
      </c>
      <c r="J29" s="39">
        <v>214.1</v>
      </c>
      <c r="K29" s="39">
        <v>172.1</v>
      </c>
      <c r="L29" s="39">
        <v>7.9</v>
      </c>
      <c r="M29" s="39">
        <v>65.099999999999994</v>
      </c>
      <c r="N29" s="48">
        <v>31.8</v>
      </c>
      <c r="O29" s="55">
        <f t="shared" si="0"/>
        <v>1741.7</v>
      </c>
      <c r="P29" s="49">
        <f t="shared" si="1"/>
        <v>145.1</v>
      </c>
    </row>
    <row r="30" spans="2:16" ht="21.95" customHeight="1">
      <c r="B30" s="103">
        <v>2014</v>
      </c>
      <c r="C30" s="39">
        <v>10.4</v>
      </c>
      <c r="D30" s="39">
        <v>22.1</v>
      </c>
      <c r="E30" s="39">
        <v>6.8</v>
      </c>
      <c r="F30" s="39">
        <v>25.5</v>
      </c>
      <c r="G30" s="39">
        <v>66.599999999999994</v>
      </c>
      <c r="H30" s="39">
        <v>64</v>
      </c>
      <c r="I30" s="39">
        <v>117.3</v>
      </c>
      <c r="J30" s="39">
        <v>169.9</v>
      </c>
      <c r="K30" s="39">
        <v>88.7</v>
      </c>
      <c r="L30" s="39">
        <v>60.4</v>
      </c>
      <c r="M30" s="39">
        <v>28.6</v>
      </c>
      <c r="N30" s="48">
        <v>17.100000000000001</v>
      </c>
      <c r="O30" s="55">
        <f t="shared" si="0"/>
        <v>677.4</v>
      </c>
      <c r="P30" s="49">
        <f t="shared" si="1"/>
        <v>56.5</v>
      </c>
    </row>
    <row r="31" spans="2:16" ht="21.95" customHeight="1">
      <c r="B31" s="103">
        <v>2015</v>
      </c>
      <c r="C31" s="39">
        <v>18.2</v>
      </c>
      <c r="D31" s="39">
        <v>27.3</v>
      </c>
      <c r="E31" s="39">
        <v>13.5</v>
      </c>
      <c r="F31" s="39">
        <v>106.7</v>
      </c>
      <c r="G31" s="39">
        <v>34.700000000000003</v>
      </c>
      <c r="H31" s="39">
        <v>46.8</v>
      </c>
      <c r="I31" s="39">
        <v>233.6</v>
      </c>
      <c r="J31" s="39">
        <v>46.8</v>
      </c>
      <c r="K31" s="39">
        <v>4.8</v>
      </c>
      <c r="L31" s="39">
        <v>61</v>
      </c>
      <c r="M31" s="39">
        <v>142.1</v>
      </c>
      <c r="N31" s="48">
        <v>22.3</v>
      </c>
      <c r="O31" s="55">
        <f t="shared" si="0"/>
        <v>757.8</v>
      </c>
      <c r="P31" s="49">
        <f t="shared" si="1"/>
        <v>63.2</v>
      </c>
    </row>
    <row r="32" spans="2:16" ht="21.95" customHeight="1">
      <c r="B32" s="103">
        <v>2016</v>
      </c>
      <c r="C32" s="39">
        <v>0.4</v>
      </c>
      <c r="D32" s="39">
        <v>54.8</v>
      </c>
      <c r="E32" s="39">
        <v>49.6</v>
      </c>
      <c r="F32" s="39">
        <v>98</v>
      </c>
      <c r="G32" s="39">
        <v>109.1</v>
      </c>
      <c r="H32" s="39">
        <v>93.2</v>
      </c>
      <c r="I32" s="39">
        <v>616.6</v>
      </c>
      <c r="J32" s="39">
        <v>33.200000000000003</v>
      </c>
      <c r="K32" s="39">
        <v>76.2</v>
      </c>
      <c r="L32" s="39">
        <v>108.2</v>
      </c>
      <c r="M32" s="39">
        <v>14.9</v>
      </c>
      <c r="N32" s="48">
        <v>79.099999999999994</v>
      </c>
      <c r="O32" s="55">
        <f t="shared" si="0"/>
        <v>1333.3</v>
      </c>
      <c r="P32" s="49">
        <f t="shared" si="1"/>
        <v>111.1</v>
      </c>
    </row>
    <row r="33" spans="2:16" ht="21.95" customHeight="1">
      <c r="B33" s="103">
        <v>2017</v>
      </c>
      <c r="C33" s="39">
        <v>15.1</v>
      </c>
      <c r="D33" s="39">
        <v>13</v>
      </c>
      <c r="E33" s="39">
        <v>15.9</v>
      </c>
      <c r="F33" s="39">
        <v>56.5</v>
      </c>
      <c r="G33" s="39">
        <v>22</v>
      </c>
      <c r="H33" s="39">
        <v>88.9</v>
      </c>
      <c r="I33" s="39">
        <v>530.4</v>
      </c>
      <c r="J33" s="39">
        <v>343.1</v>
      </c>
      <c r="K33" s="39">
        <v>32.200000000000003</v>
      </c>
      <c r="L33" s="39">
        <v>50</v>
      </c>
      <c r="M33" s="39">
        <v>23.1</v>
      </c>
      <c r="N33" s="48">
        <v>27</v>
      </c>
      <c r="O33" s="55">
        <f t="shared" si="0"/>
        <v>1217.2</v>
      </c>
      <c r="P33" s="49">
        <f t="shared" si="1"/>
        <v>101.4</v>
      </c>
    </row>
    <row r="34" spans="2:16" ht="21.95" customHeight="1">
      <c r="B34" s="103">
        <v>2018</v>
      </c>
      <c r="C34" s="39">
        <v>5.9</v>
      </c>
      <c r="D34" s="39">
        <v>36.5</v>
      </c>
      <c r="E34" s="39">
        <v>32.799999999999997</v>
      </c>
      <c r="F34" s="39">
        <v>139.5</v>
      </c>
      <c r="G34" s="39">
        <v>201.9</v>
      </c>
      <c r="H34" s="39">
        <v>104.1</v>
      </c>
      <c r="I34" s="39">
        <v>213.6</v>
      </c>
      <c r="J34" s="39">
        <v>389.5</v>
      </c>
      <c r="K34" s="39">
        <v>69.900000000000006</v>
      </c>
      <c r="L34" s="39">
        <v>127.5</v>
      </c>
      <c r="M34" s="39">
        <v>63.5</v>
      </c>
      <c r="N34" s="48">
        <v>16.8</v>
      </c>
      <c r="O34" s="55">
        <f t="shared" si="0"/>
        <v>1401.5</v>
      </c>
      <c r="P34" s="49">
        <f t="shared" si="1"/>
        <v>116.8</v>
      </c>
    </row>
    <row r="35" spans="2:16" ht="21.95" customHeight="1" thickBot="1">
      <c r="B35" s="104">
        <v>2019</v>
      </c>
      <c r="C35" s="60">
        <v>1.3</v>
      </c>
      <c r="D35" s="60">
        <v>29</v>
      </c>
      <c r="E35" s="60">
        <v>38.700000000000003</v>
      </c>
      <c r="F35" s="60">
        <v>49.4</v>
      </c>
      <c r="G35" s="60">
        <v>27.1</v>
      </c>
      <c r="H35" s="60">
        <v>76.400000000000006</v>
      </c>
      <c r="I35" s="60">
        <v>238.6</v>
      </c>
      <c r="J35" s="60">
        <v>192.3</v>
      </c>
      <c r="K35" s="60">
        <v>142.6</v>
      </c>
      <c r="L35" s="60">
        <v>50.3</v>
      </c>
      <c r="M35" s="60">
        <v>63.1</v>
      </c>
      <c r="N35" s="61">
        <v>14.4</v>
      </c>
      <c r="O35" s="62">
        <f t="shared" si="0"/>
        <v>923.2</v>
      </c>
      <c r="P35" s="63">
        <f t="shared" si="1"/>
        <v>76.900000000000006</v>
      </c>
    </row>
    <row r="36" spans="2:16" ht="21.95" customHeight="1">
      <c r="B36" s="64" t="s">
        <v>25</v>
      </c>
      <c r="C36" s="65">
        <f>ROUND(MAX(C6:C35),1)</f>
        <v>62.2</v>
      </c>
      <c r="D36" s="65">
        <f t="shared" ref="D36:N36" si="2">ROUND(MAX(D6:D35),1)</f>
        <v>81.400000000000006</v>
      </c>
      <c r="E36" s="65">
        <f t="shared" si="2"/>
        <v>109.3</v>
      </c>
      <c r="F36" s="65">
        <f t="shared" si="2"/>
        <v>148.5</v>
      </c>
      <c r="G36" s="65">
        <f t="shared" si="2"/>
        <v>281.89999999999998</v>
      </c>
      <c r="H36" s="65">
        <f t="shared" si="2"/>
        <v>459.6</v>
      </c>
      <c r="I36" s="65">
        <f t="shared" si="2"/>
        <v>932.5</v>
      </c>
      <c r="J36" s="65">
        <f t="shared" si="2"/>
        <v>774.7</v>
      </c>
      <c r="K36" s="65">
        <f t="shared" si="2"/>
        <v>491.9</v>
      </c>
      <c r="L36" s="65">
        <f t="shared" si="2"/>
        <v>137.30000000000001</v>
      </c>
      <c r="M36" s="65">
        <f t="shared" si="2"/>
        <v>142.1</v>
      </c>
      <c r="N36" s="66">
        <f t="shared" si="2"/>
        <v>79.099999999999994</v>
      </c>
      <c r="O36" s="67">
        <f>ROUND(MAX(O6:O35),1)</f>
        <v>2069.1999999999998</v>
      </c>
      <c r="P36" s="68">
        <f>ROUND(MAX(P6:P35),1)</f>
        <v>172.4</v>
      </c>
    </row>
    <row r="37" spans="2:16" ht="21.95" customHeight="1">
      <c r="B37" s="47" t="s">
        <v>26</v>
      </c>
      <c r="C37" s="40">
        <f>ROUND(MIN(C6:C35),1)</f>
        <v>0.4</v>
      </c>
      <c r="D37" s="40">
        <f t="shared" ref="D37:N37" si="3">ROUND(MIN(D6:D35),1)</f>
        <v>1.3</v>
      </c>
      <c r="E37" s="40">
        <f t="shared" si="3"/>
        <v>6.8</v>
      </c>
      <c r="F37" s="40">
        <f t="shared" si="3"/>
        <v>13.6</v>
      </c>
      <c r="G37" s="40">
        <f t="shared" si="3"/>
        <v>12.3</v>
      </c>
      <c r="H37" s="40">
        <f t="shared" si="3"/>
        <v>46.8</v>
      </c>
      <c r="I37" s="40">
        <f t="shared" si="3"/>
        <v>117.3</v>
      </c>
      <c r="J37" s="40">
        <f t="shared" si="3"/>
        <v>33.200000000000003</v>
      </c>
      <c r="K37" s="40">
        <f t="shared" si="3"/>
        <v>4.8</v>
      </c>
      <c r="L37" s="40">
        <f t="shared" si="3"/>
        <v>1.8</v>
      </c>
      <c r="M37" s="40">
        <f t="shared" si="3"/>
        <v>12.3</v>
      </c>
      <c r="N37" s="49">
        <f t="shared" si="3"/>
        <v>3.9</v>
      </c>
      <c r="O37" s="56">
        <f>ROUND(MIN(O6:O35),1)</f>
        <v>677.4</v>
      </c>
      <c r="P37" s="48">
        <f>ROUND(MIN(P6:P35),1)</f>
        <v>56.5</v>
      </c>
    </row>
    <row r="38" spans="2:16" ht="21.95" customHeight="1" thickBot="1">
      <c r="B38" s="50" t="s">
        <v>32</v>
      </c>
      <c r="C38" s="51">
        <f>ROUND(AVERAGE(C6:C35),1)</f>
        <v>17.100000000000001</v>
      </c>
      <c r="D38" s="51">
        <f t="shared" ref="D38:N38" si="4">ROUND(AVERAGE(D6:D35),1)</f>
        <v>28.5</v>
      </c>
      <c r="E38" s="51">
        <f t="shared" si="4"/>
        <v>35.799999999999997</v>
      </c>
      <c r="F38" s="51">
        <f t="shared" si="4"/>
        <v>73.599999999999994</v>
      </c>
      <c r="G38" s="51">
        <f t="shared" si="4"/>
        <v>100.6</v>
      </c>
      <c r="H38" s="51">
        <f t="shared" si="4"/>
        <v>132.19999999999999</v>
      </c>
      <c r="I38" s="51">
        <f t="shared" si="4"/>
        <v>408.8</v>
      </c>
      <c r="J38" s="51">
        <f t="shared" si="4"/>
        <v>301.2</v>
      </c>
      <c r="K38" s="51">
        <f t="shared" si="4"/>
        <v>139.19999999999999</v>
      </c>
      <c r="L38" s="51">
        <f t="shared" si="4"/>
        <v>49.7</v>
      </c>
      <c r="M38" s="51">
        <f t="shared" si="4"/>
        <v>47.1</v>
      </c>
      <c r="N38" s="52">
        <f t="shared" si="4"/>
        <v>24.8</v>
      </c>
      <c r="O38" s="57">
        <f>ROUND(AVERAGE(O6:O35),1)</f>
        <v>1358.7</v>
      </c>
      <c r="P38" s="58">
        <f>ROUND(AVERAGE(P6:P35),1)</f>
        <v>113.2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40.6</v>
      </c>
      <c r="D44" s="106">
        <f t="shared" si="5"/>
        <v>35.4</v>
      </c>
      <c r="E44" s="106">
        <f t="shared" si="5"/>
        <v>65.8</v>
      </c>
      <c r="F44" s="106">
        <f t="shared" si="5"/>
        <v>64.2</v>
      </c>
      <c r="G44" s="106">
        <f t="shared" si="5"/>
        <v>106.1</v>
      </c>
      <c r="H44" s="106">
        <f t="shared" si="5"/>
        <v>54.9</v>
      </c>
      <c r="I44" s="106">
        <f t="shared" si="5"/>
        <v>220.5</v>
      </c>
      <c r="J44" s="106">
        <f t="shared" si="5"/>
        <v>468.1</v>
      </c>
      <c r="K44" s="106">
        <f t="shared" si="5"/>
        <v>448.5</v>
      </c>
      <c r="L44" s="106">
        <f t="shared" si="5"/>
        <v>31.1</v>
      </c>
      <c r="M44" s="106">
        <f t="shared" si="5"/>
        <v>13.9</v>
      </c>
      <c r="N44" s="113">
        <f t="shared" si="5"/>
        <v>32.299999999999997</v>
      </c>
      <c r="O44" s="41">
        <f>ROUND(SUM(C44:N44),1)</f>
        <v>1581.4</v>
      </c>
      <c r="P44" s="48">
        <f>ROUND(O44/12,1)</f>
        <v>131.80000000000001</v>
      </c>
    </row>
    <row r="45" spans="2:16" ht="21.95" customHeight="1">
      <c r="B45" s="105">
        <f t="shared" ref="B45:N45" si="6">B27</f>
        <v>2011</v>
      </c>
      <c r="C45" s="106">
        <f t="shared" si="6"/>
        <v>5.3</v>
      </c>
      <c r="D45" s="106">
        <f t="shared" si="6"/>
        <v>34.5</v>
      </c>
      <c r="E45" s="106">
        <f t="shared" si="6"/>
        <v>12.7</v>
      </c>
      <c r="F45" s="106">
        <f t="shared" si="6"/>
        <v>116.6</v>
      </c>
      <c r="G45" s="106">
        <f t="shared" si="6"/>
        <v>119.5</v>
      </c>
      <c r="H45" s="106">
        <f t="shared" si="6"/>
        <v>459.6</v>
      </c>
      <c r="I45" s="106">
        <f t="shared" si="6"/>
        <v>932.5</v>
      </c>
      <c r="J45" s="106">
        <f t="shared" si="6"/>
        <v>161.1</v>
      </c>
      <c r="K45" s="106">
        <f t="shared" si="6"/>
        <v>64.5</v>
      </c>
      <c r="L45" s="106">
        <f t="shared" si="6"/>
        <v>23.6</v>
      </c>
      <c r="M45" s="106">
        <f t="shared" si="6"/>
        <v>82.8</v>
      </c>
      <c r="N45" s="113">
        <f t="shared" si="6"/>
        <v>16.600000000000001</v>
      </c>
      <c r="O45" s="41">
        <f t="shared" ref="O45:O53" si="7">ROUND(SUM(C45:N45),1)</f>
        <v>2029.3</v>
      </c>
      <c r="P45" s="48">
        <f t="shared" ref="P45:P53" si="8">ROUND(O45/12,1)</f>
        <v>169.1</v>
      </c>
    </row>
    <row r="46" spans="2:16" ht="21.95" customHeight="1">
      <c r="B46" s="105">
        <f t="shared" ref="B46:N46" si="9">B28</f>
        <v>2012</v>
      </c>
      <c r="C46" s="106">
        <f t="shared" si="9"/>
        <v>6.9</v>
      </c>
      <c r="D46" s="106">
        <f t="shared" si="9"/>
        <v>1.7</v>
      </c>
      <c r="E46" s="106">
        <f t="shared" si="9"/>
        <v>38.6</v>
      </c>
      <c r="F46" s="106">
        <f t="shared" si="9"/>
        <v>148.5</v>
      </c>
      <c r="G46" s="106">
        <f t="shared" si="9"/>
        <v>42.6</v>
      </c>
      <c r="H46" s="106">
        <f t="shared" si="9"/>
        <v>116.4</v>
      </c>
      <c r="I46" s="106">
        <f t="shared" si="9"/>
        <v>285.89999999999998</v>
      </c>
      <c r="J46" s="106">
        <f t="shared" si="9"/>
        <v>352.7</v>
      </c>
      <c r="K46" s="106">
        <f t="shared" si="9"/>
        <v>146</v>
      </c>
      <c r="L46" s="106">
        <f t="shared" si="9"/>
        <v>76.3</v>
      </c>
      <c r="M46" s="106">
        <f t="shared" si="9"/>
        <v>59.3</v>
      </c>
      <c r="N46" s="113">
        <f t="shared" si="9"/>
        <v>49.4</v>
      </c>
      <c r="O46" s="41">
        <f t="shared" si="7"/>
        <v>1324.3</v>
      </c>
      <c r="P46" s="48">
        <f t="shared" si="8"/>
        <v>110.4</v>
      </c>
    </row>
    <row r="47" spans="2:16" ht="21.95" customHeight="1">
      <c r="B47" s="105">
        <f t="shared" ref="B47:N47" si="10">B29</f>
        <v>2013</v>
      </c>
      <c r="C47" s="106">
        <f t="shared" si="10"/>
        <v>33.299999999999997</v>
      </c>
      <c r="D47" s="106">
        <f t="shared" si="10"/>
        <v>60.6</v>
      </c>
      <c r="E47" s="106">
        <f t="shared" si="10"/>
        <v>35.5</v>
      </c>
      <c r="F47" s="106">
        <f t="shared" si="10"/>
        <v>69.099999999999994</v>
      </c>
      <c r="G47" s="106">
        <f t="shared" si="10"/>
        <v>109.8</v>
      </c>
      <c r="H47" s="106">
        <f t="shared" si="10"/>
        <v>71.099999999999994</v>
      </c>
      <c r="I47" s="106">
        <f t="shared" si="10"/>
        <v>871.3</v>
      </c>
      <c r="J47" s="106">
        <f t="shared" si="10"/>
        <v>214.1</v>
      </c>
      <c r="K47" s="106">
        <f t="shared" si="10"/>
        <v>172.1</v>
      </c>
      <c r="L47" s="106">
        <f t="shared" si="10"/>
        <v>7.9</v>
      </c>
      <c r="M47" s="106">
        <f t="shared" si="10"/>
        <v>65.099999999999994</v>
      </c>
      <c r="N47" s="113">
        <f t="shared" si="10"/>
        <v>31.8</v>
      </c>
      <c r="O47" s="41">
        <f>ROUND(SUM(C47:N47),1)</f>
        <v>1741.7</v>
      </c>
      <c r="P47" s="48">
        <f t="shared" si="8"/>
        <v>145.1</v>
      </c>
    </row>
    <row r="48" spans="2:16" ht="21.95" customHeight="1">
      <c r="B48" s="105">
        <f t="shared" ref="B48:N48" si="11">B30</f>
        <v>2014</v>
      </c>
      <c r="C48" s="106">
        <f t="shared" si="11"/>
        <v>10.4</v>
      </c>
      <c r="D48" s="106">
        <f t="shared" si="11"/>
        <v>22.1</v>
      </c>
      <c r="E48" s="106">
        <f t="shared" si="11"/>
        <v>6.8</v>
      </c>
      <c r="F48" s="106">
        <f t="shared" si="11"/>
        <v>25.5</v>
      </c>
      <c r="G48" s="106">
        <f t="shared" si="11"/>
        <v>66.599999999999994</v>
      </c>
      <c r="H48" s="106">
        <f t="shared" si="11"/>
        <v>64</v>
      </c>
      <c r="I48" s="106">
        <f t="shared" si="11"/>
        <v>117.3</v>
      </c>
      <c r="J48" s="106">
        <f t="shared" si="11"/>
        <v>169.9</v>
      </c>
      <c r="K48" s="106">
        <f t="shared" si="11"/>
        <v>88.7</v>
      </c>
      <c r="L48" s="106">
        <f t="shared" si="11"/>
        <v>60.4</v>
      </c>
      <c r="M48" s="106">
        <f t="shared" si="11"/>
        <v>28.6</v>
      </c>
      <c r="N48" s="113">
        <f t="shared" si="11"/>
        <v>17.100000000000001</v>
      </c>
      <c r="O48" s="41">
        <f t="shared" si="7"/>
        <v>677.4</v>
      </c>
      <c r="P48" s="48">
        <f t="shared" si="8"/>
        <v>56.5</v>
      </c>
    </row>
    <row r="49" spans="2:17" ht="21.95" customHeight="1">
      <c r="B49" s="105">
        <f t="shared" ref="B49:N49" si="12">B31</f>
        <v>2015</v>
      </c>
      <c r="C49" s="106">
        <f t="shared" si="12"/>
        <v>18.2</v>
      </c>
      <c r="D49" s="106">
        <f t="shared" si="12"/>
        <v>27.3</v>
      </c>
      <c r="E49" s="106">
        <f t="shared" si="12"/>
        <v>13.5</v>
      </c>
      <c r="F49" s="106">
        <f t="shared" si="12"/>
        <v>106.7</v>
      </c>
      <c r="G49" s="106">
        <f t="shared" si="12"/>
        <v>34.700000000000003</v>
      </c>
      <c r="H49" s="106">
        <f t="shared" si="12"/>
        <v>46.8</v>
      </c>
      <c r="I49" s="106">
        <f t="shared" si="12"/>
        <v>233.6</v>
      </c>
      <c r="J49" s="106">
        <f t="shared" si="12"/>
        <v>46.8</v>
      </c>
      <c r="K49" s="106">
        <f t="shared" si="12"/>
        <v>4.8</v>
      </c>
      <c r="L49" s="106">
        <f t="shared" si="12"/>
        <v>61</v>
      </c>
      <c r="M49" s="106">
        <f t="shared" si="12"/>
        <v>142.1</v>
      </c>
      <c r="N49" s="113">
        <f t="shared" si="12"/>
        <v>22.3</v>
      </c>
      <c r="O49" s="41">
        <f t="shared" si="7"/>
        <v>757.8</v>
      </c>
      <c r="P49" s="48">
        <f t="shared" si="8"/>
        <v>63.2</v>
      </c>
    </row>
    <row r="50" spans="2:17" ht="21.95" customHeight="1">
      <c r="B50" s="105">
        <f t="shared" ref="B50:N50" si="13">B32</f>
        <v>2016</v>
      </c>
      <c r="C50" s="106">
        <f t="shared" si="13"/>
        <v>0.4</v>
      </c>
      <c r="D50" s="106">
        <f t="shared" si="13"/>
        <v>54.8</v>
      </c>
      <c r="E50" s="106">
        <f t="shared" si="13"/>
        <v>49.6</v>
      </c>
      <c r="F50" s="106">
        <f t="shared" si="13"/>
        <v>98</v>
      </c>
      <c r="G50" s="106">
        <f t="shared" si="13"/>
        <v>109.1</v>
      </c>
      <c r="H50" s="106">
        <f t="shared" si="13"/>
        <v>93.2</v>
      </c>
      <c r="I50" s="106">
        <f t="shared" si="13"/>
        <v>616.6</v>
      </c>
      <c r="J50" s="106">
        <f t="shared" si="13"/>
        <v>33.200000000000003</v>
      </c>
      <c r="K50" s="106">
        <f t="shared" si="13"/>
        <v>76.2</v>
      </c>
      <c r="L50" s="106">
        <f t="shared" si="13"/>
        <v>108.2</v>
      </c>
      <c r="M50" s="106">
        <f t="shared" si="13"/>
        <v>14.9</v>
      </c>
      <c r="N50" s="113">
        <f t="shared" si="13"/>
        <v>79.099999999999994</v>
      </c>
      <c r="O50" s="41">
        <f t="shared" si="7"/>
        <v>1333.3</v>
      </c>
      <c r="P50" s="48">
        <f t="shared" si="8"/>
        <v>111.1</v>
      </c>
    </row>
    <row r="51" spans="2:17" ht="21.95" customHeight="1">
      <c r="B51" s="105">
        <f t="shared" ref="B51:N51" si="14">B33</f>
        <v>2017</v>
      </c>
      <c r="C51" s="106">
        <f t="shared" si="14"/>
        <v>15.1</v>
      </c>
      <c r="D51" s="106">
        <f t="shared" si="14"/>
        <v>13</v>
      </c>
      <c r="E51" s="106">
        <f t="shared" si="14"/>
        <v>15.9</v>
      </c>
      <c r="F51" s="106">
        <f t="shared" si="14"/>
        <v>56.5</v>
      </c>
      <c r="G51" s="106">
        <f t="shared" si="14"/>
        <v>22</v>
      </c>
      <c r="H51" s="106">
        <f t="shared" si="14"/>
        <v>88.9</v>
      </c>
      <c r="I51" s="106">
        <f t="shared" si="14"/>
        <v>530.4</v>
      </c>
      <c r="J51" s="106">
        <f t="shared" si="14"/>
        <v>343.1</v>
      </c>
      <c r="K51" s="106">
        <f t="shared" si="14"/>
        <v>32.200000000000003</v>
      </c>
      <c r="L51" s="106">
        <f t="shared" si="14"/>
        <v>50</v>
      </c>
      <c r="M51" s="106">
        <f t="shared" si="14"/>
        <v>23.1</v>
      </c>
      <c r="N51" s="113">
        <f t="shared" si="14"/>
        <v>27</v>
      </c>
      <c r="O51" s="41">
        <f t="shared" si="7"/>
        <v>1217.2</v>
      </c>
      <c r="P51" s="48">
        <f t="shared" si="8"/>
        <v>101.4</v>
      </c>
    </row>
    <row r="52" spans="2:17" ht="21.95" customHeight="1">
      <c r="B52" s="105">
        <f t="shared" ref="B52:N52" si="15">B34</f>
        <v>2018</v>
      </c>
      <c r="C52" s="106">
        <f t="shared" si="15"/>
        <v>5.9</v>
      </c>
      <c r="D52" s="106">
        <f t="shared" si="15"/>
        <v>36.5</v>
      </c>
      <c r="E52" s="106">
        <f t="shared" si="15"/>
        <v>32.799999999999997</v>
      </c>
      <c r="F52" s="106">
        <f t="shared" si="15"/>
        <v>139.5</v>
      </c>
      <c r="G52" s="106">
        <f t="shared" si="15"/>
        <v>201.9</v>
      </c>
      <c r="H52" s="106">
        <f t="shared" si="15"/>
        <v>104.1</v>
      </c>
      <c r="I52" s="106">
        <f t="shared" si="15"/>
        <v>213.6</v>
      </c>
      <c r="J52" s="106">
        <f t="shared" si="15"/>
        <v>389.5</v>
      </c>
      <c r="K52" s="106">
        <f t="shared" si="15"/>
        <v>69.900000000000006</v>
      </c>
      <c r="L52" s="106">
        <f t="shared" si="15"/>
        <v>127.5</v>
      </c>
      <c r="M52" s="106">
        <f t="shared" si="15"/>
        <v>63.5</v>
      </c>
      <c r="N52" s="113">
        <f t="shared" si="15"/>
        <v>16.8</v>
      </c>
      <c r="O52" s="41">
        <f t="shared" si="7"/>
        <v>1401.5</v>
      </c>
      <c r="P52" s="48">
        <f t="shared" si="8"/>
        <v>116.8</v>
      </c>
    </row>
    <row r="53" spans="2:17" ht="21.95" customHeight="1" thickBot="1">
      <c r="B53" s="110">
        <f t="shared" ref="B53:N53" si="16">B35</f>
        <v>2019</v>
      </c>
      <c r="C53" s="111">
        <f t="shared" si="16"/>
        <v>1.3</v>
      </c>
      <c r="D53" s="111">
        <f t="shared" si="16"/>
        <v>29</v>
      </c>
      <c r="E53" s="111">
        <f t="shared" si="16"/>
        <v>38.700000000000003</v>
      </c>
      <c r="F53" s="111">
        <f t="shared" si="16"/>
        <v>49.4</v>
      </c>
      <c r="G53" s="111">
        <f t="shared" si="16"/>
        <v>27.1</v>
      </c>
      <c r="H53" s="111">
        <f t="shared" si="16"/>
        <v>76.400000000000006</v>
      </c>
      <c r="I53" s="111">
        <f t="shared" si="16"/>
        <v>238.6</v>
      </c>
      <c r="J53" s="111">
        <f t="shared" si="16"/>
        <v>192.3</v>
      </c>
      <c r="K53" s="111">
        <f t="shared" si="16"/>
        <v>142.6</v>
      </c>
      <c r="L53" s="111">
        <f t="shared" si="16"/>
        <v>50.3</v>
      </c>
      <c r="M53" s="111">
        <f t="shared" si="16"/>
        <v>63.1</v>
      </c>
      <c r="N53" s="114">
        <f t="shared" si="16"/>
        <v>14.4</v>
      </c>
      <c r="O53" s="81">
        <f t="shared" si="7"/>
        <v>923.2</v>
      </c>
      <c r="P53" s="58">
        <f t="shared" si="8"/>
        <v>76.900000000000006</v>
      </c>
    </row>
    <row r="54" spans="2:17" ht="21.95" customHeight="1">
      <c r="B54" s="107" t="s">
        <v>33</v>
      </c>
      <c r="C54" s="108">
        <f>MAX(C44:C53)</f>
        <v>40.6</v>
      </c>
      <c r="D54" s="108">
        <f t="shared" ref="D54:P54" si="17">MAX(D44:D53)</f>
        <v>60.6</v>
      </c>
      <c r="E54" s="108">
        <f t="shared" si="17"/>
        <v>65.8</v>
      </c>
      <c r="F54" s="108">
        <f t="shared" si="17"/>
        <v>148.5</v>
      </c>
      <c r="G54" s="108">
        <f t="shared" si="17"/>
        <v>201.9</v>
      </c>
      <c r="H54" s="108">
        <f t="shared" si="17"/>
        <v>459.6</v>
      </c>
      <c r="I54" s="108">
        <f t="shared" si="17"/>
        <v>932.5</v>
      </c>
      <c r="J54" s="108">
        <f t="shared" si="17"/>
        <v>468.1</v>
      </c>
      <c r="K54" s="108">
        <f t="shared" si="17"/>
        <v>448.5</v>
      </c>
      <c r="L54" s="108">
        <f t="shared" si="17"/>
        <v>127.5</v>
      </c>
      <c r="M54" s="108">
        <f t="shared" si="17"/>
        <v>142.1</v>
      </c>
      <c r="N54" s="109">
        <f t="shared" si="17"/>
        <v>79.099999999999994</v>
      </c>
      <c r="O54" s="112">
        <f t="shared" si="17"/>
        <v>2029.3</v>
      </c>
      <c r="P54" s="109">
        <f t="shared" si="17"/>
        <v>169.1</v>
      </c>
    </row>
    <row r="55" spans="2:17" ht="21.95" customHeight="1">
      <c r="B55" s="73" t="s">
        <v>34</v>
      </c>
      <c r="C55" s="39">
        <f>MIN(C44:C53)</f>
        <v>0.4</v>
      </c>
      <c r="D55" s="39">
        <f t="shared" ref="D55:P55" si="18">MIN(D44:D53)</f>
        <v>1.7</v>
      </c>
      <c r="E55" s="39">
        <f t="shared" si="18"/>
        <v>6.8</v>
      </c>
      <c r="F55" s="39">
        <f t="shared" si="18"/>
        <v>25.5</v>
      </c>
      <c r="G55" s="39">
        <f t="shared" si="18"/>
        <v>22</v>
      </c>
      <c r="H55" s="39">
        <f t="shared" si="18"/>
        <v>46.8</v>
      </c>
      <c r="I55" s="39">
        <f t="shared" si="18"/>
        <v>117.3</v>
      </c>
      <c r="J55" s="39">
        <f t="shared" si="18"/>
        <v>33.200000000000003</v>
      </c>
      <c r="K55" s="39">
        <f t="shared" si="18"/>
        <v>4.8</v>
      </c>
      <c r="L55" s="39">
        <f t="shared" si="18"/>
        <v>7.9</v>
      </c>
      <c r="M55" s="39">
        <f t="shared" si="18"/>
        <v>13.9</v>
      </c>
      <c r="N55" s="48">
        <f t="shared" si="18"/>
        <v>14.4</v>
      </c>
      <c r="O55" s="41">
        <f>MIN(O44:O53)</f>
        <v>677.4</v>
      </c>
      <c r="P55" s="48">
        <f t="shared" si="18"/>
        <v>56.5</v>
      </c>
    </row>
    <row r="56" spans="2:17" ht="21.95" customHeight="1" thickBot="1">
      <c r="B56" s="74" t="s">
        <v>18</v>
      </c>
      <c r="C56" s="75">
        <f>ROUND(AVERAGE(C44:C53),1)</f>
        <v>13.7</v>
      </c>
      <c r="D56" s="75">
        <f t="shared" ref="D56:N56" si="19">ROUND(AVERAGE(D44:D53),1)</f>
        <v>31.5</v>
      </c>
      <c r="E56" s="75">
        <f t="shared" si="19"/>
        <v>31</v>
      </c>
      <c r="F56" s="75">
        <f t="shared" si="19"/>
        <v>87.4</v>
      </c>
      <c r="G56" s="75">
        <f t="shared" si="19"/>
        <v>83.9</v>
      </c>
      <c r="H56" s="75">
        <f t="shared" si="19"/>
        <v>117.5</v>
      </c>
      <c r="I56" s="75">
        <f t="shared" si="19"/>
        <v>426</v>
      </c>
      <c r="J56" s="75">
        <f t="shared" si="19"/>
        <v>237.1</v>
      </c>
      <c r="K56" s="75">
        <f t="shared" si="19"/>
        <v>124.6</v>
      </c>
      <c r="L56" s="75">
        <f t="shared" si="19"/>
        <v>59.6</v>
      </c>
      <c r="M56" s="75">
        <f t="shared" si="19"/>
        <v>55.6</v>
      </c>
      <c r="N56" s="58">
        <f t="shared" si="19"/>
        <v>30.7</v>
      </c>
      <c r="O56" s="81">
        <f>ROUND(AVERAGE(O44:O53),1)</f>
        <v>1298.7</v>
      </c>
      <c r="P56" s="58">
        <f>ROUND(AVERAGE(P44:P53),1)</f>
        <v>108.2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:O35 O44:O53" formulaRange="1"/>
  </ignoredErrors>
  <drawing r:id="rId1"/>
  <legacyDrawing r:id="rId2"/>
  <controls>
    <mc:AlternateContent xmlns:mc="http://schemas.openxmlformats.org/markup-compatibility/2006">
      <mc:Choice Requires="x14">
        <control shapeId="59405" r:id="rId3" name="OptionButton8">
          <controlPr defaultSize="0" autoLine="0" r:id="rId4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3" name="OptionButton8"/>
      </mc:Fallback>
    </mc:AlternateContent>
    <mc:AlternateContent xmlns:mc="http://schemas.openxmlformats.org/markup-compatibility/2006">
      <mc:Choice Requires="x14">
        <control shapeId="59396" r:id="rId5" name="OptionButton3">
          <controlPr defaultSize="0" autoLine="0" r:id="rId6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5" name="OptionButton3"/>
      </mc:Fallback>
    </mc:AlternateContent>
    <mc:AlternateContent xmlns:mc="http://schemas.openxmlformats.org/markup-compatibility/2006">
      <mc:Choice Requires="x14">
        <control shapeId="59395" r:id="rId7" name="OptionButton2">
          <controlPr defaultSize="0" autoLine="0" r:id="rId8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7" name="OptionButton2"/>
      </mc:Fallback>
    </mc:AlternateContent>
    <mc:AlternateContent xmlns:mc="http://schemas.openxmlformats.org/markup-compatibility/2006">
      <mc:Choice Requires="x14">
        <control shapeId="59394" r:id="rId9" name="OptionButton1">
          <controlPr defaultSize="0" autoLine="0" r:id="rId10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9" name="OptionButton1"/>
      </mc:Fallback>
    </mc:AlternateContent>
    <mc:AlternateContent xmlns:mc="http://schemas.openxmlformats.org/markup-compatibility/2006">
      <mc:Choice Requires="x14">
        <control shapeId="59398" r:id="rId11" name="CommandButton1">
          <controlPr defaultSize="0" autoLine="0" r:id="rId12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1" name="CommandButton1"/>
      </mc:Fallback>
    </mc:AlternateContent>
    <mc:AlternateContent xmlns:mc="http://schemas.openxmlformats.org/markup-compatibility/2006">
      <mc:Choice Requires="x14">
        <control shapeId="59400" r:id="rId13" name="CommandButton2">
          <controlPr defaultSize="0" autoLine="0" r:id="rId14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3" name="CommandButton2"/>
      </mc:Fallback>
    </mc:AlternateContent>
    <mc:AlternateContent xmlns:mc="http://schemas.openxmlformats.org/markup-compatibility/2006">
      <mc:Choice Requires="x14">
        <control shapeId="59401" r:id="rId15" name="OptionButton4">
          <controlPr defaultSize="0" autoLine="0" r:id="rId16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5" name="OptionButton4"/>
      </mc:Fallback>
    </mc:AlternateContent>
    <mc:AlternateContent xmlns:mc="http://schemas.openxmlformats.org/markup-compatibility/2006">
      <mc:Choice Requires="x14">
        <control shapeId="59402" r:id="rId17" name="OptionButton5">
          <controlPr defaultSize="0" autoLine="0" r:id="rId18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17" name="OptionButton5"/>
      </mc:Fallback>
    </mc:AlternateContent>
    <mc:AlternateContent xmlns:mc="http://schemas.openxmlformats.org/markup-compatibility/2006">
      <mc:Choice Requires="x14">
        <control shapeId="59403" r:id="rId19" name="OptionButton6">
          <controlPr defaultSize="0" autoLine="0" r:id="rId20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19" name="OptionButton6"/>
      </mc:Fallback>
    </mc:AlternateContent>
    <mc:AlternateContent xmlns:mc="http://schemas.openxmlformats.org/markup-compatibility/2006">
      <mc:Choice Requires="x14">
        <control shapeId="59404" r:id="rId21" name="OptionButton7">
          <controlPr defaultSize="0" autoLine="0" r:id="rId22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21" name="Option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/>
  <dimension ref="A1:A133"/>
  <sheetViews>
    <sheetView workbookViewId="0">
      <selection activeCell="A3" sqref="A3"/>
    </sheetView>
  </sheetViews>
  <sheetFormatPr defaultRowHeight="16.5"/>
  <cols>
    <col min="1" max="16384" width="8.88671875" style="117"/>
  </cols>
  <sheetData>
    <row r="1" spans="1:1">
      <c r="A1" s="117" t="s">
        <v>77</v>
      </c>
    </row>
    <row r="3" spans="1:1">
      <c r="A3" s="118" t="s">
        <v>78</v>
      </c>
    </row>
    <row r="4" spans="1:1">
      <c r="A4" s="118" t="s">
        <v>79</v>
      </c>
    </row>
    <row r="5" spans="1:1">
      <c r="A5" s="118" t="s">
        <v>80</v>
      </c>
    </row>
    <row r="6" spans="1:1">
      <c r="A6" s="118" t="s">
        <v>81</v>
      </c>
    </row>
    <row r="8" spans="1:1">
      <c r="A8" s="118" t="s">
        <v>82</v>
      </c>
    </row>
    <row r="9" spans="1:1">
      <c r="A9" s="118" t="s">
        <v>83</v>
      </c>
    </row>
    <row r="10" spans="1:1">
      <c r="A10" s="118" t="s">
        <v>84</v>
      </c>
    </row>
    <row r="11" spans="1:1">
      <c r="A11" s="118" t="s">
        <v>85</v>
      </c>
    </row>
    <row r="12" spans="1:1">
      <c r="A12" s="118" t="s">
        <v>86</v>
      </c>
    </row>
    <row r="13" spans="1:1">
      <c r="A13" s="118" t="s">
        <v>87</v>
      </c>
    </row>
    <row r="14" spans="1:1">
      <c r="A14" s="118" t="s">
        <v>82</v>
      </c>
    </row>
    <row r="16" spans="1:1">
      <c r="A16" s="118" t="s">
        <v>88</v>
      </c>
    </row>
    <row r="17" spans="1:1">
      <c r="A17" s="118" t="s">
        <v>89</v>
      </c>
    </row>
    <row r="18" spans="1:1">
      <c r="A18" s="118" t="s">
        <v>90</v>
      </c>
    </row>
    <row r="19" spans="1:1">
      <c r="A19" s="118" t="s">
        <v>91</v>
      </c>
    </row>
    <row r="20" spans="1:1">
      <c r="A20" s="118" t="s">
        <v>92</v>
      </c>
    </row>
    <row r="21" spans="1:1">
      <c r="A21" s="118" t="s">
        <v>93</v>
      </c>
    </row>
    <row r="22" spans="1:1">
      <c r="A22" s="118" t="s">
        <v>94</v>
      </c>
    </row>
    <row r="24" spans="1:1">
      <c r="A24" s="118" t="s">
        <v>82</v>
      </c>
    </row>
    <row r="25" spans="1:1">
      <c r="A25" s="118" t="s">
        <v>95</v>
      </c>
    </row>
    <row r="26" spans="1:1">
      <c r="A26" s="118" t="s">
        <v>96</v>
      </c>
    </row>
    <row r="27" spans="1:1">
      <c r="A27" s="118" t="s">
        <v>97</v>
      </c>
    </row>
    <row r="28" spans="1:1">
      <c r="A28" s="118" t="s">
        <v>98</v>
      </c>
    </row>
    <row r="29" spans="1:1">
      <c r="A29" s="118" t="s">
        <v>99</v>
      </c>
    </row>
    <row r="30" spans="1:1">
      <c r="A30" s="118" t="s">
        <v>100</v>
      </c>
    </row>
    <row r="31" spans="1:1">
      <c r="A31" s="118" t="s">
        <v>101</v>
      </c>
    </row>
    <row r="33" spans="1:1">
      <c r="A33" s="118" t="s">
        <v>102</v>
      </c>
    </row>
    <row r="34" spans="1:1">
      <c r="A34" s="118" t="s">
        <v>103</v>
      </c>
    </row>
    <row r="35" spans="1:1">
      <c r="A35" s="118" t="s">
        <v>104</v>
      </c>
    </row>
    <row r="36" spans="1:1">
      <c r="A36" s="118" t="s">
        <v>82</v>
      </c>
    </row>
    <row r="37" spans="1:1">
      <c r="A37" s="118" t="s">
        <v>105</v>
      </c>
    </row>
    <row r="38" spans="1:1">
      <c r="A38" s="118" t="s">
        <v>106</v>
      </c>
    </row>
    <row r="39" spans="1:1">
      <c r="A39" s="118" t="s">
        <v>107</v>
      </c>
    </row>
    <row r="40" spans="1:1">
      <c r="A40" s="118" t="s">
        <v>108</v>
      </c>
    </row>
    <row r="41" spans="1:1">
      <c r="A41" s="118" t="s">
        <v>109</v>
      </c>
    </row>
    <row r="43" spans="1:1">
      <c r="A43" s="118" t="s">
        <v>82</v>
      </c>
    </row>
    <row r="44" spans="1:1">
      <c r="A44" s="118" t="s">
        <v>110</v>
      </c>
    </row>
    <row r="45" spans="1:1">
      <c r="A45" s="118" t="s">
        <v>111</v>
      </c>
    </row>
    <row r="46" spans="1:1">
      <c r="A46" s="118" t="s">
        <v>112</v>
      </c>
    </row>
    <row r="47" spans="1:1">
      <c r="A47" s="118" t="s">
        <v>113</v>
      </c>
    </row>
    <row r="48" spans="1:1">
      <c r="A48" s="118" t="s">
        <v>114</v>
      </c>
    </row>
    <row r="49" spans="1:1">
      <c r="A49" s="118" t="s">
        <v>115</v>
      </c>
    </row>
    <row r="50" spans="1:1">
      <c r="A50" s="118" t="s">
        <v>116</v>
      </c>
    </row>
    <row r="52" spans="1:1">
      <c r="A52" s="118" t="s">
        <v>82</v>
      </c>
    </row>
    <row r="53" spans="1:1">
      <c r="A53" s="118" t="s">
        <v>117</v>
      </c>
    </row>
    <row r="54" spans="1:1">
      <c r="A54" s="118" t="s">
        <v>118</v>
      </c>
    </row>
    <row r="55" spans="1:1">
      <c r="A55" s="118" t="s">
        <v>119</v>
      </c>
    </row>
    <row r="56" spans="1:1">
      <c r="A56" s="118" t="s">
        <v>120</v>
      </c>
    </row>
    <row r="57" spans="1:1">
      <c r="A57" s="118" t="s">
        <v>121</v>
      </c>
    </row>
    <row r="58" spans="1:1">
      <c r="A58" s="118" t="s">
        <v>122</v>
      </c>
    </row>
    <row r="59" spans="1:1">
      <c r="A59" s="118" t="s">
        <v>123</v>
      </c>
    </row>
    <row r="60" spans="1:1">
      <c r="A60" s="118" t="s">
        <v>124</v>
      </c>
    </row>
    <row r="61" spans="1:1">
      <c r="A61" s="118" t="s">
        <v>125</v>
      </c>
    </row>
    <row r="62" spans="1:1">
      <c r="A62" s="118" t="s">
        <v>126</v>
      </c>
    </row>
    <row r="64" spans="1:1">
      <c r="A64" s="118" t="s">
        <v>82</v>
      </c>
    </row>
    <row r="65" spans="1:1">
      <c r="A65" s="118" t="s">
        <v>127</v>
      </c>
    </row>
    <row r="66" spans="1:1">
      <c r="A66" s="118" t="s">
        <v>128</v>
      </c>
    </row>
    <row r="67" spans="1:1">
      <c r="A67" s="118" t="s">
        <v>129</v>
      </c>
    </row>
    <row r="68" spans="1:1">
      <c r="A68" s="118" t="s">
        <v>130</v>
      </c>
    </row>
    <row r="69" spans="1:1">
      <c r="A69" s="118" t="s">
        <v>131</v>
      </c>
    </row>
    <row r="70" spans="1:1">
      <c r="A70" s="118" t="s">
        <v>132</v>
      </c>
    </row>
    <row r="71" spans="1:1">
      <c r="A71" s="118" t="s">
        <v>133</v>
      </c>
    </row>
    <row r="72" spans="1:1">
      <c r="A72" s="118" t="s">
        <v>134</v>
      </c>
    </row>
    <row r="73" spans="1:1">
      <c r="A73" s="118" t="s">
        <v>135</v>
      </c>
    </row>
    <row r="74" spans="1:1">
      <c r="A74" s="118" t="s">
        <v>136</v>
      </c>
    </row>
    <row r="75" spans="1:1">
      <c r="A75" s="118" t="s">
        <v>137</v>
      </c>
    </row>
    <row r="76" spans="1:1">
      <c r="A76" s="118" t="s">
        <v>138</v>
      </c>
    </row>
    <row r="77" spans="1:1">
      <c r="A77" s="118" t="s">
        <v>139</v>
      </c>
    </row>
    <row r="78" spans="1:1">
      <c r="A78" s="118" t="s">
        <v>140</v>
      </c>
    </row>
    <row r="79" spans="1:1">
      <c r="A79" s="118" t="s">
        <v>102</v>
      </c>
    </row>
    <row r="80" spans="1:1">
      <c r="A80" s="118" t="s">
        <v>141</v>
      </c>
    </row>
    <row r="81" spans="1:1">
      <c r="A81" s="118" t="s">
        <v>142</v>
      </c>
    </row>
    <row r="82" spans="1:1">
      <c r="A82" s="118" t="s">
        <v>143</v>
      </c>
    </row>
    <row r="84" spans="1:1">
      <c r="A84" s="118" t="s">
        <v>104</v>
      </c>
    </row>
    <row r="85" spans="1:1">
      <c r="A85" s="118" t="s">
        <v>82</v>
      </c>
    </row>
    <row r="86" spans="1:1">
      <c r="A86" s="118" t="s">
        <v>144</v>
      </c>
    </row>
    <row r="87" spans="1:1">
      <c r="A87" s="118" t="s">
        <v>145</v>
      </c>
    </row>
    <row r="88" spans="1:1">
      <c r="A88" s="118" t="s">
        <v>146</v>
      </c>
    </row>
    <row r="89" spans="1:1">
      <c r="A89" s="118" t="s">
        <v>147</v>
      </c>
    </row>
    <row r="90" spans="1:1">
      <c r="A90" s="118" t="s">
        <v>148</v>
      </c>
    </row>
    <row r="91" spans="1:1">
      <c r="A91" s="118" t="s">
        <v>149</v>
      </c>
    </row>
    <row r="92" spans="1:1">
      <c r="A92" s="118" t="s">
        <v>150</v>
      </c>
    </row>
    <row r="93" spans="1:1">
      <c r="A93" s="118" t="s">
        <v>151</v>
      </c>
    </row>
    <row r="94" spans="1:1">
      <c r="A94" s="118" t="s">
        <v>152</v>
      </c>
    </row>
    <row r="95" spans="1:1">
      <c r="A95" s="118" t="s">
        <v>153</v>
      </c>
    </row>
    <row r="96" spans="1:1">
      <c r="A96" s="118" t="s">
        <v>154</v>
      </c>
    </row>
    <row r="97" spans="1:1">
      <c r="A97" s="118" t="s">
        <v>155</v>
      </c>
    </row>
    <row r="98" spans="1:1">
      <c r="A98" s="118" t="s">
        <v>156</v>
      </c>
    </row>
    <row r="99" spans="1:1">
      <c r="A99" s="118" t="s">
        <v>102</v>
      </c>
    </row>
    <row r="100" spans="1:1">
      <c r="A100" s="118" t="s">
        <v>157</v>
      </c>
    </row>
    <row r="101" spans="1:1">
      <c r="A101" s="118" t="s">
        <v>158</v>
      </c>
    </row>
    <row r="102" spans="1:1">
      <c r="A102" s="118" t="s">
        <v>104</v>
      </c>
    </row>
    <row r="104" spans="1:1">
      <c r="A104" s="118" t="s">
        <v>82</v>
      </c>
    </row>
    <row r="105" spans="1:1">
      <c r="A105" s="118" t="s">
        <v>159</v>
      </c>
    </row>
    <row r="106" spans="1:1">
      <c r="A106" s="118" t="s">
        <v>160</v>
      </c>
    </row>
    <row r="107" spans="1:1">
      <c r="A107" s="118" t="s">
        <v>161</v>
      </c>
    </row>
    <row r="108" spans="1:1">
      <c r="A108" s="118" t="s">
        <v>102</v>
      </c>
    </row>
    <row r="109" spans="1:1">
      <c r="A109" s="118" t="s">
        <v>162</v>
      </c>
    </row>
    <row r="110" spans="1:1">
      <c r="A110" s="118" t="s">
        <v>104</v>
      </c>
    </row>
    <row r="111" spans="1:1">
      <c r="A111" s="118" t="s">
        <v>163</v>
      </c>
    </row>
    <row r="112" spans="1:1">
      <c r="A112" s="118" t="s">
        <v>164</v>
      </c>
    </row>
    <row r="113" spans="1:1">
      <c r="A113" s="118" t="s">
        <v>165</v>
      </c>
    </row>
    <row r="114" spans="1:1">
      <c r="A114" s="118" t="s">
        <v>166</v>
      </c>
    </row>
    <row r="115" spans="1:1">
      <c r="A115" s="118" t="s">
        <v>167</v>
      </c>
    </row>
    <row r="116" spans="1:1">
      <c r="A116" s="118" t="s">
        <v>168</v>
      </c>
    </row>
    <row r="117" spans="1:1">
      <c r="A117" s="118" t="s">
        <v>169</v>
      </c>
    </row>
    <row r="118" spans="1:1">
      <c r="A118" s="118" t="s">
        <v>170</v>
      </c>
    </row>
    <row r="119" spans="1:1">
      <c r="A119" s="118" t="s">
        <v>171</v>
      </c>
    </row>
    <row r="120" spans="1:1">
      <c r="A120" s="118" t="s">
        <v>102</v>
      </c>
    </row>
    <row r="121" spans="1:1">
      <c r="A121" s="118" t="s">
        <v>172</v>
      </c>
    </row>
    <row r="122" spans="1:1">
      <c r="A122" s="118" t="s">
        <v>173</v>
      </c>
    </row>
    <row r="123" spans="1:1">
      <c r="A123" s="118" t="s">
        <v>174</v>
      </c>
    </row>
    <row r="124" spans="1:1">
      <c r="A124" s="118" t="s">
        <v>104</v>
      </c>
    </row>
    <row r="126" spans="1:1">
      <c r="A126" s="118" t="s">
        <v>82</v>
      </c>
    </row>
    <row r="127" spans="1:1">
      <c r="A127" s="118" t="s">
        <v>175</v>
      </c>
    </row>
    <row r="128" spans="1:1">
      <c r="A128" s="118" t="s">
        <v>176</v>
      </c>
    </row>
    <row r="129" spans="1:1">
      <c r="A129" s="118" t="s">
        <v>177</v>
      </c>
    </row>
    <row r="130" spans="1:1">
      <c r="A130" s="118" t="s">
        <v>178</v>
      </c>
    </row>
    <row r="133" spans="1:1">
      <c r="A133" s="117" t="s">
        <v>179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72</v>
      </c>
      <c r="D2" t="s">
        <v>73</v>
      </c>
      <c r="E2" t="s">
        <v>74</v>
      </c>
    </row>
    <row r="3" spans="3:14" ht="18" customHeight="1">
      <c r="C3" t="s">
        <v>75</v>
      </c>
    </row>
    <row r="4" spans="3:14" ht="18" customHeight="1">
      <c r="C4" t="s">
        <v>76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2020-03-24T00:56:54Z</dcterms:modified>
</cp:coreProperties>
</file>