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ECBA1E7F-42A2-4FC3-A469-6513EC9BCB34}" xr6:coauthVersionLast="45" xr6:coauthVersionMax="45" xr10:uidLastSave="{00000000-0000-0000-0000-000000000000}"/>
  <bookViews>
    <workbookView xWindow="-120" yWindow="-120" windowWidth="29040" windowHeight="15840" tabRatio="56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AB41" i="3" s="1"/>
  <c r="AB42" i="3" s="1"/>
  <c r="AB43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AB44" i="3" s="1"/>
  <c r="Z68" i="3"/>
  <c r="AD68" i="3" s="1"/>
  <c r="A97" i="21"/>
  <c r="E76" i="3"/>
  <c r="Y68" i="3" s="1"/>
  <c r="D77" i="3"/>
  <c r="AA41" i="3"/>
  <c r="AE41" i="3"/>
  <c r="G49" i="3" s="1"/>
  <c r="B69" i="21"/>
  <c r="F48" i="3"/>
  <c r="U44" i="3" l="1"/>
  <c r="AB45" i="3" s="1"/>
  <c r="AB46" i="3" s="1"/>
  <c r="AB47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<sst xmlns="http://schemas.openxmlformats.org/spreadsheetml/2006/main" count="1098" uniqueCount="257">
  <si>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</si>
  <si>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</si>
  <si>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</si>
  <si>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</si>
  <si>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</si>
  <si>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</si>
  <si>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</si>
  <si>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</si>
  <si>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</si>
  <si>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</si>
  <si>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</si>
  <si>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</si>
  <si>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</si>
  <si>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</si>
  <si>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</si>
  <si>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</si>
  <si>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</si>
  <si>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</si>
  <si>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</si>
  <si>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</si>
  <si>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</si>
  <si>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</si>
  <si>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</si>
  <si>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</si>
  <si>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</si>
  <si>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</si>
  <si>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</si>
  <si>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</si>
  <si>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</si>
  <si>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</si>
  <si>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</si>
  <si>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</si>
  <si>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</si>
  <si>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</si>
  <si>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</si>
  <si>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</si>
  <si>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</si>
  <si>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</si>
  <si>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</si>
  <si>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</si>
  <si>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</si>
  <si>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</si>
  <si>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</si>
  <si>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</si>
  <si>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</si>
  <si>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</si>
  <si>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</si>
  <si>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</si>
  <si>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</si>
  <si>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</si>
  <si>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</si>
  <si>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</si>
  <si>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</si>
  <si>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</si>
  <si>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</si>
  <si>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</si>
  <si>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</si>
  <si>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</si>
  <si>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</si>
  <si>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</si>
  <si>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</si>
  <si>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</si>
  <si>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</si>
  <si>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</si>
  <si>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</si>
  <si>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</si>
  <si>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</si>
  <si>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</si>
  <si>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</si>
  <si>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</si>
  <si>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</si>
  <si>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</si>
  <si>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</si>
  <si>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</si>
  <si>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</si>
  <si>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</si>
  <si>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</si>
  <si>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</si>
  <si>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</si>
  <si>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</si>
  <si>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</si>
  <si>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</si>
  <si>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</si>
  <si>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</si>
  <si>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</si>
  <si>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</si>
  <si>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</si>
  <si>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</si>
  <si>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</si>
  <si>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</si>
  <si>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</si>
  <si>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</si>
  <si>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</si>
  <si>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</si>
  <si>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</si>
  <si>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</si>
  <si>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</si>
  <si>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</si>
  <si>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</si>
  <si>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</si>
  <si>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</si>
  <si>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</si>
  <si>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</si>
  <si>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</si>
  <si>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</si>
  <si>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</si>
  <si>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</si>
  <si>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</si>
  <si>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</si>
  <si>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</si>
  <si>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</si>
  <si>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</si>
  <si>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</si>
  <si>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</si>
  <si>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</si>
  <si>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</si>
  <si>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</si>
  <si>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</si>
  <si>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</si>
  <si>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</si>
  <si>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</si>
  <si>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</si>
  <si>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</si>
  <si>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</si>
  <si>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</si>
  <si>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</si>
  <si>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</si>
  <si>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</si>
  <si>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</si>
  <si>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</si>
  <si>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</si>
  <si>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</si>
  <si>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</si>
  <si>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</si>
  <si>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</si>
  <si>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</si>
  <si>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</si>
  <si>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</si>
  <si>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</si>
  <si>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</si>
  <si>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</si>
  <si>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</si>
  <si>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</si>
  <si>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</si>
  <si>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</si>
  <si>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</si>
  <si>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</si>
  <si>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</si>
  <si>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</si>
  <si>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</si>
  <si>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</si>
  <si>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</si>
  <si>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</si>
  <si>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</si>
  <si>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</si>
  <si>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</si>
  <si>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</si>
  <si>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</si>
  <si>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</si>
  <si>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</si>
  <si>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</si>
  <si>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</si>
  <si>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</si>
  <si>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</si>
  <si>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</si>
  <si>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</si>
  <si>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</si>
  <si>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</si>
  <si>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</si>
  <si>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</si>
  <si>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</si>
  <si>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</si>
  <si>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</si>
  <si>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</si>
  <si>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</si>
  <si>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</si>
  <si>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</si>
  <si>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</si>
  <si>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</si>
  <si>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</si>
  <si>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</si>
  <si>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</si>
  <si>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</si>
  <si>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</si>
  <si>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</si>
  <si>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</si>
  <si>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</si>
  <si>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</si>
  <si>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</si>
  <si>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</si>
  <si>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</si>
  <si>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</si>
  <si>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</si>
  <si>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</si>
  <si>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</si>
  <si>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</si>
  <si>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</si>
  <si>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</si>
  <si>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</si>
  <si>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</si>
  <si>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</si>
  <si>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</si>
  <si>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</si>
  <si>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</si>
  <si>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</si>
  <si>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</si>
  <si>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</si>
  <si>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</si>
  <si>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</si>
  <si>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</si>
  <si>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</si>
  <si>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</si>
  <si>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</si>
  <si>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</si>
  <si>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</si>
  <si>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</si>
  <si>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</si>
  <si>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</si>
  <si>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</si>
  <si>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</si>
  <si>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</si>
  <si>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</si>
  <si>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</si>
  <si>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</si>
  <si>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</si>
  <si>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</si>
  <si>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</si>
  <si>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</si>
  <si>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</si>
  <si>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</si>
  <si>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</si>
  <si>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</si>
  <si>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</si>
  <si>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</si>
  <si>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</si>
  <si>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</si>
  <si>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</si>
  <si>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</si>
  <si>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두산인프라코어 지하수 관정개발을 위한 지하수영향조사</t>
    <phoneticPr fontId="5" type="noConversion"/>
  </si>
  <si>
    <t>개화지구</t>
    <phoneticPr fontId="5" type="noConversion"/>
  </si>
  <si>
    <t>산수개발㈜</t>
    <phoneticPr fontId="5" type="noConversion"/>
  </si>
  <si>
    <t>충청남도 보령시 성주면 개화리 산 52-5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</si>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</sst>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2" fontId="2" fillId="20" borderId="0" xfId="0" applyNumberFormat="1" applyFont="1" applyFill="1" applyAlignment="1">
      <alignment vertical="center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20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 formatCode="\ 0.00\ ">
                  <c:v>22.13</c:v>
                </c:pt>
                <c:pt idx="21" formatCode="\ 0.00\ ">
                  <c:v>22.279999999999998</c:v>
                </c:pt>
                <c:pt idx="22" formatCode="\ 0.00\ ">
                  <c:v>22.419999999999998</c:v>
                </c:pt>
                <c:pt idx="23" formatCode="\ 0.00\ ">
                  <c:v>22.549999999999997</c:v>
                </c:pt>
                <c:pt idx="24" formatCode="\ 0.00\ ">
                  <c:v>22.679999999999996</c:v>
                </c:pt>
                <c:pt idx="25">
                  <c:v>26.36</c:v>
                </c:pt>
                <c:pt idx="26" formatCode="\ 0.00\ ">
                  <c:v>26.47</c:v>
                </c:pt>
                <c:pt idx="27">
                  <c:v>27.1</c:v>
                </c:pt>
                <c:pt idx="28" formatCode="\ 0.00\ ">
                  <c:v>27.200000000000003</c:v>
                </c:pt>
                <c:pt idx="29">
                  <c:v>27.83</c:v>
                </c:pt>
                <c:pt idx="30" formatCode="\ 0.00\ ">
                  <c:v>27.889999999999997</c:v>
                </c:pt>
                <c:pt idx="31" formatCode="\ 0.00\ ">
                  <c:v>27.939999999999998</c:v>
                </c:pt>
                <c:pt idx="32" formatCode="\ 0.00\ ">
                  <c:v>27.979999999999997</c:v>
                </c:pt>
                <c:pt idx="33" formatCode="\ 0.00\ ">
                  <c:v>28.009999999999998</c:v>
                </c:pt>
                <c:pt idx="34" formatCode="\ 0.00\ ">
                  <c:v>28.029999999999998</c:v>
                </c:pt>
                <c:pt idx="35">
                  <c:v>28.56</c:v>
                </c:pt>
                <c:pt idx="36" formatCode="\ 0.00\ ">
                  <c:v>28.63</c:v>
                </c:pt>
                <c:pt idx="37" formatCode="\ 0.00\ ">
                  <c:v>28.689999999999998</c:v>
                </c:pt>
                <c:pt idx="38" formatCode="\ 0.00\ ">
                  <c:v>28.74</c:v>
                </c:pt>
                <c:pt idx="39">
                  <c:v>29.3</c:v>
                </c:pt>
                <c:pt idx="40" formatCode="\ 0.00\ ">
                  <c:v>29.48</c:v>
                </c:pt>
                <c:pt idx="41" formatCode="\ 0.00\ ">
                  <c:v>29.64</c:v>
                </c:pt>
                <c:pt idx="42" formatCode="\ 0.00\ ">
                  <c:v>29.79</c:v>
                </c:pt>
                <c:pt idx="43" formatCode="\ 0.00\ ">
                  <c:v>29.93</c:v>
                </c:pt>
                <c:pt idx="44" formatCode="\ 0.00\ ">
                  <c:v>30.06</c:v>
                </c:pt>
                <c:pt idx="45">
                  <c:v>34.24</c:v>
                </c:pt>
                <c:pt idx="46" formatCode="\ 0.00\ ">
                  <c:v>34.35</c:v>
                </c:pt>
                <c:pt idx="47">
                  <c:v>35.06</c:v>
                </c:pt>
                <c:pt idx="48" formatCode="\ 0.00\ ">
                  <c:v>35.17</c:v>
                </c:pt>
                <c:pt idx="49">
                  <c:v>35.89</c:v>
                </c:pt>
                <c:pt idx="50" formatCode="\ 0.00\ ">
                  <c:v>35.96</c:v>
                </c:pt>
                <c:pt idx="51" formatCode="\ 0.00\ ">
                  <c:v>36.01</c:v>
                </c:pt>
                <c:pt idx="52" formatCode="\ 0.00\ ">
                  <c:v>36.049999999999997</c:v>
                </c:pt>
                <c:pt idx="53" formatCode="\ 0.00\ ">
                  <c:v>36.08</c:v>
                </c:pt>
                <c:pt idx="54" formatCode="\ 0.00\ ">
                  <c:v>36.1</c:v>
                </c:pt>
                <c:pt idx="55">
                  <c:v>36.71</c:v>
                </c:pt>
                <c:pt idx="56" formatCode="\ 0.00\ ">
                  <c:v>36.79</c:v>
                </c:pt>
                <c:pt idx="57" formatCode="\ 0.00\ ">
                  <c:v>36.85</c:v>
                </c:pt>
                <c:pt idx="58" formatCode="\ 0.00\ ">
                  <c:v>36.9</c:v>
                </c:pt>
                <c:pt idx="59">
                  <c:v>37.54</c:v>
                </c:pt>
                <c:pt idx="60" formatCode="\ 0.00\ ">
                  <c:v>37.729999999999997</c:v>
                </c:pt>
                <c:pt idx="61" formatCode="\ 0.00\ ">
                  <c:v>37.9</c:v>
                </c:pt>
                <c:pt idx="62" formatCode="\ 0.00\ ">
                  <c:v>38.059999999999995</c:v>
                </c:pt>
                <c:pt idx="63" formatCode="\ 0.00\ ">
                  <c:v>38.209999999999994</c:v>
                </c:pt>
                <c:pt idx="64" formatCode="\ 0.00\ ">
                  <c:v>38.349999999999994</c:v>
                </c:pt>
                <c:pt idx="65">
                  <c:v>42.49</c:v>
                </c:pt>
                <c:pt idx="66" formatCode="\ 0.00\ ">
                  <c:v>42.61</c:v>
                </c:pt>
                <c:pt idx="67" formatCode="\ 0.00\ ">
                  <c:v>43.31</c:v>
                </c:pt>
                <c:pt idx="68" formatCode="\ 0.00\ ">
                  <c:v>43.43</c:v>
                </c:pt>
                <c:pt idx="69" formatCode="\ 0.00\ ">
                  <c:v>44.14</c:v>
                </c:pt>
                <c:pt idx="70" formatCode="\ 0.00\ ">
                  <c:v>44.21</c:v>
                </c:pt>
                <c:pt idx="71" formatCode="\ 0.00\ ">
                  <c:v>44.26</c:v>
                </c:pt>
                <c:pt idx="72" formatCode="\ 0.00\ ">
                  <c:v>44.3</c:v>
                </c:pt>
                <c:pt idx="73" formatCode="\ 0.00\ ">
                  <c:v>44.33</c:v>
                </c:pt>
                <c:pt idx="74" formatCode="\ 0.00\ ">
                  <c:v>44.36</c:v>
                </c:pt>
                <c:pt idx="75" formatCode="\ 0.00\ ">
                  <c:v>44.96</c:v>
                </c:pt>
                <c:pt idx="76" formatCode="\ 0.00\ ">
                  <c:v>45.050000000000004</c:v>
                </c:pt>
                <c:pt idx="77" formatCode="\ 0.00\ ">
                  <c:v>45.120000000000005</c:v>
                </c:pt>
                <c:pt idx="78" formatCode="\ 0.00\ ">
                  <c:v>45.17</c:v>
                </c:pt>
                <c:pt idx="79" formatCode="\ 0.00\ ">
                  <c:v>45.79</c:v>
                </c:pt>
                <c:pt idx="80" formatCode="\ 0.00\ ">
                  <c:v>46</c:v>
                </c:pt>
                <c:pt idx="81" formatCode="\ 0.00\ ">
                  <c:v>46.19</c:v>
                </c:pt>
                <c:pt idx="82" formatCode="\ 0.00\ ">
                  <c:v>46.36</c:v>
                </c:pt>
                <c:pt idx="83" formatCode="\ 0.00\ ">
                  <c:v>46.519999999999996</c:v>
                </c:pt>
                <c:pt idx="84" formatCode="\ 0.00\ ">
                  <c:v>46.66</c:v>
                </c:pt>
                <c:pt idx="85" formatCode="\ 0.00\ ">
                  <c:v>51.28</c:v>
                </c:pt>
                <c:pt idx="86" formatCode="\ 0.00\ ">
                  <c:v>51.59</c:v>
                </c:pt>
                <c:pt idx="87" formatCode="\ 0.00\ ">
                  <c:v>53.34</c:v>
                </c:pt>
                <c:pt idx="88" formatCode="\ 0.00\ ">
                  <c:v>53.64</c:v>
                </c:pt>
                <c:pt idx="89" formatCode="\ 0.00\ ">
                  <c:v>55.4</c:v>
                </c:pt>
                <c:pt idx="90" formatCode="\ 0.00\ ">
                  <c:v>55.55</c:v>
                </c:pt>
                <c:pt idx="91" formatCode="\ 0.00\ ">
                  <c:v>55.68</c:v>
                </c:pt>
                <c:pt idx="92" formatCode="\ 0.00\ ">
                  <c:v>55.79</c:v>
                </c:pt>
                <c:pt idx="93" formatCode="\ 0.00\ ">
                  <c:v>55.87</c:v>
                </c:pt>
                <c:pt idx="94" formatCode="\ 0.00\ ">
                  <c:v>55.94</c:v>
                </c:pt>
                <c:pt idx="95" formatCode="\ 0.00\ ">
                  <c:v>57.46</c:v>
                </c:pt>
                <c:pt idx="96" formatCode="\ 0.00\ ">
                  <c:v>57.65</c:v>
                </c:pt>
                <c:pt idx="97" formatCode="\ 0.00\ ">
                  <c:v>57.809999999999995</c:v>
                </c:pt>
                <c:pt idx="98" formatCode="\ 0.00\ ">
                  <c:v>57.949999999999996</c:v>
                </c:pt>
                <c:pt idx="99" formatCode="\ 0.00\ ">
                  <c:v>59.52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 formatCode="General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6.7000000000000004E-2</c:v>
                </c:pt>
                <c:pt idx="1">
                  <c:v>7.0000000000000007E-2</c:v>
                </c:pt>
                <c:pt idx="2">
                  <c:v>7.3999999999999996E-2</c:v>
                </c:pt>
                <c:pt idx="3">
                  <c:v>7.6999999999999999E-2</c:v>
                </c:pt>
                <c:pt idx="4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82.033925300629136</c:v>
                </c:pt>
                <c:pt idx="2">
                  <c:v>78.175849071453257</c:v>
                </c:pt>
                <c:pt idx="3">
                  <c:v>74.683211200588602</c:v>
                </c:pt>
                <c:pt idx="4">
                  <c:v>71.489305919336218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9.083333333333329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21.97</c:v>
                </c:pt>
                <c:pt idx="1">
                  <c:v>29.3</c:v>
                </c:pt>
                <c:pt idx="2">
                  <c:v>37.54</c:v>
                </c:pt>
                <c:pt idx="3">
                  <c:v>45.79</c:v>
                </c:pt>
                <c:pt idx="4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6.7808641975308642E-2</c:v>
                </c:pt>
                <c:pt idx="2">
                  <c:v>7.0944309927360782E-2</c:v>
                </c:pt>
                <c:pt idx="3">
                  <c:v>7.4855433698903295E-2</c:v>
                </c:pt>
                <c:pt idx="4">
                  <c:v>7.7610169491525424E-2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1.0067815449189048</c:v>
                </c:pt>
                <c:pt idx="1">
                  <c:v>4.0418981672105261</c:v>
                </c:pt>
                <c:pt idx="2">
                  <c:v>5.8173275765665764</c:v>
                </c:pt>
                <c:pt idx="3">
                  <c:v>7.0770147895021438</c:v>
                </c:pt>
                <c:pt idx="4">
                  <c:v>8.0541041014774564</c:v>
                </c:pt>
                <c:pt idx="5">
                  <c:v>11.089220723769074</c:v>
                </c:pt>
                <c:pt idx="6">
                  <c:v>12.864650133125132</c:v>
                </c:pt>
                <c:pt idx="7">
                  <c:v>14.124337346060699</c:v>
                </c:pt>
                <c:pt idx="8">
                  <c:v>15.101426658036011</c:v>
                </c:pt>
                <c:pt idx="9">
                  <c:v>15.899766755416756</c:v>
                </c:pt>
                <c:pt idx="10">
                  <c:v>16.574753690086688</c:v>
                </c:pt>
                <c:pt idx="11">
                  <c:v>17.159453968352317</c:v>
                </c:pt>
                <c:pt idx="12">
                  <c:v>17.675196164772814</c:v>
                </c:pt>
                <c:pt idx="13">
                  <c:v>18.136543280327622</c:v>
                </c:pt>
                <c:pt idx="14">
                  <c:v>18.553882510884726</c:v>
                </c:pt>
                <c:pt idx="15">
                  <c:v>18.934883377708374</c:v>
                </c:pt>
                <c:pt idx="16">
                  <c:v>19.91197268968368</c:v>
                </c:pt>
                <c:pt idx="17">
                  <c:v>20.710312787064431</c:v>
                </c:pt>
                <c:pt idx="18">
                  <c:v>21.38529972173437</c:v>
                </c:pt>
                <c:pt idx="19">
                  <c:v>21.97</c:v>
                </c:pt>
                <c:pt idx="20">
                  <c:v>25.877925594183907</c:v>
                </c:pt>
                <c:pt idx="21">
                  <c:v>26.291563083371116</c:v>
                </c:pt>
                <c:pt idx="22">
                  <c:v>26.676650372960992</c:v>
                </c:pt>
                <c:pt idx="23">
                  <c:v>27.694287595856821</c:v>
                </c:pt>
                <c:pt idx="24">
                  <c:v>29.299999999999997</c:v>
                </c:pt>
                <c:pt idx="25">
                  <c:v>35.068595315824417</c:v>
                </c:pt>
                <c:pt idx="26">
                  <c:v>35.334417569397168</c:v>
                </c:pt>
                <c:pt idx="27">
                  <c:v>35.590206366397574</c:v>
                </c:pt>
                <c:pt idx="28">
                  <c:v>36.304297657912194</c:v>
                </c:pt>
                <c:pt idx="29">
                  <c:v>37.54</c:v>
                </c:pt>
                <c:pt idx="30">
                  <c:v>43.714594844237588</c:v>
                </c:pt>
                <c:pt idx="31">
                  <c:v>43.927237992635192</c:v>
                </c:pt>
                <c:pt idx="32">
                  <c:v>44.134357312961363</c:v>
                </c:pt>
                <c:pt idx="33">
                  <c:v>44.725268011800232</c:v>
                </c:pt>
                <c:pt idx="34">
                  <c:v>45.79</c:v>
                </c:pt>
                <c:pt idx="35">
                  <c:v>57.662914809244064</c:v>
                </c:pt>
                <c:pt idx="36">
                  <c:v>57.848167419528274</c:v>
                </c:pt>
                <c:pt idx="37">
                  <c:v>58.029751419110447</c:v>
                </c:pt>
                <c:pt idx="38">
                  <c:v>58.553876487950795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7.3566876996662387</c:v>
                </c:pt>
                <c:pt idx="1">
                  <c:v>11.698795241802181</c:v>
                </c:pt>
                <c:pt idx="2">
                  <c:v>14.238765328050214</c:v>
                </c:pt>
                <c:pt idx="3">
                  <c:v>16.040902783938122</c:v>
                </c:pt>
                <c:pt idx="4">
                  <c:v>17.43874919277399</c:v>
                </c:pt>
                <c:pt idx="5">
                  <c:v>21.780856734909932</c:v>
                </c:pt>
                <c:pt idx="6">
                  <c:v>24.320826821157958</c:v>
                </c:pt>
                <c:pt idx="7">
                  <c:v>26.122964277045867</c:v>
                </c:pt>
                <c:pt idx="8">
                  <c:v>27.520810685881749</c:v>
                </c:pt>
                <c:pt idx="9">
                  <c:v>28.6629343632939</c:v>
                </c:pt>
                <c:pt idx="10">
                  <c:v>29.62858617329276</c:v>
                </c:pt>
                <c:pt idx="11">
                  <c:v>30.465071819181802</c:v>
                </c:pt>
                <c:pt idx="12">
                  <c:v>31.202904449541933</c:v>
                </c:pt>
                <c:pt idx="13">
                  <c:v>31.862918228017691</c:v>
                </c:pt>
                <c:pt idx="14">
                  <c:v>32.410893315562539</c:v>
                </c:pt>
                <c:pt idx="15">
                  <c:v>33.005041905429849</c:v>
                </c:pt>
                <c:pt idx="16">
                  <c:v>34.402888314265724</c:v>
                </c:pt>
                <c:pt idx="17">
                  <c:v>35.545011991677882</c:v>
                </c:pt>
                <c:pt idx="18">
                  <c:v>36.510663801676742</c:v>
                </c:pt>
                <c:pt idx="19">
                  <c:v>37.347149447565783</c:v>
                </c:pt>
                <c:pt idx="20">
                  <c:v>38.312801257564644</c:v>
                </c:pt>
                <c:pt idx="21">
                  <c:v>39.149286903453685</c:v>
                </c:pt>
                <c:pt idx="22">
                  <c:v>39.887119533813816</c:v>
                </c:pt>
                <c:pt idx="23">
                  <c:v>41.689256989701732</c:v>
                </c:pt>
                <c:pt idx="24">
                  <c:v>43.087103398537593</c:v>
                </c:pt>
                <c:pt idx="25">
                  <c:v>44.229227075949765</c:v>
                </c:pt>
                <c:pt idx="26">
                  <c:v>45.194878885948626</c:v>
                </c:pt>
                <c:pt idx="27">
                  <c:v>46.031364531837667</c:v>
                </c:pt>
                <c:pt idx="28">
                  <c:v>46.769197162197798</c:v>
                </c:pt>
                <c:pt idx="29">
                  <c:v>47.429210940673542</c:v>
                </c:pt>
                <c:pt idx="30">
                  <c:v>48.026266028218402</c:v>
                </c:pt>
                <c:pt idx="31">
                  <c:v>48.5713346180857</c:v>
                </c:pt>
                <c:pt idx="32">
                  <c:v>49.072749114789673</c:v>
                </c:pt>
                <c:pt idx="33">
                  <c:v>49.53698642808456</c:v>
                </c:pt>
                <c:pt idx="34">
                  <c:v>49.969181026921575</c:v>
                </c:pt>
                <c:pt idx="35">
                  <c:v>50.373472073973616</c:v>
                </c:pt>
                <c:pt idx="36">
                  <c:v>50.753245136623349</c:v>
                </c:pt>
                <c:pt idx="37">
                  <c:v>51.111304704333733</c:v>
                </c:pt>
                <c:pt idx="38">
                  <c:v>51.45</c:v>
                </c:pt>
                <c:pt idx="39">
                  <c:v>51.45</c:v>
                </c:pt>
                <c:pt idx="40">
                  <c:v>51.45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43836.417361111111</c:v>
                </c:pt>
                <c:pt idx="33">
                  <c:v>43837</c:v>
                </c:pt>
                <c:pt idx="57">
                  <c:v>43838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7.3566876996662387</c:v>
                </c:pt>
                <c:pt idx="1">
                  <c:v>11.698795241802181</c:v>
                </c:pt>
                <c:pt idx="2">
                  <c:v>14.238765328050214</c:v>
                </c:pt>
                <c:pt idx="3">
                  <c:v>16.040902783938122</c:v>
                </c:pt>
                <c:pt idx="4">
                  <c:v>17.43874919277399</c:v>
                </c:pt>
                <c:pt idx="5">
                  <c:v>21.780856734909932</c:v>
                </c:pt>
                <c:pt idx="6">
                  <c:v>24.320826821157958</c:v>
                </c:pt>
                <c:pt idx="7">
                  <c:v>26.122964277045867</c:v>
                </c:pt>
                <c:pt idx="8">
                  <c:v>27.520810685881749</c:v>
                </c:pt>
                <c:pt idx="9">
                  <c:v>28.6629343632939</c:v>
                </c:pt>
                <c:pt idx="10">
                  <c:v>29.62858617329276</c:v>
                </c:pt>
                <c:pt idx="11">
                  <c:v>30.465071819181802</c:v>
                </c:pt>
                <c:pt idx="12">
                  <c:v>31.202904449541933</c:v>
                </c:pt>
                <c:pt idx="13">
                  <c:v>31.862918228017691</c:v>
                </c:pt>
                <c:pt idx="14">
                  <c:v>32.410893315562539</c:v>
                </c:pt>
                <c:pt idx="15">
                  <c:v>33.005041905429849</c:v>
                </c:pt>
                <c:pt idx="16">
                  <c:v>34.402888314265724</c:v>
                </c:pt>
                <c:pt idx="17">
                  <c:v>35.545011991677882</c:v>
                </c:pt>
                <c:pt idx="18">
                  <c:v>36.510663801676742</c:v>
                </c:pt>
                <c:pt idx="19">
                  <c:v>37.347149447565783</c:v>
                </c:pt>
                <c:pt idx="20">
                  <c:v>38.312801257564644</c:v>
                </c:pt>
                <c:pt idx="21">
                  <c:v>39.149286903453685</c:v>
                </c:pt>
                <c:pt idx="22">
                  <c:v>39.887119533813816</c:v>
                </c:pt>
                <c:pt idx="23">
                  <c:v>41.689256989701732</c:v>
                </c:pt>
                <c:pt idx="24">
                  <c:v>43.087103398537593</c:v>
                </c:pt>
                <c:pt idx="25">
                  <c:v>44.229227075949765</c:v>
                </c:pt>
                <c:pt idx="26">
                  <c:v>45.194878885948626</c:v>
                </c:pt>
                <c:pt idx="27">
                  <c:v>46.031364531837667</c:v>
                </c:pt>
                <c:pt idx="28">
                  <c:v>46.769197162197798</c:v>
                </c:pt>
                <c:pt idx="29">
                  <c:v>47.429210940673542</c:v>
                </c:pt>
                <c:pt idx="30">
                  <c:v>48.026266028218402</c:v>
                </c:pt>
                <c:pt idx="31">
                  <c:v>48.5713346180857</c:v>
                </c:pt>
                <c:pt idx="32">
                  <c:v>49.072749114789673</c:v>
                </c:pt>
                <c:pt idx="33">
                  <c:v>49.53698642808456</c:v>
                </c:pt>
                <c:pt idx="34">
                  <c:v>49.969181026921575</c:v>
                </c:pt>
                <c:pt idx="35">
                  <c:v>50.373472073973616</c:v>
                </c:pt>
                <c:pt idx="36">
                  <c:v>50.753245136623349</c:v>
                </c:pt>
                <c:pt idx="37">
                  <c:v>51.111304704333733</c:v>
                </c:pt>
                <c:pt idx="38">
                  <c:v>51.45</c:v>
                </c:pt>
                <c:pt idx="39">
                  <c:v>51.45</c:v>
                </c:pt>
                <c:pt idx="40">
                  <c:v>51.45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29.634078434613624</c:v>
                </c:pt>
                <c:pt idx="1">
                  <c:v>26.329939709219818</c:v>
                </c:pt>
                <c:pt idx="2">
                  <c:v>23.394205648095749</c:v>
                </c:pt>
                <c:pt idx="3">
                  <c:v>20.785799889764039</c:v>
                </c:pt>
                <c:pt idx="4">
                  <c:v>18.468226002470946</c:v>
                </c:pt>
                <c:pt idx="5">
                  <c:v>12.953898696505998</c:v>
                </c:pt>
                <c:pt idx="6">
                  <c:v>11.972167624090394</c:v>
                </c:pt>
                <c:pt idx="7">
                  <c:v>9.4512590317066216</c:v>
                </c:pt>
                <c:pt idx="8">
                  <c:v>8.3974631109293441</c:v>
                </c:pt>
                <c:pt idx="9">
                  <c:v>7.4611632654285316</c:v>
                </c:pt>
                <c:pt idx="10">
                  <c:v>7.1728655361717193</c:v>
                </c:pt>
                <c:pt idx="11">
                  <c:v>6.8957075686032399</c:v>
                </c:pt>
                <c:pt idx="12">
                  <c:v>6.6292589247491565</c:v>
                </c:pt>
                <c:pt idx="13">
                  <c:v>6.3731057986654207</c:v>
                </c:pt>
                <c:pt idx="14">
                  <c:v>6.1268503737798561</c:v>
                </c:pt>
                <c:pt idx="15">
                  <c:v>5.8901102050662937</c:v>
                </c:pt>
                <c:pt idx="16">
                  <c:v>5.66251762509137</c:v>
                </c:pt>
                <c:pt idx="17">
                  <c:v>5.4437191730115568</c:v>
                </c:pt>
                <c:pt idx="18">
                  <c:v>5.2333750456336032</c:v>
                </c:pt>
                <c:pt idx="19">
                  <c:v>4.6498645041824416</c:v>
                </c:pt>
                <c:pt idx="20">
                  <c:v>4.4701947489153095</c:v>
                </c:pt>
                <c:pt idx="21">
                  <c:v>3.5289322552717999</c:v>
                </c:pt>
                <c:pt idx="22">
                  <c:v>2.7858658429410745</c:v>
                </c:pt>
                <c:pt idx="23">
                  <c:v>2.1992625342330419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32</xdr:row>
          <xdr:rowOff>104775</xdr:rowOff>
        </xdr:from>
        <xdr:to>
          <xdr:col>19</xdr:col>
          <xdr:colOff>723900</xdr:colOff>
          <xdr:row>33</xdr:row>
          <xdr:rowOff>257175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30</xdr:row>
          <xdr:rowOff>114300</xdr:rowOff>
        </xdr:from>
        <xdr:to>
          <xdr:col>19</xdr:col>
          <xdr:colOff>723900</xdr:colOff>
          <xdr:row>32</xdr:row>
          <xdr:rowOff>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22</xdr:row>
          <xdr:rowOff>257175</xdr:rowOff>
        </xdr:from>
        <xdr:to>
          <xdr:col>19</xdr:col>
          <xdr:colOff>352425</xdr:colOff>
          <xdr:row>29</xdr:row>
          <xdr:rowOff>238125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2.08</v>
      </c>
      <c r="E1">
        <v>1</v>
      </c>
      <c r="F1">
        <f>단계양수시험!G12</f>
        <v>2.08</v>
      </c>
    </row>
    <row r="2" spans="1:6" x14ac:dyDescent="0.15">
      <c r="A2" s="234">
        <v>2</v>
      </c>
      <c r="B2">
        <f t="shared" ref="B2:B20" si="0">F2</f>
        <v>4.04</v>
      </c>
      <c r="E2">
        <v>2</v>
      </c>
      <c r="F2">
        <f>단계양수시험!G13</f>
        <v>4.04</v>
      </c>
    </row>
    <row r="3" spans="1:6" x14ac:dyDescent="0.15">
      <c r="A3" s="234">
        <v>3</v>
      </c>
      <c r="B3">
        <f t="shared" si="0"/>
        <v>5.81</v>
      </c>
      <c r="E3">
        <v>3</v>
      </c>
      <c r="F3">
        <f>단계양수시험!G14</f>
        <v>5.81</v>
      </c>
    </row>
    <row r="4" spans="1:6" x14ac:dyDescent="0.15">
      <c r="A4" s="234">
        <v>4</v>
      </c>
      <c r="B4">
        <f t="shared" si="0"/>
        <v>7.07</v>
      </c>
      <c r="E4">
        <v>4</v>
      </c>
      <c r="F4">
        <f>단계양수시험!G15</f>
        <v>7.07</v>
      </c>
    </row>
    <row r="5" spans="1:6" x14ac:dyDescent="0.15">
      <c r="A5" s="234">
        <v>5</v>
      </c>
      <c r="B5">
        <f t="shared" si="0"/>
        <v>8.0500000000000007</v>
      </c>
      <c r="E5">
        <v>5</v>
      </c>
      <c r="F5">
        <f>단계양수시험!G16</f>
        <v>8.0500000000000007</v>
      </c>
    </row>
    <row r="6" spans="1:6" x14ac:dyDescent="0.15">
      <c r="A6" s="234">
        <v>10</v>
      </c>
      <c r="B6">
        <f t="shared" si="0"/>
        <v>11.08</v>
      </c>
      <c r="E6">
        <v>10</v>
      </c>
      <c r="F6">
        <f>단계양수시험!G17</f>
        <v>11.08</v>
      </c>
    </row>
    <row r="7" spans="1:6" x14ac:dyDescent="0.15">
      <c r="A7" s="234">
        <v>15</v>
      </c>
      <c r="B7">
        <f t="shared" si="0"/>
        <v>12.86</v>
      </c>
      <c r="E7">
        <v>15</v>
      </c>
      <c r="F7">
        <f>단계양수시험!G18</f>
        <v>12.86</v>
      </c>
    </row>
    <row r="8" spans="1:6" x14ac:dyDescent="0.15">
      <c r="A8" s="234">
        <v>20</v>
      </c>
      <c r="B8">
        <f t="shared" si="0"/>
        <v>14.12</v>
      </c>
      <c r="E8">
        <v>20</v>
      </c>
      <c r="F8">
        <f>단계양수시험!G19</f>
        <v>14.12</v>
      </c>
    </row>
    <row r="9" spans="1:6" x14ac:dyDescent="0.15">
      <c r="A9" s="234">
        <v>25</v>
      </c>
      <c r="B9">
        <f t="shared" si="0"/>
        <v>15.1</v>
      </c>
      <c r="E9">
        <v>25</v>
      </c>
      <c r="F9">
        <f>단계양수시험!G20</f>
        <v>15.1</v>
      </c>
    </row>
    <row r="10" spans="1:6" x14ac:dyDescent="0.15">
      <c r="A10" s="234">
        <v>30</v>
      </c>
      <c r="B10">
        <f t="shared" si="0"/>
        <v>15.89</v>
      </c>
      <c r="E10">
        <v>30</v>
      </c>
      <c r="F10">
        <f>단계양수시험!G21</f>
        <v>15.89</v>
      </c>
    </row>
    <row r="11" spans="1:6" x14ac:dyDescent="0.15">
      <c r="A11" s="234">
        <v>35</v>
      </c>
      <c r="B11">
        <f t="shared" si="0"/>
        <v>16.57</v>
      </c>
      <c r="E11">
        <v>35</v>
      </c>
      <c r="F11">
        <f>단계양수시험!G22</f>
        <v>16.57</v>
      </c>
    </row>
    <row r="12" spans="1:6" x14ac:dyDescent="0.15">
      <c r="A12" s="234">
        <v>40</v>
      </c>
      <c r="B12">
        <f t="shared" si="0"/>
        <v>17.149999999999999</v>
      </c>
      <c r="E12">
        <v>40</v>
      </c>
      <c r="F12">
        <f>단계양수시험!G23</f>
        <v>17.149999999999999</v>
      </c>
    </row>
    <row r="13" spans="1:6" x14ac:dyDescent="0.15">
      <c r="A13" s="234">
        <v>45</v>
      </c>
      <c r="B13">
        <f t="shared" si="0"/>
        <v>17.670000000000002</v>
      </c>
      <c r="E13">
        <v>45</v>
      </c>
      <c r="F13">
        <f>단계양수시험!G24</f>
        <v>17.670000000000002</v>
      </c>
    </row>
    <row r="14" spans="1:6" x14ac:dyDescent="0.15">
      <c r="A14" s="234">
        <v>50</v>
      </c>
      <c r="B14">
        <f t="shared" si="0"/>
        <v>18.13</v>
      </c>
      <c r="E14">
        <v>50</v>
      </c>
      <c r="F14">
        <f>단계양수시험!G25</f>
        <v>18.13</v>
      </c>
    </row>
    <row r="15" spans="1:6" x14ac:dyDescent="0.15">
      <c r="A15" s="234">
        <v>55</v>
      </c>
      <c r="B15">
        <f t="shared" si="0"/>
        <v>18.55</v>
      </c>
      <c r="E15">
        <v>55</v>
      </c>
      <c r="F15">
        <f>단계양수시험!G26</f>
        <v>18.55</v>
      </c>
    </row>
    <row r="16" spans="1:6" x14ac:dyDescent="0.15">
      <c r="A16" s="234">
        <v>60</v>
      </c>
      <c r="B16">
        <f t="shared" si="0"/>
        <v>18.93</v>
      </c>
      <c r="E16">
        <v>60</v>
      </c>
      <c r="F16">
        <f>단계양수시험!G27</f>
        <v>18.93</v>
      </c>
    </row>
    <row r="17" spans="1:6" x14ac:dyDescent="0.15">
      <c r="A17" s="234">
        <v>75</v>
      </c>
      <c r="B17">
        <f t="shared" si="0"/>
        <v>19.91</v>
      </c>
      <c r="E17">
        <v>75</v>
      </c>
      <c r="F17">
        <f>단계양수시험!G28</f>
        <v>19.91</v>
      </c>
    </row>
    <row r="18" spans="1:6" x14ac:dyDescent="0.15">
      <c r="A18" s="234">
        <v>90</v>
      </c>
      <c r="B18">
        <f t="shared" si="0"/>
        <v>20.71</v>
      </c>
      <c r="E18">
        <v>90</v>
      </c>
      <c r="F18">
        <f>단계양수시험!G29</f>
        <v>20.71</v>
      </c>
    </row>
    <row r="19" spans="1:6" x14ac:dyDescent="0.15">
      <c r="A19" s="234">
        <v>105</v>
      </c>
      <c r="B19">
        <f t="shared" si="0"/>
        <v>21.38</v>
      </c>
      <c r="E19">
        <v>105</v>
      </c>
      <c r="F19">
        <f>단계양수시험!G30</f>
        <v>21.38</v>
      </c>
    </row>
    <row r="20" spans="1:6" x14ac:dyDescent="0.15">
      <c r="A20" s="236">
        <v>120</v>
      </c>
      <c r="B20" s="242">
        <f t="shared" si="0"/>
        <v>21.97</v>
      </c>
      <c r="C20" s="242">
        <f>B26-B20</f>
        <v>4.3900000000000006</v>
      </c>
      <c r="D20" s="243">
        <f>C20/10</f>
        <v>0.43900000000000006</v>
      </c>
      <c r="E20">
        <v>120</v>
      </c>
      <c r="F20">
        <f>단계양수시험!G31</f>
        <v>21.97</v>
      </c>
    </row>
    <row r="21" spans="1:6" x14ac:dyDescent="0.15">
      <c r="A21" s="234">
        <v>121</v>
      </c>
      <c r="B21" s="241">
        <f>B20+D21</f>
        <v>22.13</v>
      </c>
      <c r="D21">
        <v>0.16</v>
      </c>
      <c r="E21">
        <v>130</v>
      </c>
      <c r="F21">
        <f>단계양수시험!G32</f>
        <v>26.36</v>
      </c>
    </row>
    <row r="22" spans="1:6" x14ac:dyDescent="0.15">
      <c r="A22" s="234">
        <v>122</v>
      </c>
      <c r="B22" s="241">
        <f>B21+D22</f>
        <v>22.279999999999998</v>
      </c>
      <c r="D22">
        <v>0.15</v>
      </c>
      <c r="E22">
        <v>140</v>
      </c>
      <c r="F22">
        <f>단계양수시험!G33</f>
        <v>27.1</v>
      </c>
    </row>
    <row r="23" spans="1:6" x14ac:dyDescent="0.15">
      <c r="A23" s="234">
        <v>123</v>
      </c>
      <c r="B23" s="241">
        <f>B22+D23</f>
        <v>22.419999999999998</v>
      </c>
      <c r="D23">
        <v>0.14000000000000001</v>
      </c>
      <c r="E23">
        <v>150</v>
      </c>
      <c r="F23">
        <f>단계양수시험!G34</f>
        <v>27.83</v>
      </c>
    </row>
    <row r="24" spans="1:6" x14ac:dyDescent="0.15">
      <c r="A24" s="234">
        <v>124</v>
      </c>
      <c r="B24" s="241">
        <f>B23+D24</f>
        <v>22.549999999999997</v>
      </c>
      <c r="D24">
        <v>0.13</v>
      </c>
      <c r="E24">
        <v>180</v>
      </c>
      <c r="F24">
        <f>단계양수시험!G35</f>
        <v>28.56</v>
      </c>
    </row>
    <row r="25" spans="1:6" x14ac:dyDescent="0.15">
      <c r="A25" s="234">
        <v>125</v>
      </c>
      <c r="B25" s="241">
        <f>B24+D25</f>
        <v>22.679999999999996</v>
      </c>
      <c r="D25">
        <v>0.13</v>
      </c>
      <c r="E25">
        <v>240</v>
      </c>
      <c r="F25">
        <f>단계양수시험!G36</f>
        <v>29.3</v>
      </c>
    </row>
    <row r="26" spans="1:6" x14ac:dyDescent="0.15">
      <c r="A26" s="234">
        <v>130</v>
      </c>
      <c r="B26" s="242">
        <f>F21</f>
        <v>26.36</v>
      </c>
      <c r="C26" s="242">
        <f>B28-B26</f>
        <v>0.74000000000000199</v>
      </c>
      <c r="D26" s="242">
        <f>C26/2</f>
        <v>0.37000000000000099</v>
      </c>
      <c r="E26">
        <v>250</v>
      </c>
      <c r="F26">
        <f>단계양수시험!G37</f>
        <v>34.24</v>
      </c>
    </row>
    <row r="27" spans="1:6" x14ac:dyDescent="0.15">
      <c r="A27" s="234">
        <v>135</v>
      </c>
      <c r="B27" s="241">
        <f>B26+D27</f>
        <v>26.47</v>
      </c>
      <c r="D27">
        <v>0.11</v>
      </c>
      <c r="E27">
        <v>260</v>
      </c>
      <c r="F27">
        <f>단계양수시험!G38</f>
        <v>35.06</v>
      </c>
    </row>
    <row r="28" spans="1:6" x14ac:dyDescent="0.15">
      <c r="A28" s="234">
        <v>140</v>
      </c>
      <c r="B28" s="242">
        <f>F22</f>
        <v>27.1</v>
      </c>
      <c r="C28" s="242">
        <f>B30-B28</f>
        <v>0.72999999999999687</v>
      </c>
      <c r="D28" s="242">
        <f>C28/2</f>
        <v>0.36499999999999844</v>
      </c>
      <c r="E28">
        <v>270</v>
      </c>
      <c r="F28">
        <f>단계양수시험!G39</f>
        <v>35.89</v>
      </c>
    </row>
    <row r="29" spans="1:6" x14ac:dyDescent="0.15">
      <c r="A29" s="234">
        <v>145</v>
      </c>
      <c r="B29" s="241">
        <f>B28+D29</f>
        <v>27.200000000000003</v>
      </c>
      <c r="D29">
        <v>0.1</v>
      </c>
      <c r="E29">
        <v>300</v>
      </c>
      <c r="F29">
        <f>단계양수시험!G40</f>
        <v>36.71</v>
      </c>
    </row>
    <row r="30" spans="1:6" x14ac:dyDescent="0.15">
      <c r="A30" s="234">
        <v>150</v>
      </c>
      <c r="B30" s="242">
        <f>F23</f>
        <v>27.83</v>
      </c>
      <c r="C30" s="242">
        <f>B36-B30</f>
        <v>0.73000000000000043</v>
      </c>
      <c r="D30" s="244">
        <f>C30/6</f>
        <v>0.12166666666666674</v>
      </c>
      <c r="E30">
        <v>360</v>
      </c>
      <c r="F30">
        <f>단계양수시험!G41</f>
        <v>37.54</v>
      </c>
    </row>
    <row r="31" spans="1:6" x14ac:dyDescent="0.15">
      <c r="A31" s="234">
        <v>155</v>
      </c>
      <c r="B31" s="241">
        <f>B30+D31</f>
        <v>27.889999999999997</v>
      </c>
      <c r="D31">
        <v>0.06</v>
      </c>
    </row>
    <row r="32" spans="1:6" x14ac:dyDescent="0.15">
      <c r="A32" s="234">
        <v>160</v>
      </c>
      <c r="B32" s="241">
        <f t="shared" ref="B32:B39" si="1">B31+D32</f>
        <v>27.939999999999998</v>
      </c>
      <c r="D32">
        <v>0.05</v>
      </c>
    </row>
    <row r="33" spans="1:4" x14ac:dyDescent="0.15">
      <c r="A33" s="234">
        <v>165</v>
      </c>
      <c r="B33" s="241">
        <f t="shared" si="1"/>
        <v>27.979999999999997</v>
      </c>
      <c r="D33">
        <v>0.04</v>
      </c>
    </row>
    <row r="34" spans="1:4" x14ac:dyDescent="0.15">
      <c r="A34" s="234">
        <v>170</v>
      </c>
      <c r="B34" s="241">
        <f t="shared" si="1"/>
        <v>28.009999999999998</v>
      </c>
      <c r="D34">
        <v>0.03</v>
      </c>
    </row>
    <row r="35" spans="1:4" x14ac:dyDescent="0.15">
      <c r="A35" s="234">
        <v>175</v>
      </c>
      <c r="B35" s="241">
        <f t="shared" si="1"/>
        <v>28.029999999999998</v>
      </c>
      <c r="D35">
        <v>0.02</v>
      </c>
    </row>
    <row r="36" spans="1:4" x14ac:dyDescent="0.15">
      <c r="A36" s="234">
        <v>180</v>
      </c>
      <c r="B36" s="242">
        <f>F24</f>
        <v>28.56</v>
      </c>
      <c r="C36" s="242">
        <f>B40-B36</f>
        <v>0.74000000000000199</v>
      </c>
      <c r="D36" s="242">
        <f>C36/4</f>
        <v>0.1850000000000005</v>
      </c>
    </row>
    <row r="37" spans="1:4" x14ac:dyDescent="0.15">
      <c r="A37" s="234">
        <v>195</v>
      </c>
      <c r="B37" s="241">
        <f t="shared" si="1"/>
        <v>28.63</v>
      </c>
      <c r="D37">
        <v>7.0000000000000007E-2</v>
      </c>
    </row>
    <row r="38" spans="1:4" x14ac:dyDescent="0.15">
      <c r="A38" s="234">
        <v>210</v>
      </c>
      <c r="B38" s="241">
        <f t="shared" si="1"/>
        <v>28.689999999999998</v>
      </c>
      <c r="D38">
        <v>0.06</v>
      </c>
    </row>
    <row r="39" spans="1:4" x14ac:dyDescent="0.15">
      <c r="A39" s="234">
        <v>225</v>
      </c>
      <c r="B39" s="241">
        <f t="shared" si="1"/>
        <v>28.74</v>
      </c>
      <c r="D39">
        <v>0.05</v>
      </c>
    </row>
    <row r="40" spans="1:4" x14ac:dyDescent="0.15">
      <c r="A40" s="236">
        <v>240</v>
      </c>
      <c r="B40" s="242">
        <f>F25</f>
        <v>29.3</v>
      </c>
      <c r="C40" s="242">
        <f>B46-B40</f>
        <v>4.9400000000000013</v>
      </c>
      <c r="D40" s="243">
        <f>C40/10</f>
        <v>0.49400000000000011</v>
      </c>
    </row>
    <row r="41" spans="1:4" x14ac:dyDescent="0.15">
      <c r="A41" s="234">
        <v>241</v>
      </c>
      <c r="B41" s="241">
        <f>B40+D41</f>
        <v>29.48</v>
      </c>
      <c r="D41">
        <v>0.18</v>
      </c>
    </row>
    <row r="42" spans="1:4" x14ac:dyDescent="0.15">
      <c r="A42" s="234">
        <v>242</v>
      </c>
      <c r="B42" s="241">
        <f>B41+D42</f>
        <v>29.64</v>
      </c>
      <c r="D42">
        <v>0.16</v>
      </c>
    </row>
    <row r="43" spans="1:4" x14ac:dyDescent="0.15">
      <c r="A43" s="234">
        <v>243</v>
      </c>
      <c r="B43" s="241">
        <f>B42+D43</f>
        <v>29.79</v>
      </c>
      <c r="D43">
        <v>0.15</v>
      </c>
    </row>
    <row r="44" spans="1:4" x14ac:dyDescent="0.15">
      <c r="A44" s="234">
        <v>244</v>
      </c>
      <c r="B44" s="241">
        <f>B43+D44</f>
        <v>29.93</v>
      </c>
      <c r="D44">
        <v>0.14000000000000001</v>
      </c>
    </row>
    <row r="45" spans="1:4" x14ac:dyDescent="0.15">
      <c r="A45" s="234">
        <v>245</v>
      </c>
      <c r="B45" s="241">
        <f>B44+D45</f>
        <v>30.06</v>
      </c>
      <c r="D45">
        <v>0.13</v>
      </c>
    </row>
    <row r="46" spans="1:4" x14ac:dyDescent="0.15">
      <c r="A46" s="234">
        <v>250</v>
      </c>
      <c r="B46" s="242">
        <f>F26</f>
        <v>34.24</v>
      </c>
      <c r="C46" s="242">
        <f>B48-B46</f>
        <v>0.82000000000000028</v>
      </c>
      <c r="D46" s="242">
        <f>C46/2</f>
        <v>0.41000000000000014</v>
      </c>
    </row>
    <row r="47" spans="1:4" x14ac:dyDescent="0.15">
      <c r="A47" s="234">
        <v>255</v>
      </c>
      <c r="B47" s="241">
        <f>B46+D47</f>
        <v>34.35</v>
      </c>
      <c r="D47">
        <v>0.11</v>
      </c>
    </row>
    <row r="48" spans="1:4" x14ac:dyDescent="0.15">
      <c r="A48" s="234">
        <v>260</v>
      </c>
      <c r="B48" s="242">
        <f>F27</f>
        <v>35.06</v>
      </c>
      <c r="C48" s="242">
        <f>B50-B48</f>
        <v>0.82999999999999829</v>
      </c>
      <c r="D48" s="242">
        <f>C48/2</f>
        <v>0.41499999999999915</v>
      </c>
    </row>
    <row r="49" spans="1:6" x14ac:dyDescent="0.15">
      <c r="A49" s="234">
        <v>265</v>
      </c>
      <c r="B49" s="241">
        <f>B48+D49</f>
        <v>35.17</v>
      </c>
      <c r="D49">
        <v>0.11</v>
      </c>
    </row>
    <row r="50" spans="1:6" x14ac:dyDescent="0.15">
      <c r="A50" s="234">
        <v>270</v>
      </c>
      <c r="B50" s="242">
        <f>F28</f>
        <v>35.89</v>
      </c>
      <c r="C50" s="242">
        <f>B56-B50</f>
        <v>0.82000000000000028</v>
      </c>
      <c r="D50" s="244">
        <f>C50/6</f>
        <v>0.13666666666666671</v>
      </c>
    </row>
    <row r="51" spans="1:6" x14ac:dyDescent="0.15">
      <c r="A51" s="234">
        <v>275</v>
      </c>
      <c r="B51" s="241">
        <f>B50+D51</f>
        <v>35.96</v>
      </c>
      <c r="D51">
        <v>7.0000000000000007E-2</v>
      </c>
    </row>
    <row r="52" spans="1:6" x14ac:dyDescent="0.15">
      <c r="A52" s="234">
        <v>280</v>
      </c>
      <c r="B52" s="241">
        <f>B51+D52</f>
        <v>36.01</v>
      </c>
      <c r="D52">
        <v>0.05</v>
      </c>
    </row>
    <row r="53" spans="1:6" x14ac:dyDescent="0.15">
      <c r="A53" s="234">
        <v>285</v>
      </c>
      <c r="B53" s="241">
        <f>B52+D53</f>
        <v>36.049999999999997</v>
      </c>
      <c r="D53">
        <v>0.04</v>
      </c>
    </row>
    <row r="54" spans="1:6" x14ac:dyDescent="0.15">
      <c r="A54" s="234">
        <v>290</v>
      </c>
      <c r="B54" s="241">
        <f>B53+D54</f>
        <v>36.08</v>
      </c>
      <c r="D54">
        <v>0.03</v>
      </c>
    </row>
    <row r="55" spans="1:6" x14ac:dyDescent="0.15">
      <c r="A55" s="234">
        <v>295</v>
      </c>
      <c r="B55" s="241">
        <f>B54+D55</f>
        <v>36.1</v>
      </c>
      <c r="D55">
        <v>0.02</v>
      </c>
    </row>
    <row r="56" spans="1:6" x14ac:dyDescent="0.15">
      <c r="A56" s="234">
        <v>300</v>
      </c>
      <c r="B56" s="242">
        <f>F29</f>
        <v>36.71</v>
      </c>
      <c r="C56" s="242">
        <f>B60-B56</f>
        <v>0.82999999999999829</v>
      </c>
      <c r="D56" s="242">
        <f>C56/4</f>
        <v>0.20749999999999957</v>
      </c>
    </row>
    <row r="57" spans="1:6" x14ac:dyDescent="0.15">
      <c r="A57" s="234">
        <v>315</v>
      </c>
      <c r="B57" s="241">
        <f>B56+D57</f>
        <v>36.79</v>
      </c>
      <c r="D57">
        <v>0.08</v>
      </c>
    </row>
    <row r="58" spans="1:6" x14ac:dyDescent="0.15">
      <c r="A58" s="234">
        <v>330</v>
      </c>
      <c r="B58" s="241">
        <f>B57+D58</f>
        <v>36.85</v>
      </c>
      <c r="D58">
        <v>0.06</v>
      </c>
    </row>
    <row r="59" spans="1:6" x14ac:dyDescent="0.15">
      <c r="A59" s="234">
        <v>345</v>
      </c>
      <c r="B59" s="241">
        <f>B58+D59</f>
        <v>36.9</v>
      </c>
      <c r="D59">
        <v>0.05</v>
      </c>
    </row>
    <row r="60" spans="1:6" x14ac:dyDescent="0.15">
      <c r="A60" s="236">
        <v>360</v>
      </c>
      <c r="B60" s="242">
        <f>F30</f>
        <v>37.54</v>
      </c>
      <c r="C60" s="242">
        <f>B66-B60</f>
        <v>4.9500000000000028</v>
      </c>
      <c r="D60" s="243">
        <f>C60/10</f>
        <v>0.49500000000000027</v>
      </c>
    </row>
    <row r="61" spans="1:6" x14ac:dyDescent="0.15">
      <c r="A61" s="234">
        <v>361</v>
      </c>
      <c r="B61" s="241">
        <f>B60+D61</f>
        <v>37.729999999999997</v>
      </c>
      <c r="D61">
        <v>0.19</v>
      </c>
    </row>
    <row r="62" spans="1:6" x14ac:dyDescent="0.15">
      <c r="A62" s="234">
        <v>362</v>
      </c>
      <c r="B62" s="241">
        <f>B61+D62</f>
        <v>37.9</v>
      </c>
      <c r="D62">
        <v>0.17</v>
      </c>
    </row>
    <row r="63" spans="1:6" x14ac:dyDescent="0.15">
      <c r="A63" s="234">
        <v>363</v>
      </c>
      <c r="B63" s="241">
        <f>B62+D63</f>
        <v>38.059999999999995</v>
      </c>
      <c r="D63">
        <v>0.16</v>
      </c>
      <c r="E63">
        <v>370</v>
      </c>
      <c r="F63">
        <f>단계양수시험!G42</f>
        <v>42.49</v>
      </c>
    </row>
    <row r="64" spans="1:6" x14ac:dyDescent="0.15">
      <c r="A64" s="234">
        <v>364</v>
      </c>
      <c r="B64" s="241">
        <f>B63+D64</f>
        <v>38.209999999999994</v>
      </c>
      <c r="D64">
        <v>0.15</v>
      </c>
      <c r="E64">
        <v>380</v>
      </c>
      <c r="F64">
        <f>단계양수시험!G43</f>
        <v>43.31</v>
      </c>
    </row>
    <row r="65" spans="1:6" x14ac:dyDescent="0.15">
      <c r="A65" s="234">
        <v>365</v>
      </c>
      <c r="B65" s="241">
        <f>B64+D65</f>
        <v>38.349999999999994</v>
      </c>
      <c r="D65">
        <v>0.14000000000000001</v>
      </c>
      <c r="E65">
        <v>390</v>
      </c>
      <c r="F65">
        <f>단계양수시험!G44</f>
        <v>44.14</v>
      </c>
    </row>
    <row r="66" spans="1:6" x14ac:dyDescent="0.15">
      <c r="A66" s="234">
        <v>370</v>
      </c>
      <c r="B66" s="242">
        <f>F63</f>
        <v>42.49</v>
      </c>
      <c r="C66" s="245">
        <f>B68-B66</f>
        <v>0.82000000000000028</v>
      </c>
      <c r="D66" s="242">
        <f>C66/2</f>
        <v>0.41000000000000014</v>
      </c>
      <c r="E66">
        <v>420</v>
      </c>
      <c r="F66">
        <f>단계양수시험!G45</f>
        <v>44.96</v>
      </c>
    </row>
    <row r="67" spans="1:6" x14ac:dyDescent="0.15">
      <c r="A67" s="234">
        <v>375</v>
      </c>
      <c r="B67" s="241">
        <f>B66+D67</f>
        <v>42.61</v>
      </c>
      <c r="D67">
        <v>0.12</v>
      </c>
      <c r="E67">
        <v>480</v>
      </c>
      <c r="F67">
        <f>단계양수시험!G46</f>
        <v>45.79</v>
      </c>
    </row>
    <row r="68" spans="1:6" x14ac:dyDescent="0.15">
      <c r="A68" s="234">
        <v>380</v>
      </c>
      <c r="B68" s="246">
        <f>F64</f>
        <v>43.31</v>
      </c>
      <c r="C68" s="242">
        <f>B70-B68</f>
        <v>0.82999999999999829</v>
      </c>
      <c r="D68" s="242">
        <f>C68/2</f>
        <v>0.41499999999999915</v>
      </c>
      <c r="E68">
        <v>490</v>
      </c>
      <c r="F68">
        <f>단계양수시험!G47</f>
        <v>51.28</v>
      </c>
    </row>
    <row r="69" spans="1:6" x14ac:dyDescent="0.15">
      <c r="A69" s="234">
        <v>385</v>
      </c>
      <c r="B69" s="241">
        <f>B68+D69</f>
        <v>43.43</v>
      </c>
      <c r="D69">
        <v>0.12</v>
      </c>
      <c r="E69">
        <v>500</v>
      </c>
      <c r="F69">
        <f>단계양수시험!G48</f>
        <v>53.34</v>
      </c>
    </row>
    <row r="70" spans="1:6" x14ac:dyDescent="0.15">
      <c r="A70" s="234">
        <v>390</v>
      </c>
      <c r="B70" s="246">
        <f>F65</f>
        <v>44.14</v>
      </c>
      <c r="C70" s="242">
        <f>B76-B70</f>
        <v>0.82000000000000028</v>
      </c>
      <c r="D70" s="244">
        <f>C70/6</f>
        <v>0.13666666666666671</v>
      </c>
      <c r="E70">
        <v>510</v>
      </c>
      <c r="F70">
        <f>단계양수시험!G49</f>
        <v>55.4</v>
      </c>
    </row>
    <row r="71" spans="1:6" x14ac:dyDescent="0.15">
      <c r="A71" s="234">
        <v>395</v>
      </c>
      <c r="B71" s="241">
        <f>B70+D71</f>
        <v>44.21</v>
      </c>
      <c r="D71">
        <v>7.0000000000000007E-2</v>
      </c>
      <c r="E71">
        <v>540</v>
      </c>
      <c r="F71">
        <f>단계양수시험!G50</f>
        <v>57.46</v>
      </c>
    </row>
    <row r="72" spans="1:6" x14ac:dyDescent="0.15">
      <c r="A72" s="234">
        <v>400</v>
      </c>
      <c r="B72" s="241">
        <f>B71+D72</f>
        <v>44.26</v>
      </c>
      <c r="D72">
        <v>0.05</v>
      </c>
      <c r="E72">
        <v>600</v>
      </c>
      <c r="F72">
        <f>단계양수시험!G51</f>
        <v>59.52</v>
      </c>
    </row>
    <row r="73" spans="1:6" x14ac:dyDescent="0.15">
      <c r="A73" s="234">
        <v>405</v>
      </c>
      <c r="B73" s="241">
        <f>B72+D73</f>
        <v>44.3</v>
      </c>
      <c r="D73">
        <v>0.04</v>
      </c>
    </row>
    <row r="74" spans="1:6" x14ac:dyDescent="0.15">
      <c r="A74" s="234">
        <v>410</v>
      </c>
      <c r="B74" s="241">
        <f>B73+D74</f>
        <v>44.33</v>
      </c>
      <c r="D74">
        <v>0.03</v>
      </c>
    </row>
    <row r="75" spans="1:6" x14ac:dyDescent="0.15">
      <c r="A75" s="234">
        <v>415</v>
      </c>
      <c r="B75" s="241">
        <f>B74+D75</f>
        <v>44.36</v>
      </c>
      <c r="D75">
        <v>0.03</v>
      </c>
    </row>
    <row r="76" spans="1:6" x14ac:dyDescent="0.15">
      <c r="A76" s="234">
        <v>420</v>
      </c>
      <c r="B76" s="246">
        <f>F66</f>
        <v>44.96</v>
      </c>
      <c r="C76" s="242">
        <f>B80-B76</f>
        <v>0.82999999999999829</v>
      </c>
      <c r="D76" s="242">
        <f>C76/4</f>
        <v>0.20749999999999957</v>
      </c>
    </row>
    <row r="77" spans="1:6" x14ac:dyDescent="0.15">
      <c r="A77" s="234">
        <v>435</v>
      </c>
      <c r="B77" s="241">
        <f>B76+D77</f>
        <v>45.050000000000004</v>
      </c>
      <c r="D77">
        <v>0.09</v>
      </c>
    </row>
    <row r="78" spans="1:6" x14ac:dyDescent="0.15">
      <c r="A78" s="234">
        <v>450</v>
      </c>
      <c r="B78" s="241">
        <f>B77+D78</f>
        <v>45.120000000000005</v>
      </c>
      <c r="D78">
        <v>7.0000000000000007E-2</v>
      </c>
    </row>
    <row r="79" spans="1:6" x14ac:dyDescent="0.15">
      <c r="A79" s="234">
        <v>465</v>
      </c>
      <c r="B79" s="241">
        <f>B78+D79</f>
        <v>45.17</v>
      </c>
      <c r="D79">
        <v>0.05</v>
      </c>
    </row>
    <row r="80" spans="1:6" x14ac:dyDescent="0.15">
      <c r="A80" s="236">
        <v>480</v>
      </c>
      <c r="B80" s="246">
        <f>F67</f>
        <v>45.79</v>
      </c>
      <c r="C80" s="242">
        <f>B86-B80</f>
        <v>5.490000000000002</v>
      </c>
      <c r="D80" s="243">
        <f>C80/10</f>
        <v>0.54900000000000015</v>
      </c>
    </row>
    <row r="81" spans="1:4" x14ac:dyDescent="0.15">
      <c r="A81" s="234">
        <v>481</v>
      </c>
      <c r="B81" s="241">
        <f>B80+D81</f>
        <v>46</v>
      </c>
      <c r="D81">
        <v>0.21</v>
      </c>
    </row>
    <row r="82" spans="1:4" x14ac:dyDescent="0.15">
      <c r="A82" s="234">
        <v>482</v>
      </c>
      <c r="B82" s="241">
        <f>B81+D82</f>
        <v>46.19</v>
      </c>
      <c r="D82">
        <v>0.19</v>
      </c>
    </row>
    <row r="83" spans="1:4" x14ac:dyDescent="0.15">
      <c r="A83" s="234">
        <v>483</v>
      </c>
      <c r="B83" s="241">
        <f>B82+D83</f>
        <v>46.36</v>
      </c>
      <c r="D83">
        <v>0.17</v>
      </c>
    </row>
    <row r="84" spans="1:4" x14ac:dyDescent="0.15">
      <c r="A84" s="234">
        <v>484</v>
      </c>
      <c r="B84" s="241">
        <f>B83+D84</f>
        <v>46.519999999999996</v>
      </c>
      <c r="D84">
        <v>0.16</v>
      </c>
    </row>
    <row r="85" spans="1:4" x14ac:dyDescent="0.15">
      <c r="A85" s="234">
        <v>485</v>
      </c>
      <c r="B85" s="241">
        <f>B84+D85</f>
        <v>46.66</v>
      </c>
      <c r="D85">
        <v>0.14000000000000001</v>
      </c>
    </row>
    <row r="86" spans="1:4" x14ac:dyDescent="0.15">
      <c r="A86" s="234">
        <v>490</v>
      </c>
      <c r="B86" s="246">
        <f>F68</f>
        <v>51.28</v>
      </c>
      <c r="C86" s="242">
        <f>B88-B86</f>
        <v>2.0600000000000023</v>
      </c>
      <c r="D86" s="242">
        <f>C86/2</f>
        <v>1.0300000000000011</v>
      </c>
    </row>
    <row r="87" spans="1:4" x14ac:dyDescent="0.15">
      <c r="A87" s="234">
        <v>495</v>
      </c>
      <c r="B87" s="241">
        <f>B86+D87</f>
        <v>51.59</v>
      </c>
      <c r="D87">
        <v>0.31</v>
      </c>
    </row>
    <row r="88" spans="1:4" x14ac:dyDescent="0.15">
      <c r="A88" s="234">
        <v>500</v>
      </c>
      <c r="B88" s="246">
        <f>F69</f>
        <v>53.34</v>
      </c>
      <c r="C88" s="242">
        <f>B90-B88</f>
        <v>2.0599999999999952</v>
      </c>
      <c r="D88" s="242">
        <f>C88/2</f>
        <v>1.0299999999999976</v>
      </c>
    </row>
    <row r="89" spans="1:4" x14ac:dyDescent="0.15">
      <c r="A89" s="234">
        <v>505</v>
      </c>
      <c r="B89" s="241">
        <f>B88+D89</f>
        <v>53.64</v>
      </c>
      <c r="D89">
        <v>0.3</v>
      </c>
    </row>
    <row r="90" spans="1:4" x14ac:dyDescent="0.15">
      <c r="A90" s="234">
        <v>510</v>
      </c>
      <c r="B90" s="246">
        <f>F70</f>
        <v>55.4</v>
      </c>
      <c r="C90" s="242">
        <f>B96-B90</f>
        <v>2.0600000000000023</v>
      </c>
      <c r="D90" s="244">
        <f>C90/6</f>
        <v>0.34333333333333371</v>
      </c>
    </row>
    <row r="91" spans="1:4" x14ac:dyDescent="0.15">
      <c r="A91" s="234">
        <v>515</v>
      </c>
      <c r="B91" s="241">
        <f>B90+D91</f>
        <v>55.55</v>
      </c>
      <c r="D91">
        <v>0.15</v>
      </c>
    </row>
    <row r="92" spans="1:4" x14ac:dyDescent="0.15">
      <c r="A92" s="234">
        <v>520</v>
      </c>
      <c r="B92" s="241">
        <f>B91+D92</f>
        <v>55.68</v>
      </c>
      <c r="D92">
        <v>0.13</v>
      </c>
    </row>
    <row r="93" spans="1:4" x14ac:dyDescent="0.15">
      <c r="A93" s="234">
        <v>525</v>
      </c>
      <c r="B93" s="241">
        <f>B92+D93</f>
        <v>55.79</v>
      </c>
      <c r="D93">
        <v>0.11</v>
      </c>
    </row>
    <row r="94" spans="1:4" x14ac:dyDescent="0.15">
      <c r="A94" s="234">
        <v>530</v>
      </c>
      <c r="B94" s="241">
        <f>B93+D94</f>
        <v>55.87</v>
      </c>
      <c r="D94">
        <v>0.08</v>
      </c>
    </row>
    <row r="95" spans="1:4" x14ac:dyDescent="0.15">
      <c r="A95" s="234">
        <v>535</v>
      </c>
      <c r="B95" s="241">
        <f>B94+D95</f>
        <v>55.94</v>
      </c>
      <c r="D95">
        <v>7.0000000000000007E-2</v>
      </c>
    </row>
    <row r="96" spans="1:4" x14ac:dyDescent="0.15">
      <c r="A96" s="234">
        <v>540</v>
      </c>
      <c r="B96" s="246">
        <f>F71</f>
        <v>57.46</v>
      </c>
      <c r="C96" s="242">
        <f>B100-B96</f>
        <v>2.0600000000000023</v>
      </c>
      <c r="D96" s="242">
        <f>C96/4</f>
        <v>0.51500000000000057</v>
      </c>
    </row>
    <row r="97" spans="1:4" x14ac:dyDescent="0.15">
      <c r="A97" s="234">
        <v>555</v>
      </c>
      <c r="B97" s="241">
        <f>B96+D97</f>
        <v>57.65</v>
      </c>
      <c r="D97">
        <v>0.19</v>
      </c>
    </row>
    <row r="98" spans="1:4" x14ac:dyDescent="0.15">
      <c r="A98" s="234">
        <v>570</v>
      </c>
      <c r="B98" s="241">
        <f>B97+D98</f>
        <v>57.809999999999995</v>
      </c>
      <c r="D98">
        <v>0.16</v>
      </c>
    </row>
    <row r="99" spans="1:4" x14ac:dyDescent="0.15">
      <c r="A99" s="234">
        <v>585</v>
      </c>
      <c r="B99" s="241">
        <f>B98+D99</f>
        <v>57.949999999999996</v>
      </c>
      <c r="D99">
        <v>0.14000000000000001</v>
      </c>
    </row>
    <row r="100" spans="1:4" x14ac:dyDescent="0.15">
      <c r="A100" s="236">
        <v>600</v>
      </c>
      <c r="B100" s="209">
        <f>F72</f>
        <v>59.52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zoomScaleNormal="100" workbookViewId="0">
      <selection activeCell="P35" sqref="P35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152.375</v>
      </c>
      <c r="F1" s="237"/>
      <c r="G1" s="237">
        <f>E1/E2</f>
        <v>0.87908653846153839</v>
      </c>
    </row>
    <row r="2" spans="1:19" x14ac:dyDescent="0.15">
      <c r="A2" s="47" t="s">
        <v>186</v>
      </c>
      <c r="B2" s="47" t="s">
        <v>187</v>
      </c>
      <c r="D2" s="20">
        <f>D19</f>
        <v>291</v>
      </c>
      <c r="E2" s="237">
        <f>M51/3</f>
        <v>173.33333333333334</v>
      </c>
      <c r="F2" s="282" t="s">
        <v>189</v>
      </c>
      <c r="G2" s="281" t="s">
        <v>222</v>
      </c>
    </row>
    <row r="3" spans="1:19" x14ac:dyDescent="0.15">
      <c r="A3" s="185">
        <f>B3+$M$48</f>
        <v>33.97</v>
      </c>
      <c r="B3" s="284">
        <f>B20</f>
        <v>21.97</v>
      </c>
      <c r="C3" s="19"/>
      <c r="D3" s="283">
        <f t="shared" ref="D3:D7" si="0">D20</f>
        <v>324</v>
      </c>
      <c r="E3" s="17">
        <f>D3/12</f>
        <v>27</v>
      </c>
      <c r="F3" s="21">
        <f>INT(B3/D3*1000)/1000</f>
        <v>6.7000000000000004E-2</v>
      </c>
      <c r="G3" s="21">
        <f>1/F3</f>
        <v>14.925373134328357</v>
      </c>
    </row>
    <row r="4" spans="1:19" x14ac:dyDescent="0.15">
      <c r="A4" s="185">
        <f>B4+$M$48</f>
        <v>41.3</v>
      </c>
      <c r="B4" s="19">
        <f>B21</f>
        <v>29.3</v>
      </c>
      <c r="C4" s="19"/>
      <c r="D4" s="20">
        <f t="shared" si="0"/>
        <v>413</v>
      </c>
      <c r="E4" s="17">
        <f>D4/12</f>
        <v>34.416666666666664</v>
      </c>
      <c r="F4" s="21">
        <f>INT(B4/D4*1000)/1000</f>
        <v>7.0000000000000007E-2</v>
      </c>
      <c r="G4" s="21">
        <f t="shared" ref="G4:G7" si="1">1/F4</f>
        <v>14.285714285714285</v>
      </c>
    </row>
    <row r="5" spans="1:19" x14ac:dyDescent="0.15">
      <c r="A5" s="185">
        <f>B5+$M$48</f>
        <v>49.54</v>
      </c>
      <c r="B5" s="19">
        <f>B22</f>
        <v>37.54</v>
      </c>
      <c r="C5" s="19"/>
      <c r="D5" s="20">
        <f t="shared" si="0"/>
        <v>501.5</v>
      </c>
      <c r="E5" s="17">
        <f>D5/12</f>
        <v>41.791666666666664</v>
      </c>
      <c r="F5" s="21">
        <f>INT(B5/D5*1000)/1000</f>
        <v>7.3999999999999996E-2</v>
      </c>
      <c r="G5" s="21">
        <f t="shared" si="1"/>
        <v>13.513513513513514</v>
      </c>
    </row>
    <row r="6" spans="1:19" x14ac:dyDescent="0.15">
      <c r="A6" s="185">
        <f>B6+$M$48</f>
        <v>57.79</v>
      </c>
      <c r="B6" s="284">
        <f>B23</f>
        <v>45.79</v>
      </c>
      <c r="C6" s="19"/>
      <c r="D6" s="17">
        <f t="shared" si="0"/>
        <v>590</v>
      </c>
      <c r="E6" s="17">
        <f>D6/12</f>
        <v>49.166666666666664</v>
      </c>
      <c r="F6" s="21">
        <f>INT(B6/D6*1000)/1000</f>
        <v>7.6999999999999999E-2</v>
      </c>
      <c r="G6" s="21">
        <f t="shared" si="1"/>
        <v>12.987012987012987</v>
      </c>
    </row>
    <row r="7" spans="1:19" x14ac:dyDescent="0.15">
      <c r="A7" s="185">
        <f>B7+$M$48</f>
        <v>71.52000000000001</v>
      </c>
      <c r="B7" s="19">
        <f>B24</f>
        <v>59.52</v>
      </c>
      <c r="C7" s="19"/>
      <c r="D7" s="20">
        <f t="shared" si="0"/>
        <v>678.5</v>
      </c>
      <c r="E7" s="17">
        <f>D7/12</f>
        <v>56.541666666666664</v>
      </c>
      <c r="F7" s="21">
        <f>INT(B7/D7*1000)/1000</f>
        <v>8.6999999999999994E-2</v>
      </c>
      <c r="G7" s="21">
        <f t="shared" si="1"/>
        <v>11.494252873563219</v>
      </c>
    </row>
    <row r="8" spans="1:19" x14ac:dyDescent="0.15">
      <c r="B8" s="17" t="s">
        <v>0</v>
      </c>
      <c r="E8" s="443" t="s">
        <v>124</v>
      </c>
      <c r="F8" s="443"/>
      <c r="G8" s="443"/>
    </row>
    <row r="9" spans="1:19" x14ac:dyDescent="0.15">
      <c r="A9" s="280" t="s">
        <v>194</v>
      </c>
      <c r="B9" s="280" t="s">
        <v>195</v>
      </c>
      <c r="E9" s="92">
        <v>1</v>
      </c>
      <c r="F9" s="444" t="s">
        <v>114</v>
      </c>
      <c r="G9" s="444"/>
    </row>
    <row r="10" spans="1:19" x14ac:dyDescent="0.15">
      <c r="A10" s="279">
        <f>D20/B20</f>
        <v>14.747382794720073</v>
      </c>
      <c r="B10" s="279">
        <f>B20/D20</f>
        <v>6.7808641975308642E-2</v>
      </c>
      <c r="E10" s="92">
        <v>1</v>
      </c>
      <c r="F10" s="444" t="s">
        <v>115</v>
      </c>
      <c r="G10" s="444"/>
    </row>
    <row r="11" spans="1:19" x14ac:dyDescent="0.15">
      <c r="A11" s="279">
        <f t="shared" ref="A11:A14" si="2">D21/B21</f>
        <v>14.095563139931741</v>
      </c>
      <c r="B11" s="279">
        <f t="shared" ref="B11:B14" si="3">B21/D21</f>
        <v>7.0944309927360782E-2</v>
      </c>
      <c r="D11" s="17" t="s">
        <v>0</v>
      </c>
      <c r="E11" s="92">
        <v>1</v>
      </c>
      <c r="F11" s="444" t="s">
        <v>116</v>
      </c>
      <c r="G11" s="444"/>
    </row>
    <row r="12" spans="1:19" x14ac:dyDescent="0.15">
      <c r="A12" s="279">
        <f t="shared" si="2"/>
        <v>13.359083644112946</v>
      </c>
      <c r="B12" s="279">
        <f t="shared" si="3"/>
        <v>7.4855433698903295E-2</v>
      </c>
      <c r="E12" s="92">
        <v>1</v>
      </c>
      <c r="F12" s="444" t="s">
        <v>117</v>
      </c>
      <c r="G12" s="444"/>
    </row>
    <row r="13" spans="1:19" x14ac:dyDescent="0.15">
      <c r="A13" s="279">
        <f t="shared" si="2"/>
        <v>12.88490936885783</v>
      </c>
      <c r="B13" s="279">
        <f t="shared" si="3"/>
        <v>7.7610169491525424E-2</v>
      </c>
      <c r="D13" s="17" t="s">
        <v>0</v>
      </c>
      <c r="E13" s="443" t="s">
        <v>123</v>
      </c>
      <c r="F13" s="443"/>
      <c r="G13" s="443"/>
    </row>
    <row r="14" spans="1:19" x14ac:dyDescent="0.15">
      <c r="A14" s="279">
        <f t="shared" si="2"/>
        <v>11.399529569892472</v>
      </c>
      <c r="B14" s="279">
        <f t="shared" si="3"/>
        <v>8.7722918201915995E-2</v>
      </c>
      <c r="E14" s="93">
        <v>1</v>
      </c>
      <c r="F14" s="444" t="s">
        <v>114</v>
      </c>
      <c r="G14" s="444"/>
    </row>
    <row r="15" spans="1:19" x14ac:dyDescent="0.15">
      <c r="E15" s="93">
        <v>1</v>
      </c>
      <c r="F15" s="444" t="s">
        <v>115</v>
      </c>
      <c r="G15" s="444"/>
    </row>
    <row r="16" spans="1:19" x14ac:dyDescent="0.15">
      <c r="B16" s="38" t="s">
        <v>121</v>
      </c>
      <c r="D16" s="82" t="s">
        <v>122</v>
      </c>
      <c r="E16" s="93">
        <v>1</v>
      </c>
      <c r="F16" s="444" t="s">
        <v>116</v>
      </c>
      <c r="G16" s="444"/>
      <c r="R16" s="18">
        <v>0.128</v>
      </c>
      <c r="S16" s="18">
        <f>ROUNDDOWN(R16,1)</f>
        <v>0.1</v>
      </c>
    </row>
    <row r="17" spans="1:21" x14ac:dyDescent="0.15">
      <c r="B17" s="88">
        <f>M52</f>
        <v>45.79</v>
      </c>
      <c r="D17" s="91">
        <f>M47</f>
        <v>590</v>
      </c>
      <c r="E17" s="93">
        <v>1</v>
      </c>
      <c r="F17" s="444" t="s">
        <v>117</v>
      </c>
      <c r="G17" s="444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291</v>
      </c>
      <c r="F19" s="19"/>
      <c r="G19" s="19"/>
    </row>
    <row r="20" spans="1:21" x14ac:dyDescent="0.15">
      <c r="A20" s="259" t="s">
        <v>188</v>
      </c>
      <c r="B20" s="89">
        <f>INT(B$17*C20*100)/100</f>
        <v>21.97</v>
      </c>
      <c r="C20" s="17">
        <f>0.48*E9</f>
        <v>0.48</v>
      </c>
      <c r="D20" s="86">
        <f>INT(D$17*E20)</f>
        <v>324</v>
      </c>
      <c r="E20" s="17">
        <f>0.55*E14</f>
        <v>0.55000000000000004</v>
      </c>
      <c r="F20" s="21">
        <f>B20/D20</f>
        <v>6.7808641975308642E-2</v>
      </c>
      <c r="G20" s="17">
        <f>F20-F19</f>
        <v>6.7808641975308642E-2</v>
      </c>
    </row>
    <row r="21" spans="1:21" x14ac:dyDescent="0.15">
      <c r="A21" s="19">
        <f>B21-B20</f>
        <v>7.3300000000000018</v>
      </c>
      <c r="B21" s="89">
        <f>INT(B$17*C21*100)/100</f>
        <v>29.3</v>
      </c>
      <c r="C21" s="17">
        <f>0.64*E10</f>
        <v>0.64</v>
      </c>
      <c r="D21" s="86">
        <f>INT(D$17*E21)</f>
        <v>413</v>
      </c>
      <c r="E21" s="17">
        <f>0.7*E15</f>
        <v>0.7</v>
      </c>
      <c r="F21" s="21">
        <f>B21/D21</f>
        <v>7.0944309927360782E-2</v>
      </c>
      <c r="G21" s="17">
        <f>F21-F20</f>
        <v>3.1356679520521402E-3</v>
      </c>
      <c r="N21" s="114" t="s">
        <v>135</v>
      </c>
      <c r="O21" s="418" t="s">
        <v>126</v>
      </c>
      <c r="P21" s="418"/>
      <c r="Q21" s="418" t="s">
        <v>129</v>
      </c>
      <c r="R21" s="418"/>
      <c r="S21" s="418" t="s">
        <v>131</v>
      </c>
      <c r="T21" s="418"/>
      <c r="U21" s="100" t="s">
        <v>132</v>
      </c>
    </row>
    <row r="22" spans="1:21" x14ac:dyDescent="0.15">
      <c r="A22" s="19">
        <f>B22-B21</f>
        <v>8.2399999999999984</v>
      </c>
      <c r="B22" s="89">
        <f>INT(B$17*C22*100)/100</f>
        <v>37.54</v>
      </c>
      <c r="C22" s="17">
        <f>0.82*E11</f>
        <v>0.82</v>
      </c>
      <c r="D22" s="87">
        <f>(D$17*E22)</f>
        <v>501.5</v>
      </c>
      <c r="E22" s="17">
        <f>0.85*E16</f>
        <v>0.85</v>
      </c>
      <c r="F22" s="21">
        <f>B22/D22</f>
        <v>7.4855433698903295E-2</v>
      </c>
      <c r="G22" s="17">
        <f>F22-F21</f>
        <v>3.9111237715425129E-3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8.25</v>
      </c>
      <c r="B23" s="89">
        <f>INT(B$17*C23*100)/100</f>
        <v>45.79</v>
      </c>
      <c r="C23" s="17">
        <v>1</v>
      </c>
      <c r="D23" s="86">
        <f>D$17*E23</f>
        <v>590</v>
      </c>
      <c r="E23" s="17">
        <v>1</v>
      </c>
      <c r="F23" s="21">
        <f>B23/D23</f>
        <v>7.7610169491525424E-2</v>
      </c>
      <c r="G23" s="17">
        <f>F23-F22</f>
        <v>2.7547357926221289E-3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13.730000000000004</v>
      </c>
      <c r="B24" s="89">
        <f>INT(B$17*C24*100)/100</f>
        <v>59.52</v>
      </c>
      <c r="C24" s="17">
        <f>1.3*E12</f>
        <v>1.3</v>
      </c>
      <c r="D24" s="86">
        <f>D$17*E24</f>
        <v>678.5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8.7722918201915995E-2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16" t="s">
        <v>118</v>
      </c>
      <c r="B26" s="416"/>
      <c r="C26" s="84">
        <f>INT(M51*1)</f>
        <v>520</v>
      </c>
      <c r="F26" s="184">
        <f>M50/M51</f>
        <v>9.8942307692307704E-2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16" t="s">
        <v>119</v>
      </c>
      <c r="B27" s="416"/>
      <c r="C27" s="85">
        <f>가채수량!B7</f>
        <v>528.65466383895409</v>
      </c>
      <c r="D27" s="19">
        <f>(C27/D6)*100</f>
        <v>89.602485396432897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3.7599999999999999E-5</v>
      </c>
      <c r="B31" s="32">
        <v>5.5625399999999998E-2</v>
      </c>
      <c r="D31" s="20">
        <f t="shared" ref="D31:D36" si="4">D19</f>
        <v>291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3.7599999999999999E-5</v>
      </c>
      <c r="B32" s="17">
        <f t="shared" si="5"/>
        <v>5.5625399999999998E-2</v>
      </c>
      <c r="D32" s="20">
        <f t="shared" si="4"/>
        <v>324</v>
      </c>
      <c r="F32" s="23">
        <f>B32*D32/(B32*D32+A32*D32*D32)*100</f>
        <v>82.033925300629136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3.7599999999999999E-5</v>
      </c>
      <c r="B33" s="17">
        <f t="shared" si="5"/>
        <v>5.5625399999999998E-2</v>
      </c>
      <c r="D33" s="20">
        <f t="shared" si="4"/>
        <v>413</v>
      </c>
      <c r="F33" s="23">
        <f>B33*D33/(B33*D33+A33*D33*D33)*100</f>
        <v>78.175849071453257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3.7599999999999999E-5</v>
      </c>
      <c r="B34" s="17">
        <f t="shared" si="5"/>
        <v>5.5625399999999998E-2</v>
      </c>
      <c r="D34" s="20">
        <f t="shared" si="4"/>
        <v>501.5</v>
      </c>
      <c r="F34" s="23">
        <f>B34*D34/(B34*D34+A34*D34*D34)*100</f>
        <v>74.683211200588602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3.7599999999999999E-5</v>
      </c>
      <c r="B35" s="17">
        <f>B34</f>
        <v>5.5625399999999998E-2</v>
      </c>
      <c r="D35" s="20">
        <f t="shared" si="4"/>
        <v>590</v>
      </c>
      <c r="F35" s="23">
        <f>B35*D35/(B35*D35+A35*D35*D35)*100</f>
        <v>71.489305919336218</v>
      </c>
      <c r="G35" s="23"/>
    </row>
    <row r="36" spans="1:21" x14ac:dyDescent="0.15">
      <c r="D36" s="20">
        <f t="shared" si="4"/>
        <v>678.5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76.5955728730018</v>
      </c>
      <c r="P37" s="18">
        <v>3.7599999999999999E-5</v>
      </c>
      <c r="Q37" s="18">
        <v>0.04</v>
      </c>
    </row>
    <row r="38" spans="1:21" x14ac:dyDescent="0.15">
      <c r="A38" s="46">
        <v>73.91</v>
      </c>
      <c r="B38" s="47">
        <v>0.04</v>
      </c>
      <c r="C38" s="47">
        <v>94.71</v>
      </c>
      <c r="E38" s="17" t="s">
        <v>33</v>
      </c>
      <c r="P38" s="18">
        <v>5.5625399999999998E-2</v>
      </c>
      <c r="Q38" s="18">
        <v>94.71</v>
      </c>
    </row>
    <row r="39" spans="1:21" x14ac:dyDescent="0.15">
      <c r="A39" s="24"/>
      <c r="B39" s="25" t="s">
        <v>34</v>
      </c>
      <c r="C39" s="19">
        <f>(C38-A38)/B38</f>
        <v>519.99999999999989</v>
      </c>
      <c r="D39" s="17">
        <f>C38-B38*M51</f>
        <v>73.91</v>
      </c>
    </row>
    <row r="40" spans="1:21" x14ac:dyDescent="0.15">
      <c r="A40" s="24" t="s">
        <v>35</v>
      </c>
      <c r="B40" s="25" t="s">
        <v>34</v>
      </c>
      <c r="C40" s="17">
        <f>INT(C39)</f>
        <v>520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13.608000000000001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29" t="s">
        <v>238</v>
      </c>
      <c r="J44" s="430"/>
      <c r="K44" s="431"/>
      <c r="L44" s="374" t="s">
        <v>59</v>
      </c>
      <c r="M44" s="375">
        <v>250</v>
      </c>
      <c r="N44" s="374" t="s">
        <v>185</v>
      </c>
      <c r="Q44" s="364">
        <v>324</v>
      </c>
      <c r="R44" s="401">
        <v>33.97</v>
      </c>
      <c r="S44" s="401">
        <v>21.97</v>
      </c>
      <c r="T44" s="354">
        <v>14.925373134328357</v>
      </c>
      <c r="U44" s="18">
        <v>6.7000000000000004E-2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239</v>
      </c>
      <c r="J45" s="377"/>
      <c r="K45" s="375"/>
      <c r="L45" s="374" t="s">
        <v>60</v>
      </c>
      <c r="M45" s="375">
        <v>100</v>
      </c>
      <c r="N45" s="375">
        <f>M44</f>
        <v>250</v>
      </c>
      <c r="Q45" s="364">
        <v>413</v>
      </c>
      <c r="R45" s="401">
        <v>41.3</v>
      </c>
      <c r="S45" s="401">
        <v>29.3</v>
      </c>
      <c r="T45" s="354">
        <v>14.285714285714285</v>
      </c>
      <c r="U45" s="18">
        <v>7.0000000000000007E-2</v>
      </c>
    </row>
    <row r="46" spans="1:21" ht="16.5" x14ac:dyDescent="0.3">
      <c r="A46" s="17">
        <f>B34</f>
        <v>5.5625399999999998E-2</v>
      </c>
      <c r="B46" s="22" t="s">
        <v>36</v>
      </c>
      <c r="C46" s="425" t="s">
        <v>29</v>
      </c>
      <c r="D46" s="425"/>
      <c r="H46" s="373" t="s">
        <v>55</v>
      </c>
      <c r="I46" s="375" t="s">
        <v>241</v>
      </c>
      <c r="J46" s="377"/>
      <c r="K46" s="375"/>
      <c r="L46" s="374" t="s">
        <v>61</v>
      </c>
      <c r="M46" s="378">
        <f>IF(I52&gt;M48, M45-I52,M45-M48)</f>
        <v>80</v>
      </c>
      <c r="N46" s="379"/>
      <c r="Q46" s="364">
        <v>502</v>
      </c>
      <c r="R46" s="401">
        <v>49.54</v>
      </c>
      <c r="S46" s="401">
        <v>37.54</v>
      </c>
      <c r="T46" s="354">
        <v>13.513513513513514</v>
      </c>
      <c r="U46" s="18">
        <v>7.3999999999999996E-2</v>
      </c>
    </row>
    <row r="47" spans="1:21" ht="16.5" x14ac:dyDescent="0.3">
      <c r="A47" s="17">
        <f>120/1440</f>
        <v>8.3333333333333329E-2</v>
      </c>
      <c r="B47" s="22" t="s">
        <v>24</v>
      </c>
      <c r="C47" s="425" t="s">
        <v>28</v>
      </c>
      <c r="D47" s="425"/>
      <c r="H47" s="373" t="s">
        <v>56</v>
      </c>
      <c r="I47" s="375" t="s">
        <v>240</v>
      </c>
      <c r="J47" s="377"/>
      <c r="K47" s="375"/>
      <c r="L47" s="374" t="s">
        <v>62</v>
      </c>
      <c r="M47" s="380">
        <f>INT((M51*100)/M53)</f>
        <v>590</v>
      </c>
      <c r="N47" s="379"/>
      <c r="Q47" s="364">
        <v>590</v>
      </c>
      <c r="R47" s="401">
        <v>57.79</v>
      </c>
      <c r="S47" s="401">
        <v>45.79</v>
      </c>
      <c r="T47" s="354">
        <v>12.987012987012987</v>
      </c>
      <c r="U47" s="18">
        <v>7.6999999999999999E-2</v>
      </c>
    </row>
    <row r="48" spans="1:21" ht="16.5" x14ac:dyDescent="0.3">
      <c r="B48" s="22"/>
      <c r="H48" s="373" t="s">
        <v>57</v>
      </c>
      <c r="I48" s="375">
        <v>3</v>
      </c>
      <c r="J48" s="428" t="s">
        <v>256</v>
      </c>
      <c r="K48" s="428"/>
      <c r="L48" s="381" t="s">
        <v>63</v>
      </c>
      <c r="M48" s="382">
        <v>12</v>
      </c>
      <c r="N48" s="379"/>
      <c r="Q48" s="364">
        <v>678</v>
      </c>
      <c r="R48" s="401">
        <v>71.52000000000001</v>
      </c>
      <c r="S48" s="401">
        <v>59.52</v>
      </c>
      <c r="T48" s="354">
        <v>11.494252873563219</v>
      </c>
      <c r="U48" s="18">
        <v>8.6999999999999994E-2</v>
      </c>
    </row>
    <row r="49" spans="1:17" ht="16.5" x14ac:dyDescent="0.3">
      <c r="A49" s="25" t="s">
        <v>37</v>
      </c>
      <c r="B49" s="21">
        <f>INT(SQRT(B54)*1000)/1000</f>
        <v>13.693</v>
      </c>
      <c r="C49" s="22" t="s">
        <v>38</v>
      </c>
      <c r="D49" s="27" t="s">
        <v>18</v>
      </c>
      <c r="H49" s="419" t="s">
        <v>58</v>
      </c>
      <c r="I49" s="427" t="str">
        <f>I45</f>
        <v>개화지구</v>
      </c>
      <c r="J49" s="427"/>
      <c r="K49" s="427"/>
      <c r="L49" s="374" t="s">
        <v>64</v>
      </c>
      <c r="M49" s="382">
        <v>63.45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20"/>
      <c r="I50" s="427"/>
      <c r="J50" s="427"/>
      <c r="K50" s="427"/>
      <c r="L50" s="374" t="s">
        <v>65</v>
      </c>
      <c r="M50" s="383">
        <f>M49-M48</f>
        <v>51.45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1"/>
      <c r="I51" s="422" t="s">
        <v>113</v>
      </c>
      <c r="J51" s="423"/>
      <c r="K51" s="424"/>
      <c r="L51" s="384" t="s">
        <v>106</v>
      </c>
      <c r="M51" s="404">
        <v>520</v>
      </c>
      <c r="N51" s="379"/>
      <c r="Q51" s="18">
        <v>324</v>
      </c>
    </row>
    <row r="52" spans="1:17" ht="16.5" x14ac:dyDescent="0.3">
      <c r="A52" s="28" t="s">
        <v>41</v>
      </c>
      <c r="B52" s="17">
        <f>INT(10^((INT(5.46*A44*A46*1000))/1000)*1000)/1000</f>
        <v>4.0449999999999999</v>
      </c>
      <c r="C52" s="17">
        <f>INT(B52*B51*1000)/1000</f>
        <v>2E-3</v>
      </c>
      <c r="H52" s="385" t="s">
        <v>96</v>
      </c>
      <c r="I52" s="386">
        <v>20</v>
      </c>
      <c r="J52" s="385" t="s">
        <v>97</v>
      </c>
      <c r="K52" s="386">
        <v>0</v>
      </c>
      <c r="L52" s="387" t="s">
        <v>66</v>
      </c>
      <c r="M52" s="378">
        <f>INT(M50*0.89*100)/100</f>
        <v>45.79</v>
      </c>
      <c r="N52" s="388"/>
      <c r="Q52" s="18">
        <v>413</v>
      </c>
    </row>
    <row r="53" spans="1:17" ht="16.5" x14ac:dyDescent="0.3">
      <c r="H53" s="379"/>
      <c r="I53" s="417" t="s">
        <v>120</v>
      </c>
      <c r="J53" s="417"/>
      <c r="K53" s="417"/>
      <c r="L53" s="417"/>
      <c r="M53" s="389">
        <v>88</v>
      </c>
      <c r="N53" s="379"/>
      <c r="Q53" s="18">
        <v>502</v>
      </c>
    </row>
    <row r="54" spans="1:17" ht="18.75" customHeight="1" x14ac:dyDescent="0.15">
      <c r="A54" s="25" t="s">
        <v>40</v>
      </c>
      <c r="B54" s="17">
        <f>INT(C50/C52*1000)/1000</f>
        <v>187.5</v>
      </c>
      <c r="H54" s="365" t="s">
        <v>242</v>
      </c>
      <c r="I54" s="397" t="s">
        <v>243</v>
      </c>
      <c r="Q54" s="18">
        <v>590</v>
      </c>
    </row>
    <row r="55" spans="1:17" x14ac:dyDescent="0.15">
      <c r="A55" s="25"/>
      <c r="Q55" s="18">
        <v>678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38" t="s">
        <v>76</v>
      </c>
      <c r="E57" s="438"/>
      <c r="F57" s="438" t="s">
        <v>53</v>
      </c>
      <c r="G57" s="440"/>
      <c r="H57" s="48" t="s">
        <v>176</v>
      </c>
      <c r="I57" s="238">
        <f>M50</f>
        <v>51.45</v>
      </c>
      <c r="J57" s="43" t="s">
        <v>67</v>
      </c>
      <c r="K57" s="48" t="s">
        <v>68</v>
      </c>
      <c r="L57" s="426" t="s">
        <v>73</v>
      </c>
      <c r="M57" s="426"/>
      <c r="Q57" s="18">
        <v>33.97</v>
      </c>
    </row>
    <row r="58" spans="1:17" x14ac:dyDescent="0.15">
      <c r="A58" s="38" t="s">
        <v>47</v>
      </c>
      <c r="B58" s="39">
        <v>2</v>
      </c>
      <c r="C58" s="38"/>
      <c r="D58" s="438">
        <v>0.22439999999999999</v>
      </c>
      <c r="E58" s="438"/>
      <c r="F58" s="438"/>
      <c r="G58" s="440"/>
      <c r="H58" s="48" t="s">
        <v>177</v>
      </c>
      <c r="I58" s="239">
        <f>C62/M46</f>
        <v>5.4587499999999997E-2</v>
      </c>
      <c r="J58" s="49" t="s">
        <v>69</v>
      </c>
      <c r="K58" s="50">
        <f>INT((6*I57*I58*I60/I59)^0.5)</f>
        <v>188</v>
      </c>
      <c r="L58" s="48" t="s">
        <v>74</v>
      </c>
      <c r="M58" s="48" t="s">
        <v>75</v>
      </c>
      <c r="Q58" s="18">
        <v>41.3</v>
      </c>
    </row>
    <row r="59" spans="1:17" x14ac:dyDescent="0.15">
      <c r="A59" s="38" t="s">
        <v>48</v>
      </c>
      <c r="B59" s="39">
        <v>4.7770000000000001</v>
      </c>
      <c r="C59" s="437">
        <f>B59</f>
        <v>4.7770000000000001</v>
      </c>
      <c r="D59" s="441">
        <v>3.366E-4</v>
      </c>
      <c r="E59" s="442"/>
      <c r="F59" s="433">
        <f>INT((D59+D60)/1*10000000)/10000000</f>
        <v>3.366E-4</v>
      </c>
      <c r="G59" s="434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230</v>
      </c>
      <c r="L59" s="50"/>
      <c r="M59" s="50"/>
      <c r="Q59" s="18">
        <v>49.54</v>
      </c>
    </row>
    <row r="60" spans="1:17" x14ac:dyDescent="0.15">
      <c r="A60" s="38" t="s">
        <v>49</v>
      </c>
      <c r="B60" s="39"/>
      <c r="C60" s="437"/>
      <c r="D60" s="441"/>
      <c r="E60" s="442"/>
      <c r="F60" s="435"/>
      <c r="G60" s="436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57.79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38"/>
      <c r="E61" s="438"/>
      <c r="F61" s="438"/>
      <c r="G61" s="440"/>
      <c r="H61" s="48" t="s">
        <v>16</v>
      </c>
      <c r="I61" s="43">
        <f>C62</f>
        <v>4.367</v>
      </c>
      <c r="J61" s="49" t="s">
        <v>72</v>
      </c>
      <c r="K61" s="50">
        <f>((K58+K59+K60)/3)</f>
        <v>187.2639664215296</v>
      </c>
      <c r="L61" s="52"/>
      <c r="M61" s="44"/>
      <c r="Q61" s="18">
        <v>71.52000000000001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39"/>
      <c r="E62" s="439"/>
      <c r="F62" s="432">
        <f>F59</f>
        <v>3.366E-4</v>
      </c>
      <c r="G62" s="432"/>
      <c r="H62" s="49" t="s">
        <v>77</v>
      </c>
      <c r="I62" s="44">
        <v>70.33</v>
      </c>
      <c r="J62" s="49" t="s">
        <v>178</v>
      </c>
      <c r="K62" s="240">
        <f>MAX(K58:K60)</f>
        <v>230</v>
      </c>
      <c r="L62" s="52"/>
      <c r="M62" s="45"/>
    </row>
    <row r="63" spans="1:17" x14ac:dyDescent="0.15">
      <c r="Q63" s="18">
        <v>21.97</v>
      </c>
    </row>
    <row r="64" spans="1:17" x14ac:dyDescent="0.15">
      <c r="Q64" s="18">
        <v>29.3</v>
      </c>
    </row>
    <row r="65" spans="17:17" x14ac:dyDescent="0.15">
      <c r="Q65" s="18">
        <v>37.54</v>
      </c>
    </row>
    <row r="66" spans="17:17" x14ac:dyDescent="0.15">
      <c r="Q66" s="18">
        <v>45.79</v>
      </c>
    </row>
    <row r="67" spans="17:17" x14ac:dyDescent="0.15">
      <c r="Q67" s="18">
        <v>59.52</v>
      </c>
    </row>
    <row r="69" spans="17:17" x14ac:dyDescent="0.15">
      <c r="Q69" s="354">
        <v>14.925373134328357</v>
      </c>
    </row>
    <row r="70" spans="17:17" x14ac:dyDescent="0.15">
      <c r="Q70" s="354">
        <v>14.285714285714285</v>
      </c>
    </row>
    <row r="71" spans="17:17" x14ac:dyDescent="0.15">
      <c r="Q71" s="354">
        <v>13.513513513513514</v>
      </c>
    </row>
    <row r="72" spans="17:17" x14ac:dyDescent="0.15">
      <c r="Q72" s="354">
        <v>12.987012987012987</v>
      </c>
    </row>
    <row r="73" spans="17:17" x14ac:dyDescent="0.15">
      <c r="Q73" s="354">
        <v>11.494252873563219</v>
      </c>
    </row>
    <row r="75" spans="17:17" x14ac:dyDescent="0.15">
      <c r="Q75" s="18">
        <v>6.7000000000000004E-2</v>
      </c>
    </row>
    <row r="76" spans="17:17" x14ac:dyDescent="0.15">
      <c r="Q76" s="18">
        <v>7.0000000000000007E-2</v>
      </c>
    </row>
    <row r="77" spans="17:17" x14ac:dyDescent="0.15">
      <c r="Q77" s="18">
        <v>7.3999999999999996E-2</v>
      </c>
    </row>
    <row r="78" spans="17:17" x14ac:dyDescent="0.15">
      <c r="Q78" s="18">
        <v>7.6999999999999999E-2</v>
      </c>
    </row>
    <row r="79" spans="17:17" x14ac:dyDescent="0.15">
      <c r="Q79" s="18">
        <v>8.6999999999999994E-2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8" customWidth="1"/>
    <col min="3" max="3" width="13.109375" style="398" customWidth="1"/>
    <col min="4" max="4" width="14.6640625" style="398" customWidth="1"/>
    <col min="5" max="5" width="10.5546875" style="398" customWidth="1"/>
    <col min="6" max="16384" width="8.88671875" style="398"/>
  </cols>
  <sheetData>
    <row r="3" spans="3:6" ht="18" customHeight="1" x14ac:dyDescent="0.15">
      <c r="C3" s="399" t="s">
        <v>57</v>
      </c>
      <c r="D3" s="399" t="s">
        <v>242</v>
      </c>
      <c r="E3" s="399" t="s">
        <v>249</v>
      </c>
      <c r="F3" s="399" t="s">
        <v>59</v>
      </c>
    </row>
    <row r="4" spans="3:6" ht="18" customHeight="1" x14ac:dyDescent="0.15">
      <c r="C4" s="398">
        <v>1</v>
      </c>
      <c r="D4" s="400" t="s">
        <v>244</v>
      </c>
      <c r="E4" s="398" t="s">
        <v>243</v>
      </c>
      <c r="F4" s="398">
        <v>150</v>
      </c>
    </row>
    <row r="5" spans="3:6" ht="18" customHeight="1" x14ac:dyDescent="0.15">
      <c r="C5" s="398">
        <v>2</v>
      </c>
      <c r="D5" s="398" t="s">
        <v>245</v>
      </c>
      <c r="E5" s="398" t="s">
        <v>250</v>
      </c>
      <c r="F5" s="398">
        <v>200</v>
      </c>
    </row>
    <row r="6" spans="3:6" ht="18" customHeight="1" x14ac:dyDescent="0.15">
      <c r="C6" s="398">
        <v>3</v>
      </c>
      <c r="D6" s="398" t="s">
        <v>246</v>
      </c>
      <c r="E6" s="398" t="s">
        <v>251</v>
      </c>
      <c r="F6" s="398">
        <v>250</v>
      </c>
    </row>
    <row r="7" spans="3:6" ht="18" customHeight="1" x14ac:dyDescent="0.15">
      <c r="C7" s="398">
        <v>5</v>
      </c>
      <c r="D7" s="398" t="s">
        <v>247</v>
      </c>
      <c r="E7" s="398" t="s">
        <v>252</v>
      </c>
    </row>
    <row r="8" spans="3:6" ht="18" customHeight="1" x14ac:dyDescent="0.15">
      <c r="C8" s="398">
        <v>7.5</v>
      </c>
      <c r="D8" s="398" t="s">
        <v>248</v>
      </c>
      <c r="E8" s="398" t="s">
        <v>253</v>
      </c>
    </row>
    <row r="9" spans="3:6" ht="18" customHeight="1" x14ac:dyDescent="0.15">
      <c r="C9" s="398">
        <v>10</v>
      </c>
    </row>
    <row r="10" spans="3:6" ht="18" customHeight="1" x14ac:dyDescent="0.15">
      <c r="C10" s="398">
        <v>20</v>
      </c>
    </row>
    <row r="11" spans="3:6" ht="18" customHeight="1" x14ac:dyDescent="0.15">
      <c r="C11" s="398">
        <v>30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>
      <selection activeCell="N16" sqref="N16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개화지구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- 1</v>
      </c>
      <c r="C3" s="290" t="str">
        <f>입력표!I46</f>
        <v>충청남도 보령시 성주면 개화리 산 52-5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7.3566876996662387</v>
      </c>
      <c r="C5" s="294">
        <f>장기양수시험!B10</f>
        <v>520</v>
      </c>
      <c r="D5" s="360">
        <v>4.5900999999999996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12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0.40801956830231484</v>
      </c>
      <c r="D7" s="304" t="s">
        <v>202</v>
      </c>
      <c r="E7" s="303">
        <f>1.15*LOG((2.25*D5*(1/1440))/(F5*E5^2))</f>
        <v>3.4072799642793319</v>
      </c>
      <c r="F7" s="304" t="s">
        <v>197</v>
      </c>
      <c r="G7" s="412">
        <f>C7-E7</f>
        <v>-2.999260395977017</v>
      </c>
      <c r="H7" s="287"/>
      <c r="I7" s="357">
        <f>입력표!M49</f>
        <v>63.45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3">
        <f>E5*EXP(-1*G7)</f>
        <v>2.5088358839321834</v>
      </c>
      <c r="D9" s="306"/>
      <c r="E9" s="306"/>
      <c r="F9" s="306"/>
      <c r="G9" s="307"/>
      <c r="H9" s="287"/>
      <c r="I9" s="308">
        <f>입력표!M45</f>
        <v>100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14.199262534233043</v>
      </c>
      <c r="D11" s="287"/>
      <c r="E11" s="287"/>
      <c r="F11" s="287"/>
      <c r="G11" s="287"/>
      <c r="H11" s="287"/>
      <c r="I11" s="309">
        <f>입력표!I52</f>
        <v>20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49.25073746576696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4">
        <f>ROUND(SQRT(6*B17*E17*H17/I17),1)</f>
        <v>129.5</v>
      </c>
      <c r="D14" s="311"/>
      <c r="E14" s="312" t="s">
        <v>205</v>
      </c>
      <c r="F14" s="313">
        <f>D5</f>
        <v>4.5900999999999996</v>
      </c>
      <c r="G14" s="312" t="s">
        <v>206</v>
      </c>
      <c r="H14" s="363">
        <v>2.4780000000000002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51.45</v>
      </c>
      <c r="C17" s="347">
        <f>I9-IF(I5&gt;I11,I5,I11)</f>
        <v>80</v>
      </c>
      <c r="D17" s="349">
        <f>(F14+H14)/2</f>
        <v>3.5340499999999997</v>
      </c>
      <c r="E17" s="317">
        <f>INT(D17/C17*100000)/100000</f>
        <v>4.4170000000000001E-2</v>
      </c>
      <c r="F17" s="318">
        <v>1440</v>
      </c>
      <c r="G17" s="319">
        <v>1140</v>
      </c>
      <c r="H17" s="318">
        <f>INT(G17/F17*10000)/10000</f>
        <v>0.79159999999999997</v>
      </c>
      <c r="I17" s="348">
        <v>6.4380000000000004E-4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5">
        <f>ROUND(3*SQRT(B22*E22*H22/I22),1)</f>
        <v>158.6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51.45</v>
      </c>
      <c r="C22" s="351">
        <f t="shared" si="0"/>
        <v>80</v>
      </c>
      <c r="D22" s="330">
        <f t="shared" si="0"/>
        <v>3.5340499999999997</v>
      </c>
      <c r="E22" s="353">
        <f t="shared" si="0"/>
        <v>4.4170000000000001E-2</v>
      </c>
      <c r="F22" s="330">
        <f t="shared" si="0"/>
        <v>1440</v>
      </c>
      <c r="G22" s="330">
        <f>G17</f>
        <v>1140</v>
      </c>
      <c r="H22" s="351">
        <f t="shared" si="0"/>
        <v>0.79159999999999997</v>
      </c>
      <c r="I22" s="331">
        <f t="shared" si="0"/>
        <v>6.4380000000000004E-4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4">
        <f>ROUND(SQRT((2.25*D27*H27)/I27),1)</f>
        <v>98.9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51.45</v>
      </c>
      <c r="C27" s="318">
        <f t="shared" si="1"/>
        <v>80</v>
      </c>
      <c r="D27" s="318">
        <f t="shared" si="1"/>
        <v>3.5340499999999997</v>
      </c>
      <c r="E27" s="317">
        <f t="shared" si="1"/>
        <v>4.4170000000000001E-2</v>
      </c>
      <c r="F27" s="318">
        <f t="shared" si="1"/>
        <v>1440</v>
      </c>
      <c r="G27" s="318">
        <f t="shared" si="1"/>
        <v>1140</v>
      </c>
      <c r="H27" s="318">
        <f t="shared" si="1"/>
        <v>0.79159999999999997</v>
      </c>
      <c r="I27" s="334">
        <f t="shared" si="1"/>
        <v>6.4380000000000004E-4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3.5340499999999997</v>
      </c>
      <c r="D29" s="343">
        <f>(C29/C17)*(100/86400)</f>
        <v>5.1129195601851845E-5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6.4380000000000004E-4</v>
      </c>
      <c r="D30" s="287">
        <f>C29/C17*100/86400</f>
        <v>5.1129195601851852E-5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129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324</v>
      </c>
    </row>
    <row r="3" spans="1:2" ht="20.100000000000001" customHeight="1" x14ac:dyDescent="0.15">
      <c r="A3" s="340" t="s">
        <v>108</v>
      </c>
      <c r="B3" s="341">
        <f>단계양수시험!G31</f>
        <v>21.97</v>
      </c>
    </row>
    <row r="4" spans="1:2" ht="20.100000000000001" customHeight="1" x14ac:dyDescent="0.15">
      <c r="A4" s="340" t="s">
        <v>109</v>
      </c>
      <c r="B4" s="338">
        <f>단계양수시험!G46</f>
        <v>45.79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528.65466383895409</v>
      </c>
    </row>
    <row r="8" spans="1:2" ht="20.100000000000001" customHeight="1" x14ac:dyDescent="0.15">
      <c r="A8" s="340" t="s">
        <v>112</v>
      </c>
      <c r="B8" s="338">
        <f>INT(B7)</f>
        <v>528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F715"/>
  <sheetViews>
    <sheetView showGridLines="0" zoomScaleNormal="100" zoomScaleSheetLayoutView="100" workbookViewId="0">
      <selection activeCell="J11" sqref="J11"/>
    </sheetView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53" t="s">
        <v>192</v>
      </c>
      <c r="B4" s="453"/>
      <c r="C4" s="211" t="str">
        <f>입력표!I44</f>
        <v>두산인프라코어 지하수 관정개발을 위한 지하수영향조사</v>
      </c>
      <c r="D4" s="212"/>
      <c r="E4" s="212"/>
      <c r="F4" s="212"/>
      <c r="G4" s="212"/>
      <c r="H4" s="213"/>
      <c r="I4" s="214"/>
      <c r="P4" s="3">
        <v>1</v>
      </c>
      <c r="Q4" s="64">
        <v>-1.08</v>
      </c>
      <c r="R4" s="14">
        <f>B12</f>
        <v>324</v>
      </c>
      <c r="S4" s="3">
        <f>$R$4</f>
        <v>324</v>
      </c>
      <c r="T4" s="372">
        <v>5.8816255416085772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30.958405424871611</v>
      </c>
      <c r="Z4" s="13">
        <f>Z22</f>
        <v>29.951623879952706</v>
      </c>
      <c r="AA4" s="10">
        <f>$Z$4</f>
        <v>29.951623879952706</v>
      </c>
      <c r="AB4" s="10">
        <f>X4</f>
        <v>1</v>
      </c>
      <c r="AC4" s="10">
        <f>Y4-AA4</f>
        <v>1.0067815449189048</v>
      </c>
      <c r="AD4" s="83">
        <f>INT((AC4-AE4)*100)/100</f>
        <v>2.08</v>
      </c>
      <c r="AE4" s="6">
        <f>Q4</f>
        <v>-1.08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53" t="s">
        <v>45</v>
      </c>
      <c r="B5" s="453"/>
      <c r="C5" s="215" t="str">
        <f>입력표!I45</f>
        <v>개화지구</v>
      </c>
      <c r="D5" s="212"/>
      <c r="E5" s="212"/>
      <c r="F5" s="216"/>
      <c r="G5" s="212"/>
      <c r="H5" s="217" t="str">
        <f>입력표!J48</f>
        <v>공  번 : W - 1</v>
      </c>
      <c r="I5" s="218"/>
      <c r="P5" s="3">
        <v>2</v>
      </c>
      <c r="Q5" s="64"/>
      <c r="S5" s="3">
        <f t="shared" ref="S5:S23" si="3">$R$4</f>
        <v>324</v>
      </c>
      <c r="T5" s="3">
        <f>$T4</f>
        <v>5.8816255416085772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33.993522047163232</v>
      </c>
      <c r="AA5" s="10">
        <f t="shared" ref="AA5:AA23" si="5">$Z$4</f>
        <v>29.951623879952706</v>
      </c>
      <c r="AB5" s="10">
        <f t="shared" ref="AB5:AB43" si="6">X5</f>
        <v>2</v>
      </c>
      <c r="AC5" s="10">
        <f t="shared" ref="AC5:AC43" si="7">Y5-AA5</f>
        <v>4.0418981672105261</v>
      </c>
      <c r="AD5" s="83">
        <f t="shared" ref="AD5:AD16" si="8">INT((AC5-AE5)*100)/100</f>
        <v>4.04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53" t="s">
        <v>46</v>
      </c>
      <c r="B6" s="453"/>
      <c r="C6" s="219" t="str">
        <f>입력표!I46</f>
        <v>충청남도 보령시 성주면 개화리 산 52-5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324</v>
      </c>
      <c r="T6" s="3">
        <f t="shared" ref="T6:T51" si="10">$T5</f>
        <v>5.8816255416085772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35.768951456519282</v>
      </c>
      <c r="AA6" s="10">
        <f t="shared" si="5"/>
        <v>29.951623879952706</v>
      </c>
      <c r="AB6" s="10">
        <f t="shared" si="6"/>
        <v>3</v>
      </c>
      <c r="AC6" s="10">
        <f t="shared" si="7"/>
        <v>5.8173275765665764</v>
      </c>
      <c r="AD6" s="83">
        <f t="shared" si="8"/>
        <v>5.81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53" t="s">
        <v>165</v>
      </c>
      <c r="B7" s="453"/>
      <c r="C7" s="220" t="str">
        <f>입력표!I47</f>
        <v>산수개발㈜</v>
      </c>
      <c r="D7" s="221"/>
      <c r="E7" s="212"/>
      <c r="F7" s="222"/>
      <c r="G7" s="223" t="str">
        <f>입력표!I49</f>
        <v>개화지구</v>
      </c>
      <c r="H7" s="224"/>
      <c r="I7" s="225"/>
      <c r="P7" s="3">
        <v>4</v>
      </c>
      <c r="Q7" s="64"/>
      <c r="S7" s="3">
        <f t="shared" si="3"/>
        <v>324</v>
      </c>
      <c r="T7" s="3">
        <f t="shared" si="10"/>
        <v>5.8816255416085772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37.02863866945485</v>
      </c>
      <c r="AA7" s="10">
        <f t="shared" si="5"/>
        <v>29.951623879952706</v>
      </c>
      <c r="AB7" s="10">
        <f t="shared" si="6"/>
        <v>4</v>
      </c>
      <c r="AC7" s="10">
        <f t="shared" si="7"/>
        <v>7.0770147895021438</v>
      </c>
      <c r="AD7" s="83">
        <f t="shared" si="8"/>
        <v>7.07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54">
        <f>입력표!I48</f>
        <v>3</v>
      </c>
      <c r="D8" s="455"/>
      <c r="E8" s="456"/>
      <c r="F8" s="227" t="s">
        <v>6</v>
      </c>
      <c r="G8" s="223" t="str">
        <f>G7</f>
        <v>개화지구</v>
      </c>
      <c r="H8" s="224"/>
      <c r="I8" s="228"/>
      <c r="K8" s="409"/>
      <c r="P8" s="3">
        <v>5</v>
      </c>
      <c r="Q8" s="64"/>
      <c r="S8" s="3">
        <f t="shared" si="3"/>
        <v>324</v>
      </c>
      <c r="T8" s="3">
        <f t="shared" si="10"/>
        <v>5.8816255416085772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38.005727981430162</v>
      </c>
      <c r="AA8" s="10">
        <f t="shared" si="5"/>
        <v>29.951623879952706</v>
      </c>
      <c r="AB8" s="10">
        <f t="shared" si="6"/>
        <v>5</v>
      </c>
      <c r="AC8" s="10">
        <f t="shared" si="7"/>
        <v>8.0541041014774564</v>
      </c>
      <c r="AD8" s="83">
        <f t="shared" si="8"/>
        <v>8.0500000000000007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7">
        <f>입력표!M44</f>
        <v>250</v>
      </c>
      <c r="E9" s="457"/>
      <c r="F9" s="210" t="s">
        <v>8</v>
      </c>
      <c r="G9" s="447">
        <f>입력표!M45</f>
        <v>100</v>
      </c>
      <c r="H9" s="447"/>
      <c r="I9" s="210"/>
      <c r="P9" s="3">
        <v>10</v>
      </c>
      <c r="Q9" s="64"/>
      <c r="S9" s="3">
        <f t="shared" si="3"/>
        <v>324</v>
      </c>
      <c r="T9" s="3">
        <f t="shared" si="10"/>
        <v>5.8816255416085772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41.04084460372178</v>
      </c>
      <c r="AA9" s="10">
        <f t="shared" si="5"/>
        <v>29.951623879952706</v>
      </c>
      <c r="AB9" s="10">
        <f t="shared" si="6"/>
        <v>10</v>
      </c>
      <c r="AC9" s="10">
        <f t="shared" si="7"/>
        <v>11.089220723769074</v>
      </c>
      <c r="AD9" s="83">
        <f t="shared" si="8"/>
        <v>11.08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50">
        <f>입력표!M48</f>
        <v>12</v>
      </c>
      <c r="E10" s="451"/>
      <c r="F10" s="230" t="s">
        <v>0</v>
      </c>
      <c r="G10" s="448" t="s">
        <v>0</v>
      </c>
      <c r="H10" s="448"/>
      <c r="I10" s="218"/>
      <c r="P10" s="3">
        <v>15</v>
      </c>
      <c r="Q10" s="64"/>
      <c r="S10" s="3">
        <f t="shared" si="3"/>
        <v>324</v>
      </c>
      <c r="T10" s="3">
        <f t="shared" si="10"/>
        <v>5.8816255416085772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42.816274013077837</v>
      </c>
      <c r="AA10" s="10">
        <f t="shared" si="5"/>
        <v>29.951623879952706</v>
      </c>
      <c r="AB10" s="10">
        <f t="shared" si="6"/>
        <v>15</v>
      </c>
      <c r="AC10" s="10">
        <f t="shared" si="7"/>
        <v>12.864650133125132</v>
      </c>
      <c r="AD10" s="83">
        <f t="shared" si="8"/>
        <v>12.86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52" t="s">
        <v>172</v>
      </c>
      <c r="E11" s="452"/>
      <c r="F11" s="231" t="s">
        <v>173</v>
      </c>
      <c r="G11" s="449" t="s">
        <v>174</v>
      </c>
      <c r="H11" s="449"/>
      <c r="I11" s="210" t="s">
        <v>164</v>
      </c>
      <c r="J11" s="408">
        <f>G12-J13</f>
        <v>0.12000000000000011</v>
      </c>
      <c r="P11" s="3">
        <v>20</v>
      </c>
      <c r="Q11" s="64"/>
      <c r="S11" s="3">
        <f t="shared" si="3"/>
        <v>324</v>
      </c>
      <c r="T11" s="3">
        <f t="shared" si="10"/>
        <v>5.8816255416085772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44.075961226013405</v>
      </c>
      <c r="AA11" s="10">
        <f t="shared" si="5"/>
        <v>29.951623879952706</v>
      </c>
      <c r="AB11" s="10">
        <f t="shared" si="6"/>
        <v>20</v>
      </c>
      <c r="AC11" s="10">
        <f t="shared" si="7"/>
        <v>14.124337346060699</v>
      </c>
      <c r="AD11" s="83">
        <f t="shared" si="8"/>
        <v>14.12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324</v>
      </c>
      <c r="C12" s="207">
        <v>0.41736111111111113</v>
      </c>
      <c r="D12" s="446">
        <v>1</v>
      </c>
      <c r="E12" s="446"/>
      <c r="F12" s="208">
        <f>G12+$D$10</f>
        <v>14.08</v>
      </c>
      <c r="G12" s="445">
        <f>AD4</f>
        <v>2.08</v>
      </c>
      <c r="H12" s="445"/>
      <c r="I12" s="210" t="s">
        <v>12</v>
      </c>
      <c r="J12" s="8"/>
      <c r="P12" s="3">
        <v>25</v>
      </c>
      <c r="Q12" s="64"/>
      <c r="S12" s="3">
        <f t="shared" si="3"/>
        <v>324</v>
      </c>
      <c r="T12" s="3">
        <f t="shared" si="10"/>
        <v>5.8816255416085772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45.053050537988717</v>
      </c>
      <c r="AA12" s="10">
        <f t="shared" si="5"/>
        <v>29.951623879952706</v>
      </c>
      <c r="AB12" s="10">
        <f t="shared" si="6"/>
        <v>25</v>
      </c>
      <c r="AC12" s="10">
        <f t="shared" si="7"/>
        <v>15.101426658036011</v>
      </c>
      <c r="AD12" s="83">
        <f t="shared" si="8"/>
        <v>15.1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46">
        <v>2</v>
      </c>
      <c r="E13" s="446"/>
      <c r="F13" s="208">
        <f t="shared" ref="F13:F28" si="13">G13+$D$10</f>
        <v>16.04</v>
      </c>
      <c r="G13" s="445">
        <f t="shared" ref="G13:G51" si="14">AD5</f>
        <v>4.04</v>
      </c>
      <c r="H13" s="445"/>
      <c r="I13" s="209"/>
      <c r="J13" s="8">
        <f>G13-G12</f>
        <v>1.96</v>
      </c>
      <c r="P13" s="3">
        <v>30</v>
      </c>
      <c r="Q13" s="64"/>
      <c r="S13" s="3">
        <f t="shared" si="3"/>
        <v>324</v>
      </c>
      <c r="T13" s="3">
        <f t="shared" si="10"/>
        <v>5.8816255416085772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45.851390635369462</v>
      </c>
      <c r="AA13" s="10">
        <f t="shared" si="5"/>
        <v>29.951623879952706</v>
      </c>
      <c r="AB13" s="10">
        <f t="shared" si="6"/>
        <v>30</v>
      </c>
      <c r="AC13" s="10">
        <f t="shared" si="7"/>
        <v>15.899766755416756</v>
      </c>
      <c r="AD13" s="83">
        <f t="shared" si="8"/>
        <v>15.89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46">
        <v>3</v>
      </c>
      <c r="E14" s="446"/>
      <c r="F14" s="208">
        <f t="shared" si="13"/>
        <v>17.809999999999999</v>
      </c>
      <c r="G14" s="445">
        <f t="shared" si="14"/>
        <v>5.81</v>
      </c>
      <c r="H14" s="445"/>
      <c r="I14" s="209"/>
      <c r="J14" s="8">
        <f t="shared" ref="J14:J51" si="15">G14-G13</f>
        <v>1.7699999999999996</v>
      </c>
      <c r="Q14" s="64"/>
      <c r="S14" s="3">
        <f t="shared" si="3"/>
        <v>324</v>
      </c>
      <c r="T14" s="3">
        <f t="shared" si="10"/>
        <v>5.8816255416085772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46.526377570039394</v>
      </c>
      <c r="AA14" s="10">
        <f t="shared" si="5"/>
        <v>29.951623879952706</v>
      </c>
      <c r="AB14" s="10">
        <f t="shared" si="6"/>
        <v>35</v>
      </c>
      <c r="AC14" s="10">
        <f t="shared" si="7"/>
        <v>16.574753690086688</v>
      </c>
      <c r="AD14" s="83">
        <f t="shared" si="8"/>
        <v>16.57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46">
        <v>4</v>
      </c>
      <c r="E15" s="446"/>
      <c r="F15" s="208">
        <f t="shared" si="13"/>
        <v>19.07</v>
      </c>
      <c r="G15" s="445">
        <f t="shared" si="14"/>
        <v>7.07</v>
      </c>
      <c r="H15" s="445"/>
      <c r="I15" s="209"/>
      <c r="J15" s="8">
        <f t="shared" si="15"/>
        <v>1.2600000000000007</v>
      </c>
      <c r="Q15" s="64"/>
      <c r="S15" s="3">
        <f t="shared" si="3"/>
        <v>324</v>
      </c>
      <c r="T15" s="3">
        <f t="shared" si="10"/>
        <v>5.8816255416085772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47.111077848305023</v>
      </c>
      <c r="AA15" s="10">
        <f t="shared" si="5"/>
        <v>29.951623879952706</v>
      </c>
      <c r="AB15" s="10">
        <f t="shared" si="6"/>
        <v>40</v>
      </c>
      <c r="AC15" s="10">
        <f t="shared" si="7"/>
        <v>17.159453968352317</v>
      </c>
      <c r="AD15" s="83">
        <f t="shared" si="8"/>
        <v>17.149999999999999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46">
        <v>5</v>
      </c>
      <c r="E16" s="446"/>
      <c r="F16" s="208">
        <f t="shared" si="13"/>
        <v>20.05</v>
      </c>
      <c r="G16" s="445">
        <f t="shared" si="14"/>
        <v>8.0500000000000007</v>
      </c>
      <c r="H16" s="445"/>
      <c r="I16" s="209"/>
      <c r="J16" s="8">
        <f t="shared" si="15"/>
        <v>0.98000000000000043</v>
      </c>
      <c r="L16" s="11" t="s">
        <v>94</v>
      </c>
      <c r="M16" s="11" t="s">
        <v>95</v>
      </c>
      <c r="S16" s="3">
        <f t="shared" si="3"/>
        <v>324</v>
      </c>
      <c r="T16" s="3">
        <f t="shared" si="10"/>
        <v>5.8816255416085772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47.62682004472552</v>
      </c>
      <c r="AA16" s="10">
        <f t="shared" si="5"/>
        <v>29.951623879952706</v>
      </c>
      <c r="AB16" s="10">
        <f t="shared" si="6"/>
        <v>45</v>
      </c>
      <c r="AC16" s="10">
        <f t="shared" si="7"/>
        <v>17.675196164772814</v>
      </c>
      <c r="AD16" s="83">
        <f t="shared" si="8"/>
        <v>17.670000000000002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46">
        <v>10</v>
      </c>
      <c r="E17" s="446"/>
      <c r="F17" s="208">
        <f t="shared" si="13"/>
        <v>23.08</v>
      </c>
      <c r="G17" s="445">
        <f t="shared" si="14"/>
        <v>11.08</v>
      </c>
      <c r="H17" s="445"/>
      <c r="I17" s="209"/>
      <c r="J17" s="8">
        <f t="shared" si="15"/>
        <v>3.0299999999999994</v>
      </c>
      <c r="K17" s="29">
        <f>D12</f>
        <v>1</v>
      </c>
      <c r="L17" s="3">
        <f>INT(B12/1440*10000)/10000</f>
        <v>0.22500000000000001</v>
      </c>
      <c r="M17" s="3">
        <f>K17*L17</f>
        <v>0.22500000000000001</v>
      </c>
      <c r="N17" s="3">
        <f>INT((8*2.54/2/100)^2*3.14159*100000)/100000</f>
        <v>3.2419999999999997E-2</v>
      </c>
      <c r="O17" s="3">
        <f>INT(M17/N17*100)/100</f>
        <v>6.94</v>
      </c>
      <c r="P17" s="13">
        <f>INT((G12-O17)*100)/100</f>
        <v>-4.8600000000000003</v>
      </c>
      <c r="S17" s="3">
        <f t="shared" si="3"/>
        <v>324</v>
      </c>
      <c r="T17" s="3">
        <f t="shared" si="10"/>
        <v>5.8816255416085772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48.088167160280328</v>
      </c>
      <c r="AA17" s="10">
        <f t="shared" si="5"/>
        <v>29.951623879952706</v>
      </c>
      <c r="AB17" s="10">
        <f t="shared" si="6"/>
        <v>50</v>
      </c>
      <c r="AC17" s="10">
        <f t="shared" si="7"/>
        <v>18.136543280327622</v>
      </c>
      <c r="AD17" s="83">
        <f t="shared" ref="AD17:AD22" si="16">INT(AC17*100)/100</f>
        <v>18.13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46">
        <v>15</v>
      </c>
      <c r="E18" s="446"/>
      <c r="F18" s="208">
        <f t="shared" si="13"/>
        <v>24.86</v>
      </c>
      <c r="G18" s="445">
        <f t="shared" si="14"/>
        <v>12.86</v>
      </c>
      <c r="H18" s="445"/>
      <c r="I18" s="209"/>
      <c r="J18" s="8">
        <f t="shared" si="15"/>
        <v>1.7799999999999994</v>
      </c>
      <c r="K18" s="29">
        <f>D13</f>
        <v>2</v>
      </c>
      <c r="L18" s="3">
        <f>L17</f>
        <v>0.22500000000000001</v>
      </c>
      <c r="M18" s="3">
        <f t="shared" ref="M18:M32" si="17">K18*L18</f>
        <v>0.45</v>
      </c>
      <c r="N18" s="3">
        <f>N17</f>
        <v>3.2419999999999997E-2</v>
      </c>
      <c r="O18" s="3">
        <f>INT(M18/N18*100)/100</f>
        <v>13.88</v>
      </c>
      <c r="P18" s="13">
        <f>INT((G13-O18)*100*0.98)/100</f>
        <v>-9.65</v>
      </c>
      <c r="S18" s="3">
        <f t="shared" si="3"/>
        <v>324</v>
      </c>
      <c r="T18" s="3">
        <f t="shared" si="10"/>
        <v>5.8816255416085772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48.505506390837432</v>
      </c>
      <c r="AA18" s="10">
        <f t="shared" si="5"/>
        <v>29.951623879952706</v>
      </c>
      <c r="AB18" s="10">
        <f t="shared" si="6"/>
        <v>55</v>
      </c>
      <c r="AC18" s="10">
        <f t="shared" si="7"/>
        <v>18.553882510884726</v>
      </c>
      <c r="AD18" s="83">
        <f t="shared" si="16"/>
        <v>18.55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46">
        <v>20</v>
      </c>
      <c r="E19" s="446"/>
      <c r="F19" s="208">
        <f t="shared" si="13"/>
        <v>26.119999999999997</v>
      </c>
      <c r="G19" s="445">
        <f t="shared" si="14"/>
        <v>14.12</v>
      </c>
      <c r="H19" s="445"/>
      <c r="I19" s="209"/>
      <c r="J19" s="8">
        <f t="shared" si="15"/>
        <v>1.2599999999999998</v>
      </c>
      <c r="K19" s="29">
        <f t="shared" ref="K19:K32" si="18">D14</f>
        <v>3</v>
      </c>
      <c r="L19" s="3">
        <f>L18</f>
        <v>0.22500000000000001</v>
      </c>
      <c r="M19" s="3">
        <f t="shared" si="17"/>
        <v>0.67500000000000004</v>
      </c>
      <c r="N19" s="3">
        <f t="shared" ref="N19:N32" si="19">N18</f>
        <v>3.2419999999999997E-2</v>
      </c>
      <c r="O19" s="3">
        <f>INT(M19/N19*100)/100</f>
        <v>20.82</v>
      </c>
      <c r="P19" s="13">
        <f>INT((G14-O19)*100*0.95)/100</f>
        <v>-14.26</v>
      </c>
      <c r="S19" s="3">
        <f t="shared" si="3"/>
        <v>324</v>
      </c>
      <c r="T19" s="3">
        <f t="shared" si="10"/>
        <v>5.8816255416085772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48.88650725766108</v>
      </c>
      <c r="AA19" s="10">
        <f t="shared" si="5"/>
        <v>29.951623879952706</v>
      </c>
      <c r="AB19" s="10">
        <f t="shared" si="6"/>
        <v>60</v>
      </c>
      <c r="AC19" s="10">
        <f t="shared" si="7"/>
        <v>18.934883377708374</v>
      </c>
      <c r="AD19" s="83">
        <f t="shared" si="16"/>
        <v>18.93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46">
        <v>25</v>
      </c>
      <c r="E20" s="446"/>
      <c r="F20" s="208">
        <f t="shared" si="13"/>
        <v>27.1</v>
      </c>
      <c r="G20" s="445">
        <f t="shared" si="14"/>
        <v>15.1</v>
      </c>
      <c r="H20" s="445"/>
      <c r="I20" s="209"/>
      <c r="J20" s="8">
        <f t="shared" si="15"/>
        <v>0.98000000000000043</v>
      </c>
      <c r="K20" s="29">
        <f t="shared" si="18"/>
        <v>4</v>
      </c>
      <c r="L20" s="3">
        <f>L19</f>
        <v>0.22500000000000001</v>
      </c>
      <c r="M20" s="3">
        <f t="shared" si="17"/>
        <v>0.9</v>
      </c>
      <c r="N20" s="3">
        <f t="shared" si="19"/>
        <v>3.2419999999999997E-2</v>
      </c>
      <c r="O20" s="3">
        <f>INT(M20/N20*100)/100</f>
        <v>27.76</v>
      </c>
      <c r="P20" s="13">
        <f>INT((G15-O20)*100*0.91)/100</f>
        <v>-18.829999999999998</v>
      </c>
      <c r="S20" s="3">
        <f t="shared" si="3"/>
        <v>324</v>
      </c>
      <c r="T20" s="3">
        <f t="shared" si="10"/>
        <v>5.8816255416085772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49.863596569636385</v>
      </c>
      <c r="AA20" s="10">
        <f t="shared" si="5"/>
        <v>29.951623879952706</v>
      </c>
      <c r="AB20" s="10">
        <f t="shared" si="6"/>
        <v>75</v>
      </c>
      <c r="AC20" s="10">
        <f t="shared" si="7"/>
        <v>19.91197268968368</v>
      </c>
      <c r="AD20" s="83">
        <f t="shared" si="16"/>
        <v>19.91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46">
        <v>30</v>
      </c>
      <c r="E21" s="446"/>
      <c r="F21" s="208">
        <f t="shared" si="13"/>
        <v>27.89</v>
      </c>
      <c r="G21" s="445">
        <f t="shared" si="14"/>
        <v>15.89</v>
      </c>
      <c r="H21" s="445"/>
      <c r="I21" s="209"/>
      <c r="J21" s="8">
        <f t="shared" si="15"/>
        <v>0.79000000000000092</v>
      </c>
      <c r="K21" s="29">
        <f t="shared" si="18"/>
        <v>5</v>
      </c>
      <c r="L21" s="29">
        <f>L20</f>
        <v>0.22500000000000001</v>
      </c>
      <c r="M21" s="3">
        <f t="shared" si="17"/>
        <v>1.125</v>
      </c>
      <c r="N21" s="3">
        <f t="shared" si="19"/>
        <v>3.2419999999999997E-2</v>
      </c>
      <c r="O21" s="29">
        <f>INT(M21/N21*100)/100</f>
        <v>34.700000000000003</v>
      </c>
      <c r="P21" s="13">
        <f>INT((G16-O21)*100*0.86)/100</f>
        <v>-22.92</v>
      </c>
      <c r="S21" s="3">
        <f t="shared" si="3"/>
        <v>324</v>
      </c>
      <c r="T21" s="3">
        <f t="shared" si="10"/>
        <v>5.8816255416085772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50.661936667017137</v>
      </c>
      <c r="AA21" s="10">
        <f t="shared" si="5"/>
        <v>29.951623879952706</v>
      </c>
      <c r="AB21" s="10">
        <f t="shared" si="6"/>
        <v>90</v>
      </c>
      <c r="AC21" s="10">
        <f t="shared" si="7"/>
        <v>20.710312787064431</v>
      </c>
      <c r="AD21" s="83">
        <f t="shared" si="16"/>
        <v>20.71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46">
        <v>35</v>
      </c>
      <c r="E22" s="446"/>
      <c r="F22" s="208">
        <f t="shared" si="13"/>
        <v>28.57</v>
      </c>
      <c r="G22" s="445">
        <f t="shared" si="14"/>
        <v>16.57</v>
      </c>
      <c r="H22" s="445"/>
      <c r="I22" s="210"/>
      <c r="J22" s="8">
        <f t="shared" si="15"/>
        <v>0.67999999999999972</v>
      </c>
      <c r="K22" s="29">
        <f t="shared" si="18"/>
        <v>10</v>
      </c>
      <c r="L22" s="29">
        <f t="shared" ref="L22:L32" si="20">L21</f>
        <v>0.22500000000000001</v>
      </c>
      <c r="M22" s="3">
        <f t="shared" si="17"/>
        <v>2.25</v>
      </c>
      <c r="N22" s="3">
        <f t="shared" si="19"/>
        <v>3.2419999999999997E-2</v>
      </c>
      <c r="O22" s="29">
        <f t="shared" ref="O22:O30" si="21">INT(M22/N22*100)/100</f>
        <v>69.400000000000006</v>
      </c>
      <c r="P22" s="13">
        <f>INT((G17-O22)*100*0.8)/100</f>
        <v>-46.66</v>
      </c>
      <c r="S22" s="3">
        <f t="shared" si="3"/>
        <v>324</v>
      </c>
      <c r="T22" s="3">
        <f t="shared" si="10"/>
        <v>5.8816255416085772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51.336923601687076</v>
      </c>
      <c r="Z22" s="10">
        <f>Y23-Z23</f>
        <v>29.951623879952706</v>
      </c>
      <c r="AA22" s="10">
        <f t="shared" si="5"/>
        <v>29.951623879952706</v>
      </c>
      <c r="AB22" s="10">
        <f t="shared" si="6"/>
        <v>105</v>
      </c>
      <c r="AC22" s="10">
        <f t="shared" si="7"/>
        <v>21.38529972173437</v>
      </c>
      <c r="AD22" s="83">
        <f t="shared" si="16"/>
        <v>21.38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46">
        <v>40</v>
      </c>
      <c r="E23" s="446"/>
      <c r="F23" s="208">
        <f t="shared" si="13"/>
        <v>29.15</v>
      </c>
      <c r="G23" s="445">
        <f t="shared" si="14"/>
        <v>17.149999999999999</v>
      </c>
      <c r="H23" s="445"/>
      <c r="I23" s="210"/>
      <c r="J23" s="8">
        <f t="shared" si="15"/>
        <v>0.57999999999999829</v>
      </c>
      <c r="K23" s="29">
        <f t="shared" si="18"/>
        <v>15</v>
      </c>
      <c r="L23" s="29">
        <f t="shared" si="20"/>
        <v>0.22500000000000001</v>
      </c>
      <c r="M23" s="3">
        <f t="shared" si="17"/>
        <v>3.375</v>
      </c>
      <c r="N23" s="3">
        <f t="shared" si="19"/>
        <v>3.2419999999999997E-2</v>
      </c>
      <c r="O23" s="29">
        <f t="shared" si="21"/>
        <v>104.1</v>
      </c>
      <c r="P23" s="13">
        <f t="shared" ref="P23:P32" si="22">INT((G18-O23)*100)/100</f>
        <v>-91.24</v>
      </c>
      <c r="S23" s="3">
        <f t="shared" si="3"/>
        <v>324</v>
      </c>
      <c r="T23" s="3">
        <f t="shared" si="10"/>
        <v>5.8816255416085772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51.921623879952705</v>
      </c>
      <c r="Z23" s="10">
        <f>입력표!B20</f>
        <v>21.97</v>
      </c>
      <c r="AA23" s="10">
        <f t="shared" si="5"/>
        <v>29.951623879952706</v>
      </c>
      <c r="AB23" s="10">
        <f t="shared" si="6"/>
        <v>120</v>
      </c>
      <c r="AC23" s="10">
        <f t="shared" si="7"/>
        <v>21.97</v>
      </c>
      <c r="AD23" s="83">
        <f>INT((AC$3+AE23)*100)/100</f>
        <v>21.97</v>
      </c>
      <c r="AE23" s="10">
        <f>AG$23*AF23</f>
        <v>21.97</v>
      </c>
      <c r="AF23" s="10">
        <v>1</v>
      </c>
      <c r="AG23" s="10">
        <f>AC23-AC3</f>
        <v>21.97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46">
        <v>45</v>
      </c>
      <c r="E24" s="446"/>
      <c r="F24" s="208">
        <f t="shared" si="13"/>
        <v>29.67</v>
      </c>
      <c r="G24" s="445">
        <f t="shared" si="14"/>
        <v>17.670000000000002</v>
      </c>
      <c r="H24" s="445"/>
      <c r="I24" s="210"/>
      <c r="J24" s="8">
        <f t="shared" si="15"/>
        <v>0.52000000000000313</v>
      </c>
      <c r="K24" s="29">
        <f t="shared" si="18"/>
        <v>20</v>
      </c>
      <c r="L24" s="29">
        <f t="shared" si="20"/>
        <v>0.22500000000000001</v>
      </c>
      <c r="M24" s="3">
        <f t="shared" si="17"/>
        <v>4.5</v>
      </c>
      <c r="N24" s="3">
        <f t="shared" si="19"/>
        <v>3.2419999999999997E-2</v>
      </c>
      <c r="O24" s="29">
        <f t="shared" si="21"/>
        <v>138.80000000000001</v>
      </c>
      <c r="P24" s="13">
        <f t="shared" si="22"/>
        <v>-124.68</v>
      </c>
      <c r="R24" s="14">
        <f>B32</f>
        <v>413</v>
      </c>
      <c r="S24" s="3">
        <f>$R$24</f>
        <v>413</v>
      </c>
      <c r="T24" s="3">
        <f t="shared" si="10"/>
        <v>5.8816255416085772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66.630807777600296</v>
      </c>
      <c r="Z24" s="10">
        <f>Z27</f>
        <v>40.752882183416389</v>
      </c>
      <c r="AA24" s="10">
        <f>$Z$24</f>
        <v>40.752882183416389</v>
      </c>
      <c r="AB24" s="10">
        <f t="shared" si="6"/>
        <v>130</v>
      </c>
      <c r="AC24" s="10">
        <f t="shared" si="7"/>
        <v>25.877925594183907</v>
      </c>
      <c r="AD24" s="83">
        <f>INT((AC$23+AE24)*100)/100</f>
        <v>26.36</v>
      </c>
      <c r="AE24" s="10">
        <f>AF24*AG$28</f>
        <v>4.3979999999999988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46">
        <v>50</v>
      </c>
      <c r="E25" s="446"/>
      <c r="F25" s="208">
        <f t="shared" si="13"/>
        <v>30.13</v>
      </c>
      <c r="G25" s="445">
        <f t="shared" si="14"/>
        <v>18.13</v>
      </c>
      <c r="H25" s="445"/>
      <c r="I25" s="210"/>
      <c r="J25" s="8">
        <f t="shared" si="15"/>
        <v>0.4599999999999973</v>
      </c>
      <c r="K25" s="29">
        <f t="shared" si="18"/>
        <v>25</v>
      </c>
      <c r="L25" s="29">
        <f t="shared" si="20"/>
        <v>0.22500000000000001</v>
      </c>
      <c r="M25" s="3">
        <f t="shared" si="17"/>
        <v>5.625</v>
      </c>
      <c r="N25" s="3">
        <f t="shared" si="19"/>
        <v>3.2419999999999997E-2</v>
      </c>
      <c r="O25" s="29">
        <f t="shared" si="21"/>
        <v>173.5</v>
      </c>
      <c r="P25" s="13">
        <f t="shared" si="22"/>
        <v>-158.4</v>
      </c>
      <c r="S25" s="3">
        <f>$R$24</f>
        <v>413</v>
      </c>
      <c r="T25" s="3">
        <f t="shared" si="10"/>
        <v>5.8816255416085772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67.044445266787505</v>
      </c>
      <c r="AA25" s="10">
        <f>$Z$24</f>
        <v>40.752882183416389</v>
      </c>
      <c r="AB25" s="10">
        <f t="shared" si="6"/>
        <v>140</v>
      </c>
      <c r="AC25" s="10">
        <f t="shared" si="7"/>
        <v>26.291563083371116</v>
      </c>
      <c r="AD25" s="83">
        <f>INT((AC$23+AE25)*100)/100</f>
        <v>27.1</v>
      </c>
      <c r="AE25" s="10">
        <f>AF25*AG$28</f>
        <v>5.1309999999999985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46">
        <v>55</v>
      </c>
      <c r="E26" s="446"/>
      <c r="F26" s="208">
        <f t="shared" si="13"/>
        <v>30.55</v>
      </c>
      <c r="G26" s="445">
        <f t="shared" si="14"/>
        <v>18.55</v>
      </c>
      <c r="H26" s="445"/>
      <c r="I26" s="210"/>
      <c r="J26" s="8">
        <f t="shared" si="15"/>
        <v>0.42000000000000171</v>
      </c>
      <c r="K26" s="29">
        <f t="shared" si="18"/>
        <v>30</v>
      </c>
      <c r="L26" s="29">
        <f t="shared" si="20"/>
        <v>0.22500000000000001</v>
      </c>
      <c r="M26" s="3">
        <f t="shared" si="17"/>
        <v>6.75</v>
      </c>
      <c r="N26" s="3">
        <f t="shared" si="19"/>
        <v>3.2419999999999997E-2</v>
      </c>
      <c r="O26" s="3">
        <f t="shared" si="21"/>
        <v>208.2</v>
      </c>
      <c r="P26" s="13">
        <f t="shared" si="22"/>
        <v>-192.31</v>
      </c>
      <c r="S26" s="3">
        <f>$R$24</f>
        <v>413</v>
      </c>
      <c r="T26" s="3">
        <f t="shared" si="10"/>
        <v>5.8816255416085772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67.429532556377382</v>
      </c>
      <c r="AA26" s="10">
        <f>$Z$24</f>
        <v>40.752882183416389</v>
      </c>
      <c r="AB26" s="10">
        <f t="shared" si="6"/>
        <v>150</v>
      </c>
      <c r="AC26" s="10">
        <f t="shared" si="7"/>
        <v>26.676650372960992</v>
      </c>
      <c r="AD26" s="83">
        <f>INT((AC$23+AE26)*100)/100</f>
        <v>27.83</v>
      </c>
      <c r="AE26" s="10">
        <f>AF26*AG$28</f>
        <v>5.863999999999999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46">
        <v>60</v>
      </c>
      <c r="E27" s="446"/>
      <c r="F27" s="208">
        <f t="shared" si="13"/>
        <v>30.93</v>
      </c>
      <c r="G27" s="445">
        <f t="shared" si="14"/>
        <v>18.93</v>
      </c>
      <c r="H27" s="445"/>
      <c r="I27" s="210"/>
      <c r="J27" s="8">
        <f t="shared" si="15"/>
        <v>0.37999999999999901</v>
      </c>
      <c r="K27" s="29">
        <f t="shared" si="18"/>
        <v>35</v>
      </c>
      <c r="L27" s="29">
        <f t="shared" si="20"/>
        <v>0.22500000000000001</v>
      </c>
      <c r="M27" s="3">
        <f t="shared" si="17"/>
        <v>7.875</v>
      </c>
      <c r="N27" s="3">
        <f t="shared" si="19"/>
        <v>3.2419999999999997E-2</v>
      </c>
      <c r="O27" s="3">
        <f t="shared" si="21"/>
        <v>242.9</v>
      </c>
      <c r="P27" s="13">
        <f t="shared" si="22"/>
        <v>-226.33</v>
      </c>
      <c r="S27" s="3">
        <f>$R$24</f>
        <v>413</v>
      </c>
      <c r="T27" s="3">
        <f t="shared" si="10"/>
        <v>5.8816255416085772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68.44716977927321</v>
      </c>
      <c r="Z27" s="10">
        <f>Y28-Z28</f>
        <v>40.752882183416389</v>
      </c>
      <c r="AA27" s="10">
        <f>$Z$24</f>
        <v>40.752882183416389</v>
      </c>
      <c r="AB27" s="10">
        <f t="shared" si="6"/>
        <v>180</v>
      </c>
      <c r="AC27" s="10">
        <f t="shared" si="7"/>
        <v>27.694287595856821</v>
      </c>
      <c r="AD27" s="83">
        <f>INT((AC$23+AE27)*100)/100</f>
        <v>28.56</v>
      </c>
      <c r="AE27" s="10">
        <f>AF27*AG$28</f>
        <v>6.5969999999999986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46">
        <v>75</v>
      </c>
      <c r="E28" s="446"/>
      <c r="F28" s="208">
        <f t="shared" si="13"/>
        <v>31.91</v>
      </c>
      <c r="G28" s="445">
        <f t="shared" si="14"/>
        <v>19.91</v>
      </c>
      <c r="H28" s="445"/>
      <c r="I28" s="210"/>
      <c r="J28" s="8">
        <f t="shared" si="15"/>
        <v>0.98000000000000043</v>
      </c>
      <c r="K28" s="29">
        <f t="shared" si="18"/>
        <v>40</v>
      </c>
      <c r="L28" s="29">
        <f t="shared" si="20"/>
        <v>0.22500000000000001</v>
      </c>
      <c r="M28" s="3">
        <f t="shared" si="17"/>
        <v>9</v>
      </c>
      <c r="N28" s="3">
        <f t="shared" si="19"/>
        <v>3.2419999999999997E-2</v>
      </c>
      <c r="O28" s="3">
        <f t="shared" si="21"/>
        <v>277.60000000000002</v>
      </c>
      <c r="P28" s="13">
        <f t="shared" si="22"/>
        <v>-260.45</v>
      </c>
      <c r="S28" s="3">
        <f>$R$24</f>
        <v>413</v>
      </c>
      <c r="T28" s="3">
        <f t="shared" si="10"/>
        <v>5.8816255416085772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70.052882183416386</v>
      </c>
      <c r="Z28" s="10">
        <f>입력표!B21</f>
        <v>29.3</v>
      </c>
      <c r="AA28" s="10">
        <f>$Z$24</f>
        <v>40.752882183416389</v>
      </c>
      <c r="AB28" s="10">
        <f t="shared" si="6"/>
        <v>240</v>
      </c>
      <c r="AC28" s="10">
        <f t="shared" si="7"/>
        <v>29.299999999999997</v>
      </c>
      <c r="AD28" s="83">
        <f>INT((AC$23+AE28)*100)/100</f>
        <v>29.3</v>
      </c>
      <c r="AE28" s="10">
        <f>AF28*AG$28</f>
        <v>7.3299999999999983</v>
      </c>
      <c r="AF28" s="10">
        <v>1</v>
      </c>
      <c r="AG28" s="10">
        <f>AC28-AC23</f>
        <v>7.3299999999999983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46">
        <v>90</v>
      </c>
      <c r="E29" s="446"/>
      <c r="F29" s="208">
        <f t="shared" ref="F29:F44" si="24">G29+$D$10</f>
        <v>32.71</v>
      </c>
      <c r="G29" s="445">
        <f t="shared" si="14"/>
        <v>20.71</v>
      </c>
      <c r="H29" s="445"/>
      <c r="I29" s="210"/>
      <c r="J29" s="8">
        <f t="shared" si="15"/>
        <v>0.80000000000000071</v>
      </c>
      <c r="K29" s="29">
        <f t="shared" si="18"/>
        <v>45</v>
      </c>
      <c r="L29" s="29">
        <f t="shared" si="20"/>
        <v>0.22500000000000001</v>
      </c>
      <c r="M29" s="3">
        <f t="shared" si="17"/>
        <v>10.125</v>
      </c>
      <c r="N29" s="3">
        <f t="shared" si="19"/>
        <v>3.2419999999999997E-2</v>
      </c>
      <c r="O29" s="3">
        <f t="shared" si="21"/>
        <v>312.3</v>
      </c>
      <c r="P29" s="13">
        <f t="shared" si="22"/>
        <v>-294.63</v>
      </c>
      <c r="R29" s="14">
        <f>B37</f>
        <v>501.5</v>
      </c>
      <c r="S29" s="3">
        <f>$R$29</f>
        <v>501.5</v>
      </c>
      <c r="T29" s="3">
        <f t="shared" si="10"/>
        <v>5.8816255416085772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85.340889175909581</v>
      </c>
      <c r="Z29" s="10">
        <f>Z32</f>
        <v>50.272293860085163</v>
      </c>
      <c r="AA29" s="10">
        <f>$Z$29</f>
        <v>50.272293860085163</v>
      </c>
      <c r="AB29" s="10">
        <f t="shared" si="6"/>
        <v>250</v>
      </c>
      <c r="AC29" s="10">
        <f t="shared" si="7"/>
        <v>35.068595315824417</v>
      </c>
      <c r="AD29" s="83">
        <f>INT((AC$28+AE29)*100)/100</f>
        <v>34.24</v>
      </c>
      <c r="AE29" s="10">
        <f>AF29*AG$33</f>
        <v>4.9440000000000008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46">
        <v>105</v>
      </c>
      <c r="E30" s="446"/>
      <c r="F30" s="208">
        <f t="shared" si="24"/>
        <v>33.379999999999995</v>
      </c>
      <c r="G30" s="445">
        <f t="shared" si="14"/>
        <v>21.38</v>
      </c>
      <c r="H30" s="445"/>
      <c r="I30" s="210"/>
      <c r="J30" s="8">
        <f t="shared" si="15"/>
        <v>0.66999999999999815</v>
      </c>
      <c r="K30" s="29">
        <f t="shared" si="18"/>
        <v>50</v>
      </c>
      <c r="L30" s="29">
        <f t="shared" si="20"/>
        <v>0.22500000000000001</v>
      </c>
      <c r="M30" s="3">
        <f t="shared" si="17"/>
        <v>11.25</v>
      </c>
      <c r="N30" s="3">
        <f t="shared" si="19"/>
        <v>3.2419999999999997E-2</v>
      </c>
      <c r="O30" s="3">
        <f t="shared" si="21"/>
        <v>347</v>
      </c>
      <c r="P30" s="13">
        <f t="shared" si="22"/>
        <v>-328.87</v>
      </c>
      <c r="R30" s="3" t="s">
        <v>23</v>
      </c>
      <c r="S30" s="3">
        <f>$R$29</f>
        <v>501.5</v>
      </c>
      <c r="T30" s="3">
        <f t="shared" si="10"/>
        <v>5.8816255416085772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85.606711429482331</v>
      </c>
      <c r="AA30" s="10">
        <f>$Z$29</f>
        <v>50.272293860085163</v>
      </c>
      <c r="AB30" s="10">
        <f t="shared" si="6"/>
        <v>260</v>
      </c>
      <c r="AC30" s="10">
        <f t="shared" si="7"/>
        <v>35.334417569397168</v>
      </c>
      <c r="AD30" s="83">
        <f>INT((AC$28+AE30)*100)/100</f>
        <v>35.06</v>
      </c>
      <c r="AE30" s="10">
        <f>AF30*AG$33</f>
        <v>5.7680000000000007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46">
        <v>120</v>
      </c>
      <c r="E31" s="446"/>
      <c r="F31" s="208">
        <f t="shared" si="24"/>
        <v>33.97</v>
      </c>
      <c r="G31" s="445">
        <f t="shared" si="14"/>
        <v>21.97</v>
      </c>
      <c r="H31" s="445"/>
      <c r="I31" s="210"/>
      <c r="J31" s="8">
        <f t="shared" si="15"/>
        <v>0.58999999999999986</v>
      </c>
      <c r="K31" s="29">
        <f t="shared" si="18"/>
        <v>55</v>
      </c>
      <c r="L31" s="29">
        <f t="shared" si="20"/>
        <v>0.22500000000000001</v>
      </c>
      <c r="M31" s="3">
        <f t="shared" si="17"/>
        <v>12.375</v>
      </c>
      <c r="N31" s="3">
        <f t="shared" si="19"/>
        <v>3.2419999999999997E-2</v>
      </c>
      <c r="O31" s="3">
        <f>INT(M31/N31*100)/100</f>
        <v>381.7</v>
      </c>
      <c r="P31" s="13">
        <f t="shared" si="22"/>
        <v>-363.15</v>
      </c>
      <c r="S31" s="3">
        <f>$R$29</f>
        <v>501.5</v>
      </c>
      <c r="T31" s="3">
        <f t="shared" si="10"/>
        <v>5.8816255416085772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85.862500226482737</v>
      </c>
      <c r="AA31" s="10">
        <f>$Z$29</f>
        <v>50.272293860085163</v>
      </c>
      <c r="AB31" s="10">
        <f t="shared" si="6"/>
        <v>270</v>
      </c>
      <c r="AC31" s="10">
        <f t="shared" si="7"/>
        <v>35.590206366397574</v>
      </c>
      <c r="AD31" s="83">
        <f>INT((AC$28+AE31)*100)/100</f>
        <v>35.89</v>
      </c>
      <c r="AE31" s="10">
        <f>AF31*AG$33</f>
        <v>6.5920000000000023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413</v>
      </c>
      <c r="C32" s="207">
        <v>0.50694444444444442</v>
      </c>
      <c r="D32" s="446">
        <v>130</v>
      </c>
      <c r="E32" s="446"/>
      <c r="F32" s="208">
        <f t="shared" si="24"/>
        <v>38.36</v>
      </c>
      <c r="G32" s="445">
        <f t="shared" si="14"/>
        <v>26.36</v>
      </c>
      <c r="H32" s="445"/>
      <c r="I32" s="210"/>
      <c r="J32" s="8">
        <f t="shared" si="15"/>
        <v>4.3900000000000006</v>
      </c>
      <c r="K32" s="29">
        <f t="shared" si="18"/>
        <v>60</v>
      </c>
      <c r="L32" s="29">
        <f t="shared" si="20"/>
        <v>0.22500000000000001</v>
      </c>
      <c r="M32" s="3">
        <f t="shared" si="17"/>
        <v>13.5</v>
      </c>
      <c r="N32" s="3">
        <f t="shared" si="19"/>
        <v>3.2419999999999997E-2</v>
      </c>
      <c r="O32" s="3">
        <f>INT(M32/N32*100)/100</f>
        <v>416.4</v>
      </c>
      <c r="P32" s="13">
        <f t="shared" si="22"/>
        <v>-397.47</v>
      </c>
      <c r="S32" s="3">
        <f>$R$29</f>
        <v>501.5</v>
      </c>
      <c r="T32" s="3">
        <f t="shared" si="10"/>
        <v>5.8816255416085772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86.576591517997358</v>
      </c>
      <c r="Z32" s="10">
        <f>Y33-Z33</f>
        <v>50.272293860085163</v>
      </c>
      <c r="AA32" s="10">
        <f>$Z$29</f>
        <v>50.272293860085163</v>
      </c>
      <c r="AB32" s="10">
        <f t="shared" si="6"/>
        <v>300</v>
      </c>
      <c r="AC32" s="10">
        <f t="shared" si="7"/>
        <v>36.304297657912194</v>
      </c>
      <c r="AD32" s="83">
        <f>INT((AC$28+AE32)*100)/100</f>
        <v>36.71</v>
      </c>
      <c r="AE32" s="10">
        <f>AF32*AG$33</f>
        <v>7.4160000000000021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46">
        <v>140</v>
      </c>
      <c r="E33" s="446"/>
      <c r="F33" s="208">
        <f t="shared" si="24"/>
        <v>39.1</v>
      </c>
      <c r="G33" s="445">
        <f t="shared" si="14"/>
        <v>27.1</v>
      </c>
      <c r="H33" s="445"/>
      <c r="I33" s="210"/>
      <c r="J33" s="8">
        <f t="shared" si="15"/>
        <v>0.74000000000000199</v>
      </c>
      <c r="L33" s="7" t="s">
        <v>23</v>
      </c>
      <c r="P33" s="13"/>
      <c r="S33" s="3">
        <f>$R$29</f>
        <v>501.5</v>
      </c>
      <c r="T33" s="3">
        <f t="shared" si="10"/>
        <v>5.8816255416085772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87.812293860085163</v>
      </c>
      <c r="Z33" s="10">
        <f>입력표!B22</f>
        <v>37.54</v>
      </c>
      <c r="AA33" s="10">
        <f>$Z$29</f>
        <v>50.272293860085163</v>
      </c>
      <c r="AB33" s="10">
        <f t="shared" si="6"/>
        <v>360</v>
      </c>
      <c r="AC33" s="10">
        <f t="shared" si="7"/>
        <v>37.54</v>
      </c>
      <c r="AD33" s="83">
        <f>INT((AC$28+AE33)*100)/100</f>
        <v>37.54</v>
      </c>
      <c r="AE33" s="10">
        <f>AF33*AG$33</f>
        <v>8.240000000000002</v>
      </c>
      <c r="AF33" s="10">
        <v>1</v>
      </c>
      <c r="AG33" s="10">
        <f>AC33-AC28</f>
        <v>8.240000000000002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46">
        <v>150</v>
      </c>
      <c r="E34" s="446"/>
      <c r="F34" s="208">
        <f t="shared" si="24"/>
        <v>39.83</v>
      </c>
      <c r="G34" s="445">
        <f t="shared" si="14"/>
        <v>27.83</v>
      </c>
      <c r="H34" s="445"/>
      <c r="I34" s="210"/>
      <c r="J34" s="8">
        <f t="shared" si="15"/>
        <v>0.72999999999999687</v>
      </c>
      <c r="L34" s="7" t="s">
        <v>23</v>
      </c>
      <c r="R34" s="3">
        <f>B42</f>
        <v>590</v>
      </c>
      <c r="S34" s="3">
        <f>$R$34</f>
        <v>590</v>
      </c>
      <c r="T34" s="3">
        <f t="shared" si="10"/>
        <v>5.8816255416085772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103.52705071916418</v>
      </c>
      <c r="Z34" s="10">
        <f>Z37</f>
        <v>59.812455874926592</v>
      </c>
      <c r="AA34" s="10">
        <f>$Z$34</f>
        <v>59.812455874926592</v>
      </c>
      <c r="AB34" s="10">
        <f t="shared" si="6"/>
        <v>370</v>
      </c>
      <c r="AC34" s="10">
        <f t="shared" si="7"/>
        <v>43.714594844237588</v>
      </c>
      <c r="AD34" s="83">
        <f>INT((AC$33+AE34)*100)/100</f>
        <v>42.49</v>
      </c>
      <c r="AE34" s="10">
        <f>AG$38*AF34</f>
        <v>4.95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46">
        <v>180</v>
      </c>
      <c r="E35" s="446"/>
      <c r="F35" s="208">
        <f t="shared" si="24"/>
        <v>40.56</v>
      </c>
      <c r="G35" s="445">
        <f t="shared" si="14"/>
        <v>28.56</v>
      </c>
      <c r="H35" s="445"/>
      <c r="I35" s="210"/>
      <c r="J35" s="8">
        <f t="shared" si="15"/>
        <v>0.73000000000000043</v>
      </c>
      <c r="L35" s="7" t="s">
        <v>23</v>
      </c>
      <c r="S35" s="3">
        <f>$R$34</f>
        <v>590</v>
      </c>
      <c r="T35" s="3">
        <f t="shared" si="10"/>
        <v>5.8816255416085772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103.73969386756178</v>
      </c>
      <c r="AA35" s="10">
        <f>$Z$34</f>
        <v>59.812455874926592</v>
      </c>
      <c r="AB35" s="10">
        <f t="shared" si="6"/>
        <v>380</v>
      </c>
      <c r="AC35" s="10">
        <f t="shared" si="7"/>
        <v>43.927237992635192</v>
      </c>
      <c r="AD35" s="83">
        <f>INT((AC$33+AE35)*100)/100</f>
        <v>43.31</v>
      </c>
      <c r="AE35" s="10">
        <f>AG$38*AF35</f>
        <v>5.7749999999999995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46">
        <v>240</v>
      </c>
      <c r="E36" s="446"/>
      <c r="F36" s="208">
        <f t="shared" si="24"/>
        <v>41.3</v>
      </c>
      <c r="G36" s="445">
        <f t="shared" si="14"/>
        <v>29.3</v>
      </c>
      <c r="H36" s="445"/>
      <c r="I36" s="210"/>
      <c r="J36" s="8">
        <f t="shared" si="15"/>
        <v>0.74000000000000199</v>
      </c>
      <c r="L36" s="7" t="s">
        <v>23</v>
      </c>
      <c r="S36" s="3">
        <f>$R$34</f>
        <v>590</v>
      </c>
      <c r="T36" s="3">
        <f t="shared" si="10"/>
        <v>5.8816255416085772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103.94681318788795</v>
      </c>
      <c r="AA36" s="10">
        <f>$Z$34</f>
        <v>59.812455874926592</v>
      </c>
      <c r="AB36" s="10">
        <f t="shared" si="6"/>
        <v>390</v>
      </c>
      <c r="AC36" s="10">
        <f t="shared" si="7"/>
        <v>44.134357312961363</v>
      </c>
      <c r="AD36" s="83">
        <f>INT((AC$33+AE36)*100)/100</f>
        <v>44.14</v>
      </c>
      <c r="AE36" s="10">
        <f>AG$38*AF36</f>
        <v>6.6000000000000005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501.5</v>
      </c>
      <c r="C37" s="207">
        <v>0.59027777777777779</v>
      </c>
      <c r="D37" s="446">
        <v>250</v>
      </c>
      <c r="E37" s="446"/>
      <c r="F37" s="208">
        <f t="shared" si="24"/>
        <v>46.24</v>
      </c>
      <c r="G37" s="445">
        <f t="shared" si="14"/>
        <v>34.24</v>
      </c>
      <c r="H37" s="445"/>
      <c r="I37" s="210"/>
      <c r="J37" s="8">
        <f t="shared" si="15"/>
        <v>4.9400000000000013</v>
      </c>
      <c r="L37" s="7" t="s">
        <v>23</v>
      </c>
      <c r="S37" s="3">
        <f>$R$34</f>
        <v>590</v>
      </c>
      <c r="T37" s="3">
        <f t="shared" si="10"/>
        <v>5.8816255416085772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104.53772388672682</v>
      </c>
      <c r="Z37" s="10">
        <f>Y38-Z38</f>
        <v>59.812455874926592</v>
      </c>
      <c r="AA37" s="10">
        <f>$Z$34</f>
        <v>59.812455874926592</v>
      </c>
      <c r="AB37" s="10">
        <f t="shared" si="6"/>
        <v>420</v>
      </c>
      <c r="AC37" s="10">
        <f t="shared" si="7"/>
        <v>44.725268011800232</v>
      </c>
      <c r="AD37" s="83">
        <f>INT((AC$33+AE37)*100)/100</f>
        <v>44.96</v>
      </c>
      <c r="AE37" s="10">
        <f>AG$38*AF37</f>
        <v>7.4249999999999998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46">
        <v>260</v>
      </c>
      <c r="E38" s="446"/>
      <c r="F38" s="208">
        <f t="shared" si="24"/>
        <v>47.06</v>
      </c>
      <c r="G38" s="445">
        <f t="shared" si="14"/>
        <v>35.06</v>
      </c>
      <c r="H38" s="445"/>
      <c r="I38" s="210"/>
      <c r="J38" s="8">
        <f t="shared" si="15"/>
        <v>0.82000000000000028</v>
      </c>
      <c r="L38" s="7" t="s">
        <v>23</v>
      </c>
      <c r="S38" s="3">
        <f>$R$34</f>
        <v>590</v>
      </c>
      <c r="T38" s="3">
        <f t="shared" si="10"/>
        <v>5.8816255416085772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105.60245587492659</v>
      </c>
      <c r="Z38" s="10">
        <f>입력표!B23</f>
        <v>45.79</v>
      </c>
      <c r="AA38" s="10">
        <f>$Z$34</f>
        <v>59.812455874926592</v>
      </c>
      <c r="AB38" s="10">
        <f t="shared" si="6"/>
        <v>480</v>
      </c>
      <c r="AC38" s="10">
        <f t="shared" si="7"/>
        <v>45.79</v>
      </c>
      <c r="AD38" s="83">
        <f>INT((AC$33+AE38)*100)/100</f>
        <v>45.79</v>
      </c>
      <c r="AE38" s="10">
        <f>AG$38*AF38</f>
        <v>8.25</v>
      </c>
      <c r="AF38" s="10">
        <v>1</v>
      </c>
      <c r="AG38" s="10">
        <f>AC38-AC33</f>
        <v>8.25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46">
        <v>270</v>
      </c>
      <c r="E39" s="446"/>
      <c r="F39" s="208">
        <f t="shared" si="24"/>
        <v>47.89</v>
      </c>
      <c r="G39" s="445">
        <f t="shared" si="14"/>
        <v>35.89</v>
      </c>
      <c r="H39" s="445"/>
      <c r="I39" s="210"/>
      <c r="J39" s="8">
        <f t="shared" si="15"/>
        <v>0.82999999999999829</v>
      </c>
      <c r="K39" s="6" t="s">
        <v>23</v>
      </c>
      <c r="L39" s="7" t="s">
        <v>23</v>
      </c>
      <c r="R39" s="14">
        <f>B47</f>
        <v>678.5</v>
      </c>
      <c r="S39" s="3">
        <f>$R$39</f>
        <v>678.5</v>
      </c>
      <c r="T39" s="3">
        <f t="shared" si="10"/>
        <v>5.8816255416085772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121.63189677582706</v>
      </c>
      <c r="Z39" s="10">
        <f>Z42</f>
        <v>63.968981966582994</v>
      </c>
      <c r="AA39" s="10">
        <f>$Z$39</f>
        <v>63.968981966582994</v>
      </c>
      <c r="AB39" s="10">
        <f t="shared" si="6"/>
        <v>490</v>
      </c>
      <c r="AC39" s="10">
        <f t="shared" si="7"/>
        <v>57.662914809244064</v>
      </c>
      <c r="AD39" s="83">
        <f>INT((AC$38+AE39)*100)/100</f>
        <v>51.28</v>
      </c>
      <c r="AE39" s="10">
        <f>AG$43*AF39</f>
        <v>5.4920000000000018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46">
        <v>300</v>
      </c>
      <c r="E40" s="446"/>
      <c r="F40" s="208">
        <f t="shared" si="24"/>
        <v>48.71</v>
      </c>
      <c r="G40" s="445">
        <f t="shared" si="14"/>
        <v>36.71</v>
      </c>
      <c r="H40" s="445"/>
      <c r="I40" s="210"/>
      <c r="J40" s="8">
        <f t="shared" si="15"/>
        <v>0.82000000000000028</v>
      </c>
      <c r="K40" s="6" t="s">
        <v>23</v>
      </c>
      <c r="L40" s="7" t="s">
        <v>23</v>
      </c>
      <c r="S40" s="3">
        <f>$R$39</f>
        <v>678.5</v>
      </c>
      <c r="T40" s="3">
        <f t="shared" si="10"/>
        <v>5.8816255416085772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121.81714938611127</v>
      </c>
      <c r="AA40" s="10">
        <f>$Z$39</f>
        <v>63.968981966582994</v>
      </c>
      <c r="AB40" s="10">
        <f t="shared" si="6"/>
        <v>500</v>
      </c>
      <c r="AC40" s="10">
        <f t="shared" si="7"/>
        <v>57.848167419528274</v>
      </c>
      <c r="AD40" s="83">
        <f>INT((AC$38+AE40)*100)/100</f>
        <v>53.34</v>
      </c>
      <c r="AE40" s="10">
        <f>AG$43*AF40</f>
        <v>7.5515000000000025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46">
        <v>360</v>
      </c>
      <c r="E41" s="446"/>
      <c r="F41" s="208">
        <f t="shared" si="24"/>
        <v>49.54</v>
      </c>
      <c r="G41" s="445">
        <f t="shared" si="14"/>
        <v>37.54</v>
      </c>
      <c r="H41" s="445"/>
      <c r="I41" s="210"/>
      <c r="J41" s="8">
        <f t="shared" si="15"/>
        <v>0.82999999999999829</v>
      </c>
      <c r="K41" s="6" t="s">
        <v>23</v>
      </c>
      <c r="L41" s="7" t="s">
        <v>23</v>
      </c>
      <c r="S41" s="3">
        <f>$R$39</f>
        <v>678.5</v>
      </c>
      <c r="T41" s="3">
        <f t="shared" si="10"/>
        <v>5.8816255416085772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121.99873338569344</v>
      </c>
      <c r="AA41" s="10">
        <f>$Z$39</f>
        <v>63.968981966582994</v>
      </c>
      <c r="AB41" s="10">
        <f t="shared" si="6"/>
        <v>510</v>
      </c>
      <c r="AC41" s="10">
        <f t="shared" si="7"/>
        <v>58.029751419110447</v>
      </c>
      <c r="AD41" s="83">
        <f>INT((AC$38+AE41)*100)/100</f>
        <v>55.4</v>
      </c>
      <c r="AE41" s="10">
        <f>AG$43*AF41</f>
        <v>9.6110000000000024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590</v>
      </c>
      <c r="C42" s="207">
        <v>0.67361111111111116</v>
      </c>
      <c r="D42" s="446">
        <v>370</v>
      </c>
      <c r="E42" s="446"/>
      <c r="F42" s="208">
        <f t="shared" si="24"/>
        <v>54.49</v>
      </c>
      <c r="G42" s="445">
        <f t="shared" si="14"/>
        <v>42.49</v>
      </c>
      <c r="H42" s="445"/>
      <c r="I42" s="210"/>
      <c r="J42" s="8">
        <f t="shared" si="15"/>
        <v>4.9500000000000028</v>
      </c>
      <c r="K42" s="6" t="s">
        <v>23</v>
      </c>
      <c r="L42" s="7" t="s">
        <v>23</v>
      </c>
      <c r="S42" s="3">
        <f>$R$39</f>
        <v>678.5</v>
      </c>
      <c r="T42" s="3">
        <f t="shared" si="10"/>
        <v>5.8816255416085772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122.52285845453379</v>
      </c>
      <c r="Z42" s="10">
        <f>Y43-Z43</f>
        <v>63.968981966582994</v>
      </c>
      <c r="AA42" s="10">
        <f>$Z$39</f>
        <v>63.968981966582994</v>
      </c>
      <c r="AB42" s="10">
        <f t="shared" si="6"/>
        <v>540</v>
      </c>
      <c r="AC42" s="10">
        <f t="shared" si="7"/>
        <v>58.553876487950795</v>
      </c>
      <c r="AD42" s="83">
        <f>INT((AC$38+AE42)*100)/100</f>
        <v>57.46</v>
      </c>
      <c r="AE42" s="10">
        <f>AG$43*AF42</f>
        <v>11.670500000000002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46">
        <v>380</v>
      </c>
      <c r="E43" s="446"/>
      <c r="F43" s="208">
        <f t="shared" si="24"/>
        <v>55.31</v>
      </c>
      <c r="G43" s="445">
        <f t="shared" si="14"/>
        <v>43.31</v>
      </c>
      <c r="H43" s="445"/>
      <c r="I43" s="210"/>
      <c r="J43" s="8">
        <f t="shared" si="15"/>
        <v>0.82000000000000028</v>
      </c>
      <c r="K43" s="6" t="s">
        <v>23</v>
      </c>
      <c r="L43" s="7" t="s">
        <v>23</v>
      </c>
      <c r="S43" s="3">
        <f>$R$39</f>
        <v>678.5</v>
      </c>
      <c r="T43" s="3">
        <f t="shared" si="10"/>
        <v>5.8816255416085772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123.488981966583</v>
      </c>
      <c r="Z43" s="10">
        <f>입력표!B24</f>
        <v>59.52</v>
      </c>
      <c r="AA43" s="10">
        <f>$Z$39</f>
        <v>63.968981966582994</v>
      </c>
      <c r="AB43" s="10">
        <f t="shared" si="6"/>
        <v>600</v>
      </c>
      <c r="AC43" s="10">
        <f t="shared" si="7"/>
        <v>59.52</v>
      </c>
      <c r="AD43" s="83">
        <f>INT((AC$38+AE43)*100)/100</f>
        <v>59.52</v>
      </c>
      <c r="AE43" s="10">
        <f>AG$43*AF43</f>
        <v>13.730000000000004</v>
      </c>
      <c r="AF43" s="10">
        <v>1</v>
      </c>
      <c r="AG43" s="10">
        <f>AC43-AC38</f>
        <v>13.730000000000004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46">
        <v>390</v>
      </c>
      <c r="E44" s="446"/>
      <c r="F44" s="208">
        <f t="shared" si="24"/>
        <v>56.14</v>
      </c>
      <c r="G44" s="445">
        <f t="shared" si="14"/>
        <v>44.14</v>
      </c>
      <c r="H44" s="445"/>
      <c r="I44" s="210"/>
      <c r="J44" s="8">
        <f t="shared" si="15"/>
        <v>0.82999999999999829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46">
        <v>420</v>
      </c>
      <c r="E45" s="446"/>
      <c r="F45" s="208">
        <f t="shared" ref="F45:F51" si="25">G45+$D$10</f>
        <v>56.96</v>
      </c>
      <c r="G45" s="445">
        <f t="shared" si="14"/>
        <v>44.96</v>
      </c>
      <c r="H45" s="445"/>
      <c r="I45" s="210"/>
      <c r="J45" s="8">
        <f t="shared" si="15"/>
        <v>0.82000000000000028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46">
        <v>480</v>
      </c>
      <c r="E46" s="446"/>
      <c r="F46" s="208">
        <f t="shared" si="25"/>
        <v>57.79</v>
      </c>
      <c r="G46" s="445">
        <f t="shared" si="14"/>
        <v>45.79</v>
      </c>
      <c r="H46" s="445"/>
      <c r="I46" s="210"/>
      <c r="J46" s="8">
        <f t="shared" si="15"/>
        <v>0.82999999999999829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678.5</v>
      </c>
      <c r="C47" s="207">
        <v>0.75694444444444453</v>
      </c>
      <c r="D47" s="446">
        <v>490</v>
      </c>
      <c r="E47" s="446"/>
      <c r="F47" s="208">
        <f t="shared" si="25"/>
        <v>63.28</v>
      </c>
      <c r="G47" s="445">
        <f t="shared" si="14"/>
        <v>51.28</v>
      </c>
      <c r="H47" s="445"/>
      <c r="I47" s="210"/>
      <c r="J47" s="8">
        <f t="shared" si="15"/>
        <v>5.490000000000002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46">
        <v>500</v>
      </c>
      <c r="E48" s="446"/>
      <c r="F48" s="208">
        <f t="shared" si="25"/>
        <v>65.34</v>
      </c>
      <c r="G48" s="445">
        <f t="shared" si="14"/>
        <v>53.34</v>
      </c>
      <c r="H48" s="445"/>
      <c r="I48" s="210"/>
      <c r="J48" s="8">
        <f t="shared" si="15"/>
        <v>2.0600000000000023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46">
        <v>510</v>
      </c>
      <c r="E49" s="446"/>
      <c r="F49" s="208">
        <f t="shared" si="25"/>
        <v>67.400000000000006</v>
      </c>
      <c r="G49" s="445">
        <f t="shared" si="14"/>
        <v>55.4</v>
      </c>
      <c r="H49" s="445"/>
      <c r="I49" s="210"/>
      <c r="J49" s="8">
        <f t="shared" si="15"/>
        <v>2.0599999999999952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46">
        <v>540</v>
      </c>
      <c r="E50" s="446"/>
      <c r="F50" s="208">
        <f t="shared" si="25"/>
        <v>69.460000000000008</v>
      </c>
      <c r="G50" s="445">
        <f t="shared" si="14"/>
        <v>57.46</v>
      </c>
      <c r="H50" s="445"/>
      <c r="I50" s="210"/>
      <c r="J50" s="8">
        <f t="shared" si="15"/>
        <v>2.0600000000000023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46">
        <v>600</v>
      </c>
      <c r="E51" s="446"/>
      <c r="F51" s="208">
        <f t="shared" si="25"/>
        <v>71.52000000000001</v>
      </c>
      <c r="G51" s="445">
        <f t="shared" si="14"/>
        <v>59.52</v>
      </c>
      <c r="H51" s="445"/>
      <c r="I51" s="210" t="s">
        <v>13</v>
      </c>
      <c r="J51" s="8">
        <f t="shared" si="15"/>
        <v>2.0600000000000023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zoomScaleNormal="100" workbookViewId="0">
      <selection activeCell="K8" sqref="K8"/>
    </sheetView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10" t="s">
        <v>137</v>
      </c>
      <c r="L1" s="271">
        <f>O1-Q1</f>
        <v>-6.6892270759497663</v>
      </c>
      <c r="M1" s="463" t="s">
        <v>136</v>
      </c>
      <c r="N1" s="463"/>
      <c r="O1" s="272">
        <f>단계양수시험!G41</f>
        <v>37.54</v>
      </c>
      <c r="P1" s="273" t="s">
        <v>125</v>
      </c>
      <c r="Q1" s="274">
        <f>G35</f>
        <v>44.229227075949765</v>
      </c>
      <c r="R1" s="275" t="s">
        <v>52</v>
      </c>
      <c r="S1" s="276">
        <v>4.5901054101942504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두산인프라코어 지하수 관정개발을 위한 지하수영향조사</v>
      </c>
      <c r="D2" s="57"/>
      <c r="E2" s="57"/>
      <c r="F2" s="190"/>
      <c r="G2" s="190"/>
      <c r="H2" s="190"/>
      <c r="I2" s="191"/>
      <c r="N2" s="3" t="s">
        <v>255</v>
      </c>
      <c r="O2" s="9">
        <f>G8</f>
        <v>63.45</v>
      </c>
      <c r="S2" s="3">
        <v>0</v>
      </c>
      <c r="T2" s="14">
        <f>B10</f>
        <v>520</v>
      </c>
      <c r="U2" s="14">
        <f>T2</f>
        <v>520</v>
      </c>
      <c r="V2" s="3">
        <f>S1</f>
        <v>4.5901054101942504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42.736687518481318</v>
      </c>
      <c r="AB2" s="10">
        <f>1.6*U2/(4*PI()*V2)*LOG10((2.25*V2*Y2)/(W2*W2*X2))</f>
        <v>42.736687518481318</v>
      </c>
      <c r="AC2" s="15">
        <v>0</v>
      </c>
      <c r="AD2" s="12">
        <f>Z2</f>
        <v>1</v>
      </c>
      <c r="AE2" s="10">
        <f>AB2-$O$3-N3</f>
        <v>7.3566876996662387</v>
      </c>
      <c r="AF2" s="10">
        <f>AB2</f>
        <v>42.736687518481318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개화지구</v>
      </c>
      <c r="D3" s="57"/>
      <c r="E3" s="57"/>
      <c r="F3" s="192"/>
      <c r="G3" s="190"/>
      <c r="H3" s="193" t="str">
        <f>단계양수시험!H5</f>
        <v>공  번 : W - 1</v>
      </c>
      <c r="I3" s="194"/>
      <c r="K3" s="411" t="s">
        <v>182</v>
      </c>
      <c r="L3" s="13">
        <f t="shared" ref="L3:L10" si="1">P17</f>
        <v>0</v>
      </c>
      <c r="M3" s="62">
        <f>D10</f>
        <v>1</v>
      </c>
      <c r="N3" s="403"/>
      <c r="O3" s="402">
        <v>35.379999818815079</v>
      </c>
      <c r="U3" s="14">
        <f>U2</f>
        <v>520</v>
      </c>
      <c r="V3" s="3">
        <f>V$2</f>
        <v>4.5901054101942504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47.07879506061726</v>
      </c>
      <c r="AB3" s="10">
        <f t="shared" ref="AB3:AB43" si="4">1.6*U3/(4*PI()*V3)*LOG10((2.25*V3*Y3)/(W3*W3*X3))</f>
        <v>47.07879506061726</v>
      </c>
      <c r="AC3" s="10">
        <f>AA69</f>
        <v>86.829999818815082</v>
      </c>
      <c r="AD3" s="12">
        <f t="shared" ref="AD3:AD66" si="5">Z3</f>
        <v>2</v>
      </c>
      <c r="AE3" s="10">
        <f t="shared" ref="AE3:AE16" si="6">AB3-$O$3-N4</f>
        <v>11.698795241802181</v>
      </c>
      <c r="AF3" s="10">
        <f t="shared" ref="AF3:AF16" si="7">AB3</f>
        <v>47.07879506061726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보령시 성주면 개화리 산 52-5</v>
      </c>
      <c r="D4" s="58"/>
      <c r="E4" s="58"/>
      <c r="F4" s="190"/>
      <c r="G4" s="190"/>
      <c r="H4" s="190"/>
      <c r="I4" s="191"/>
      <c r="K4" s="411" t="s">
        <v>183</v>
      </c>
      <c r="L4" s="13">
        <f t="shared" si="1"/>
        <v>-3.02</v>
      </c>
      <c r="M4" s="62">
        <f t="shared" ref="M4:M13" si="8">D11</f>
        <v>2</v>
      </c>
      <c r="N4" s="29"/>
      <c r="O4" s="29"/>
      <c r="U4" s="14">
        <f t="shared" ref="U4:U67" si="9">U3</f>
        <v>520</v>
      </c>
      <c r="V4" s="3">
        <f t="shared" ref="V4:V67" si="10">V$2</f>
        <v>4.5901054101942504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49.618765146865293</v>
      </c>
      <c r="AB4" s="10">
        <f t="shared" si="4"/>
        <v>49.618765146865293</v>
      </c>
      <c r="AC4" s="10">
        <f>AB69</f>
        <v>86.829999818815082</v>
      </c>
      <c r="AD4" s="12">
        <f t="shared" si="5"/>
        <v>3</v>
      </c>
      <c r="AE4" s="10">
        <f t="shared" si="6"/>
        <v>14.238765328050214</v>
      </c>
      <c r="AF4" s="10">
        <f t="shared" si="7"/>
        <v>49.618765146865293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산수개발㈜</v>
      </c>
      <c r="E5" s="57"/>
      <c r="F5" s="195" t="s">
        <v>4</v>
      </c>
      <c r="G5" s="196">
        <f>입력표!I50</f>
        <v>0</v>
      </c>
      <c r="H5" s="197"/>
      <c r="I5" s="197"/>
      <c r="K5" s="411" t="s">
        <v>184</v>
      </c>
      <c r="L5" s="13">
        <f t="shared" si="1"/>
        <v>-7.84</v>
      </c>
      <c r="M5" s="62">
        <f t="shared" si="8"/>
        <v>3</v>
      </c>
      <c r="N5" s="29"/>
      <c r="O5" s="29"/>
      <c r="U5" s="14">
        <f t="shared" si="9"/>
        <v>520</v>
      </c>
      <c r="V5" s="3">
        <f t="shared" si="10"/>
        <v>4.5901054101942504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51.420902602753202</v>
      </c>
      <c r="AB5" s="10">
        <f t="shared" si="4"/>
        <v>51.420902602753202</v>
      </c>
      <c r="AC5" s="10">
        <f>AE69</f>
        <v>51.45</v>
      </c>
      <c r="AD5" s="12">
        <f t="shared" si="5"/>
        <v>4</v>
      </c>
      <c r="AE5" s="10">
        <f t="shared" si="6"/>
        <v>16.040902783938122</v>
      </c>
      <c r="AF5" s="10">
        <f t="shared" si="7"/>
        <v>51.420902602753202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59">
        <f>단계양수시험!C8</f>
        <v>3</v>
      </c>
      <c r="D6" s="459"/>
      <c r="E6" s="460"/>
      <c r="F6" s="195" t="s">
        <v>6</v>
      </c>
      <c r="G6" s="196" t="str">
        <f>입력표!I51</f>
        <v>개발시 적정채수량으로 적용 =</v>
      </c>
      <c r="H6" s="197"/>
      <c r="I6" s="197"/>
      <c r="K6" s="406">
        <v>0.2</v>
      </c>
      <c r="L6" s="13">
        <f t="shared" si="1"/>
        <v>-13.38</v>
      </c>
      <c r="M6" s="62">
        <f t="shared" si="8"/>
        <v>4</v>
      </c>
      <c r="N6" s="29"/>
      <c r="O6" s="29"/>
      <c r="U6" s="14">
        <f t="shared" si="9"/>
        <v>520</v>
      </c>
      <c r="V6" s="3">
        <f t="shared" si="10"/>
        <v>4.5901054101942504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52.81874901158907</v>
      </c>
      <c r="AB6" s="10">
        <f t="shared" si="4"/>
        <v>52.81874901158907</v>
      </c>
      <c r="AD6" s="12">
        <f t="shared" si="5"/>
        <v>5</v>
      </c>
      <c r="AE6" s="10">
        <f t="shared" si="6"/>
        <v>17.43874919277399</v>
      </c>
      <c r="AF6" s="10">
        <f t="shared" si="7"/>
        <v>52.81874901158907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100</v>
      </c>
      <c r="H7" s="190"/>
      <c r="I7" s="191"/>
      <c r="L7" s="13">
        <f t="shared" si="1"/>
        <v>-19.350000000000001</v>
      </c>
      <c r="M7" s="62">
        <f t="shared" si="8"/>
        <v>5</v>
      </c>
      <c r="N7" s="29"/>
      <c r="O7" s="29"/>
      <c r="U7" s="14">
        <f t="shared" si="9"/>
        <v>520</v>
      </c>
      <c r="V7" s="3">
        <f t="shared" si="10"/>
        <v>4.5901054101942504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57.160856553725012</v>
      </c>
      <c r="AB7" s="10">
        <f t="shared" si="4"/>
        <v>57.160856553725012</v>
      </c>
      <c r="AD7" s="12">
        <f t="shared" si="5"/>
        <v>10</v>
      </c>
      <c r="AE7" s="10">
        <f t="shared" si="6"/>
        <v>21.780856734909932</v>
      </c>
      <c r="AF7" s="10">
        <f t="shared" si="7"/>
        <v>57.160856553725012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12</v>
      </c>
      <c r="E8" s="200"/>
      <c r="F8" s="201" t="s">
        <v>14</v>
      </c>
      <c r="G8" s="204">
        <f>F77</f>
        <v>63.45</v>
      </c>
      <c r="H8" s="197">
        <f>입력표!C40</f>
        <v>520</v>
      </c>
      <c r="I8" s="189"/>
      <c r="J8" s="9">
        <f>입력표!M50</f>
        <v>51.45</v>
      </c>
      <c r="K8" s="407">
        <f>G10-J11</f>
        <v>3.0145801575302968</v>
      </c>
      <c r="L8" s="13">
        <f t="shared" si="1"/>
        <v>-51.79</v>
      </c>
      <c r="M8" s="62">
        <f t="shared" si="8"/>
        <v>10</v>
      </c>
      <c r="N8" s="29"/>
      <c r="O8" s="29"/>
      <c r="U8" s="14">
        <f t="shared" si="9"/>
        <v>520</v>
      </c>
      <c r="V8" s="3">
        <f t="shared" si="10"/>
        <v>4.5901054101942504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59.700826639973037</v>
      </c>
      <c r="AB8" s="10">
        <f t="shared" si="4"/>
        <v>59.700826639973037</v>
      </c>
      <c r="AD8" s="12">
        <f t="shared" si="5"/>
        <v>15</v>
      </c>
      <c r="AE8" s="10">
        <f t="shared" si="6"/>
        <v>24.320826821157958</v>
      </c>
      <c r="AF8" s="10">
        <f t="shared" si="7"/>
        <v>59.700826639973037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61" t="s">
        <v>161</v>
      </c>
      <c r="E9" s="461"/>
      <c r="F9" s="186" t="s">
        <v>162</v>
      </c>
      <c r="G9" s="186" t="s">
        <v>163</v>
      </c>
      <c r="H9" s="462" t="s">
        <v>164</v>
      </c>
      <c r="I9" s="462"/>
      <c r="J9" s="9">
        <f>G8-D8</f>
        <v>51.45</v>
      </c>
      <c r="L9" s="13">
        <f t="shared" si="1"/>
        <v>-86.04</v>
      </c>
      <c r="M9" s="62">
        <f t="shared" si="8"/>
        <v>15</v>
      </c>
      <c r="N9" s="29"/>
      <c r="O9" s="29"/>
      <c r="U9" s="14">
        <f t="shared" si="9"/>
        <v>520</v>
      </c>
      <c r="V9" s="3">
        <f t="shared" si="10"/>
        <v>4.5901054101942504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61.502964095860946</v>
      </c>
      <c r="AB9" s="10">
        <f t="shared" si="4"/>
        <v>61.502964095860946</v>
      </c>
      <c r="AD9" s="12">
        <f t="shared" si="5"/>
        <v>20</v>
      </c>
      <c r="AE9" s="10">
        <f t="shared" si="6"/>
        <v>26.122964277045867</v>
      </c>
      <c r="AF9" s="10">
        <f t="shared" si="7"/>
        <v>61.502964095860946</v>
      </c>
    </row>
    <row r="10" spans="1:37" s="3" customFormat="1" ht="21" customHeight="1" x14ac:dyDescent="0.15">
      <c r="A10" s="54">
        <v>1</v>
      </c>
      <c r="B10" s="61">
        <f>입력표!C26</f>
        <v>520</v>
      </c>
      <c r="C10" s="55">
        <v>43836.416666666664</v>
      </c>
      <c r="D10" s="187">
        <v>1</v>
      </c>
      <c r="E10" s="256">
        <f>D10/1440</f>
        <v>6.9444444444444447E-4</v>
      </c>
      <c r="F10" s="188">
        <f>G10+D$8</f>
        <v>19.356687699666239</v>
      </c>
      <c r="G10" s="285">
        <f>AE2</f>
        <v>7.3566876996662387</v>
      </c>
      <c r="H10" s="458">
        <v>43836.417361111111</v>
      </c>
      <c r="I10" s="458" t="s">
        <v>12</v>
      </c>
      <c r="J10" s="270">
        <f>J8-J9</f>
        <v>0</v>
      </c>
      <c r="K10" s="9">
        <f>J10+P17</f>
        <v>0</v>
      </c>
      <c r="L10" s="13">
        <f t="shared" si="1"/>
        <v>-121.02</v>
      </c>
      <c r="M10" s="62">
        <f t="shared" si="8"/>
        <v>20</v>
      </c>
      <c r="N10" s="29"/>
      <c r="O10" s="29"/>
      <c r="U10" s="14">
        <f t="shared" si="9"/>
        <v>520</v>
      </c>
      <c r="V10" s="3">
        <f t="shared" si="10"/>
        <v>4.5901054101942504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62.900810504696828</v>
      </c>
      <c r="AB10" s="10">
        <f t="shared" si="4"/>
        <v>62.900810504696828</v>
      </c>
      <c r="AD10" s="12">
        <f t="shared" si="5"/>
        <v>25</v>
      </c>
      <c r="AE10" s="10">
        <f t="shared" si="6"/>
        <v>27.520810685881749</v>
      </c>
      <c r="AF10" s="10">
        <f t="shared" si="7"/>
        <v>62.900810504696828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23.698795241802181</v>
      </c>
      <c r="G11" s="188">
        <f>AE3</f>
        <v>11.698795241802181</v>
      </c>
      <c r="H11" s="458"/>
      <c r="I11" s="458"/>
      <c r="J11" s="63">
        <f>G11-G10</f>
        <v>4.3421075421359419</v>
      </c>
      <c r="K11" s="9" t="s">
        <v>18</v>
      </c>
      <c r="M11" s="62">
        <f t="shared" si="8"/>
        <v>25</v>
      </c>
      <c r="N11" s="29"/>
      <c r="U11" s="14">
        <f t="shared" si="9"/>
        <v>520</v>
      </c>
      <c r="V11" s="3">
        <f t="shared" si="10"/>
        <v>4.5901054101942504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64.042934182108979</v>
      </c>
      <c r="AB11" s="10">
        <f t="shared" si="4"/>
        <v>64.042934182108979</v>
      </c>
      <c r="AD11" s="12">
        <f t="shared" si="5"/>
        <v>30</v>
      </c>
      <c r="AE11" s="10">
        <f t="shared" si="6"/>
        <v>28.6629343632939</v>
      </c>
      <c r="AF11" s="10">
        <f t="shared" si="7"/>
        <v>64.042934182108979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26.238765328050214</v>
      </c>
      <c r="G12" s="188">
        <f t="shared" ref="G12:G74" si="16">AE4</f>
        <v>14.238765328050214</v>
      </c>
      <c r="H12" s="458"/>
      <c r="I12" s="458"/>
      <c r="J12" s="63">
        <f t="shared" ref="J12:J47" si="17">G12-G11</f>
        <v>2.539970086248033</v>
      </c>
      <c r="K12" s="9" t="s">
        <v>18</v>
      </c>
      <c r="M12" s="62">
        <f t="shared" si="8"/>
        <v>30</v>
      </c>
      <c r="N12" s="29"/>
      <c r="U12" s="14">
        <f t="shared" si="9"/>
        <v>520</v>
      </c>
      <c r="V12" s="3">
        <f t="shared" si="10"/>
        <v>4.5901054101942504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65.00858599210784</v>
      </c>
      <c r="AB12" s="10">
        <f t="shared" si="4"/>
        <v>65.00858599210784</v>
      </c>
      <c r="AD12" s="12">
        <f t="shared" si="5"/>
        <v>35</v>
      </c>
      <c r="AE12" s="10">
        <f t="shared" si="6"/>
        <v>29.62858617329276</v>
      </c>
      <c r="AF12" s="10">
        <f t="shared" si="7"/>
        <v>65.00858599210784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28.040902783938122</v>
      </c>
      <c r="G13" s="188">
        <f t="shared" si="16"/>
        <v>16.040902783938122</v>
      </c>
      <c r="H13" s="458"/>
      <c r="I13" s="458"/>
      <c r="J13" s="63">
        <f t="shared" si="17"/>
        <v>1.8021374558879089</v>
      </c>
      <c r="K13" s="9" t="s">
        <v>18</v>
      </c>
      <c r="M13" s="62">
        <f t="shared" si="8"/>
        <v>35</v>
      </c>
      <c r="N13" s="29"/>
      <c r="U13" s="14">
        <f t="shared" si="9"/>
        <v>520</v>
      </c>
      <c r="V13" s="3">
        <f t="shared" si="10"/>
        <v>4.5901054101942504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65.845071637996881</v>
      </c>
      <c r="AB13" s="10">
        <f t="shared" si="4"/>
        <v>65.845071637996881</v>
      </c>
      <c r="AD13" s="12">
        <f t="shared" si="5"/>
        <v>40</v>
      </c>
      <c r="AE13" s="10">
        <f t="shared" si="6"/>
        <v>30.465071819181802</v>
      </c>
      <c r="AF13" s="10">
        <f t="shared" si="7"/>
        <v>65.845071637996881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29.43874919277399</v>
      </c>
      <c r="G14" s="188">
        <f t="shared" si="16"/>
        <v>17.43874919277399</v>
      </c>
      <c r="H14" s="458"/>
      <c r="I14" s="458"/>
      <c r="J14" s="63">
        <f t="shared" si="17"/>
        <v>1.3978464088358677</v>
      </c>
      <c r="K14" s="9" t="s">
        <v>18</v>
      </c>
      <c r="M14" s="62"/>
      <c r="N14" s="29"/>
      <c r="U14" s="14">
        <f t="shared" si="9"/>
        <v>520</v>
      </c>
      <c r="V14" s="3">
        <f t="shared" si="10"/>
        <v>4.5901054101942504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66.582904268357012</v>
      </c>
      <c r="AB14" s="10">
        <f t="shared" si="4"/>
        <v>66.582904268357012</v>
      </c>
      <c r="AD14" s="12">
        <f t="shared" si="5"/>
        <v>45</v>
      </c>
      <c r="AE14" s="10">
        <f t="shared" si="6"/>
        <v>31.202904449541933</v>
      </c>
      <c r="AF14" s="10">
        <f t="shared" si="7"/>
        <v>66.582904268357012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33.780856734909932</v>
      </c>
      <c r="G15" s="188">
        <f t="shared" si="16"/>
        <v>21.780856734909932</v>
      </c>
      <c r="H15" s="458"/>
      <c r="I15" s="458"/>
      <c r="J15" s="63">
        <f t="shared" si="17"/>
        <v>4.3421075421359419</v>
      </c>
      <c r="K15" s="9" t="s">
        <v>18</v>
      </c>
      <c r="M15" s="68"/>
      <c r="N15" s="405"/>
      <c r="U15" s="14">
        <f t="shared" si="9"/>
        <v>520</v>
      </c>
      <c r="V15" s="3">
        <f t="shared" si="10"/>
        <v>4.5901054101942504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67.24291804683277</v>
      </c>
      <c r="AB15" s="10">
        <f t="shared" si="4"/>
        <v>67.24291804683277</v>
      </c>
      <c r="AD15" s="12">
        <f t="shared" si="5"/>
        <v>50</v>
      </c>
      <c r="AE15" s="10">
        <f t="shared" si="6"/>
        <v>31.862918228017691</v>
      </c>
      <c r="AF15" s="10">
        <f t="shared" si="7"/>
        <v>67.24291804683277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36.320826821157958</v>
      </c>
      <c r="G16" s="188">
        <f t="shared" si="16"/>
        <v>24.320826821157958</v>
      </c>
      <c r="H16" s="458"/>
      <c r="I16" s="458"/>
      <c r="J16" s="63">
        <f t="shared" si="17"/>
        <v>2.5399700862480259</v>
      </c>
      <c r="K16" s="65"/>
      <c r="M16" s="66"/>
      <c r="N16" s="15"/>
      <c r="P16" s="13"/>
      <c r="U16" s="14">
        <f t="shared" si="9"/>
        <v>520</v>
      </c>
      <c r="V16" s="3">
        <f t="shared" si="10"/>
        <v>4.5901054101942504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67.839973134377615</v>
      </c>
      <c r="AB16" s="10">
        <f t="shared" si="4"/>
        <v>67.839973134377615</v>
      </c>
      <c r="AD16" s="12">
        <f t="shared" si="5"/>
        <v>55</v>
      </c>
      <c r="AE16" s="10">
        <f t="shared" si="6"/>
        <v>32.410893315562539</v>
      </c>
      <c r="AF16" s="10">
        <f t="shared" si="7"/>
        <v>67.839973134377615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38.122964277045867</v>
      </c>
      <c r="G17" s="188">
        <f t="shared" si="16"/>
        <v>26.122964277045867</v>
      </c>
      <c r="H17" s="458"/>
      <c r="I17" s="458"/>
      <c r="J17" s="63">
        <f t="shared" si="17"/>
        <v>1.8021374558879089</v>
      </c>
      <c r="K17" s="29">
        <f>D10</f>
        <v>1</v>
      </c>
      <c r="L17" s="3">
        <f>INT(B10/1440*10000)/10000</f>
        <v>0.36109999999999998</v>
      </c>
      <c r="M17" s="3">
        <f>K17*L17</f>
        <v>0.36109999999999998</v>
      </c>
      <c r="N17" s="3">
        <f>INT((D7/2/1000)^2*PI()*100000)/100000</f>
        <v>4.9079999999999999E-2</v>
      </c>
      <c r="O17" s="3">
        <f>INT(M17/N17*100)/100</f>
        <v>7.35</v>
      </c>
      <c r="P17" s="13">
        <f>INT((G10-O17)*100)/100</f>
        <v>0</v>
      </c>
      <c r="U17" s="14">
        <f t="shared" si="9"/>
        <v>520</v>
      </c>
      <c r="V17" s="3">
        <f t="shared" si="10"/>
        <v>4.5901054101942504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68.385041724244928</v>
      </c>
      <c r="AB17" s="10">
        <f t="shared" si="4"/>
        <v>68.385041724244928</v>
      </c>
      <c r="AD17" s="12">
        <f t="shared" si="5"/>
        <v>60</v>
      </c>
      <c r="AE17" s="10">
        <f t="shared" ref="AE17:AE48" si="18">AB17-$O$3</f>
        <v>33.005041905429849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39.520810685881749</v>
      </c>
      <c r="G18" s="188">
        <f t="shared" si="16"/>
        <v>27.520810685881749</v>
      </c>
      <c r="H18" s="458"/>
      <c r="I18" s="458"/>
      <c r="J18" s="63">
        <f t="shared" si="17"/>
        <v>1.397846408835882</v>
      </c>
      <c r="K18" s="29">
        <f t="shared" ref="K18:K31" si="19">D11</f>
        <v>2</v>
      </c>
      <c r="L18" s="3">
        <f>L17</f>
        <v>0.36109999999999998</v>
      </c>
      <c r="M18" s="3">
        <f t="shared" ref="M18:M27" si="20">K18*L18</f>
        <v>0.72219999999999995</v>
      </c>
      <c r="N18" s="3">
        <f>N17</f>
        <v>4.9079999999999999E-2</v>
      </c>
      <c r="O18" s="3">
        <f>INT(M18/N18*100)/100</f>
        <v>14.71</v>
      </c>
      <c r="P18" s="13">
        <f t="shared" ref="P18:P27" si="21">INT((G11-O18)*100)/100</f>
        <v>-3.02</v>
      </c>
      <c r="U18" s="14">
        <f t="shared" si="9"/>
        <v>520</v>
      </c>
      <c r="V18" s="3">
        <f t="shared" si="10"/>
        <v>4.5901054101942504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69.782888133080803</v>
      </c>
      <c r="AB18" s="10">
        <f t="shared" si="4"/>
        <v>69.782888133080803</v>
      </c>
      <c r="AD18" s="12">
        <f t="shared" si="5"/>
        <v>75</v>
      </c>
      <c r="AE18" s="10">
        <f t="shared" si="18"/>
        <v>34.402888314265724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40.6629343632939</v>
      </c>
      <c r="G19" s="188">
        <f t="shared" si="16"/>
        <v>28.6629343632939</v>
      </c>
      <c r="H19" s="458"/>
      <c r="I19" s="458"/>
      <c r="J19" s="63">
        <f t="shared" si="17"/>
        <v>1.142123677412151</v>
      </c>
      <c r="K19" s="29">
        <f t="shared" si="19"/>
        <v>3</v>
      </c>
      <c r="L19" s="3">
        <f>L18</f>
        <v>0.36109999999999998</v>
      </c>
      <c r="M19" s="3">
        <f t="shared" si="20"/>
        <v>1.0832999999999999</v>
      </c>
      <c r="N19" s="3">
        <f t="shared" ref="N19:N31" si="22">N18</f>
        <v>4.9079999999999999E-2</v>
      </c>
      <c r="O19" s="3">
        <f>INT(M19/N19*100)/100</f>
        <v>22.07</v>
      </c>
      <c r="P19" s="13">
        <f t="shared" si="21"/>
        <v>-7.84</v>
      </c>
      <c r="U19" s="14">
        <f t="shared" si="9"/>
        <v>520</v>
      </c>
      <c r="V19" s="3">
        <f t="shared" si="10"/>
        <v>4.5901054101942504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70.925011810492961</v>
      </c>
      <c r="AB19" s="10">
        <f t="shared" si="4"/>
        <v>70.925011810492961</v>
      </c>
      <c r="AD19" s="12">
        <f t="shared" si="5"/>
        <v>90</v>
      </c>
      <c r="AE19" s="10">
        <f t="shared" si="18"/>
        <v>35.545011991677882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41.62858617329276</v>
      </c>
      <c r="G20" s="188">
        <f t="shared" si="16"/>
        <v>29.62858617329276</v>
      </c>
      <c r="H20" s="458"/>
      <c r="I20" s="458"/>
      <c r="J20" s="63">
        <f t="shared" si="17"/>
        <v>0.96565180999886024</v>
      </c>
      <c r="K20" s="29">
        <f t="shared" si="19"/>
        <v>4</v>
      </c>
      <c r="L20" s="3">
        <f>L19</f>
        <v>0.36109999999999998</v>
      </c>
      <c r="M20" s="3">
        <f t="shared" si="20"/>
        <v>1.4443999999999999</v>
      </c>
      <c r="N20" s="3">
        <f>N19</f>
        <v>4.9079999999999999E-2</v>
      </c>
      <c r="O20" s="3">
        <f>INT(M20/N20*100)/100</f>
        <v>29.42</v>
      </c>
      <c r="P20" s="13">
        <f t="shared" si="21"/>
        <v>-13.38</v>
      </c>
      <c r="U20" s="14">
        <f t="shared" si="9"/>
        <v>520</v>
      </c>
      <c r="V20" s="3">
        <f t="shared" si="10"/>
        <v>4.5901054101942504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71.890663620491821</v>
      </c>
      <c r="AB20" s="10">
        <f t="shared" si="4"/>
        <v>71.890663620491821</v>
      </c>
      <c r="AD20" s="12">
        <f t="shared" si="5"/>
        <v>105</v>
      </c>
      <c r="AE20" s="10">
        <f t="shared" si="18"/>
        <v>36.510663801676742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42.465071819181802</v>
      </c>
      <c r="G21" s="188">
        <f t="shared" si="16"/>
        <v>30.465071819181802</v>
      </c>
      <c r="H21" s="458"/>
      <c r="I21" s="458"/>
      <c r="J21" s="63">
        <f t="shared" si="17"/>
        <v>0.83648564588904151</v>
      </c>
      <c r="K21" s="29">
        <f t="shared" si="19"/>
        <v>5</v>
      </c>
      <c r="L21" s="3">
        <f>L20</f>
        <v>0.36109999999999998</v>
      </c>
      <c r="M21" s="3">
        <f t="shared" si="20"/>
        <v>1.8054999999999999</v>
      </c>
      <c r="N21" s="3">
        <f t="shared" si="22"/>
        <v>4.9079999999999999E-2</v>
      </c>
      <c r="O21" s="3">
        <f>INT(M21/N21*100)/100</f>
        <v>36.78</v>
      </c>
      <c r="P21" s="13">
        <f t="shared" si="21"/>
        <v>-19.350000000000001</v>
      </c>
      <c r="U21" s="14">
        <f t="shared" si="9"/>
        <v>520</v>
      </c>
      <c r="V21" s="3">
        <f t="shared" si="10"/>
        <v>4.5901054101942504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72.727149266380863</v>
      </c>
      <c r="AB21" s="10">
        <f t="shared" si="4"/>
        <v>72.727149266380863</v>
      </c>
      <c r="AD21" s="12">
        <f t="shared" si="5"/>
        <v>120</v>
      </c>
      <c r="AE21" s="10">
        <f t="shared" si="18"/>
        <v>37.347149447565783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43.202904449541933</v>
      </c>
      <c r="G22" s="188">
        <f t="shared" si="16"/>
        <v>31.202904449541933</v>
      </c>
      <c r="H22" s="458"/>
      <c r="I22" s="458"/>
      <c r="J22" s="63">
        <f t="shared" si="17"/>
        <v>0.73783263036013125</v>
      </c>
      <c r="K22" s="29">
        <f t="shared" si="19"/>
        <v>10</v>
      </c>
      <c r="L22" s="3">
        <f t="shared" ref="L22:L31" si="23">L21</f>
        <v>0.36109999999999998</v>
      </c>
      <c r="M22" s="3">
        <f t="shared" si="20"/>
        <v>3.6109999999999998</v>
      </c>
      <c r="N22" s="3">
        <f t="shared" si="22"/>
        <v>4.9079999999999999E-2</v>
      </c>
      <c r="O22" s="3">
        <f t="shared" ref="O22:O27" si="24">INT(M22/N22*100)/100</f>
        <v>73.569999999999993</v>
      </c>
      <c r="P22" s="13">
        <f t="shared" si="21"/>
        <v>-51.79</v>
      </c>
      <c r="U22" s="14">
        <f t="shared" si="9"/>
        <v>520</v>
      </c>
      <c r="V22" s="3">
        <f t="shared" si="10"/>
        <v>4.5901054101942504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73.692801076379723</v>
      </c>
      <c r="AB22" s="10">
        <f t="shared" si="4"/>
        <v>73.692801076379723</v>
      </c>
      <c r="AD22" s="12">
        <f t="shared" si="5"/>
        <v>140</v>
      </c>
      <c r="AE22" s="10">
        <f t="shared" si="18"/>
        <v>38.312801257564644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43.862918228017691</v>
      </c>
      <c r="G23" s="188">
        <f t="shared" si="16"/>
        <v>31.862918228017691</v>
      </c>
      <c r="H23" s="458"/>
      <c r="I23" s="458"/>
      <c r="J23" s="63">
        <f t="shared" si="17"/>
        <v>0.66001377847575782</v>
      </c>
      <c r="K23" s="29">
        <f t="shared" si="19"/>
        <v>15</v>
      </c>
      <c r="L23" s="3">
        <f t="shared" si="23"/>
        <v>0.36109999999999998</v>
      </c>
      <c r="M23" s="3">
        <f t="shared" si="20"/>
        <v>5.4164999999999992</v>
      </c>
      <c r="N23" s="3">
        <f t="shared" si="22"/>
        <v>4.9079999999999999E-2</v>
      </c>
      <c r="O23" s="3">
        <f t="shared" si="24"/>
        <v>110.36</v>
      </c>
      <c r="P23" s="13">
        <f t="shared" si="21"/>
        <v>-86.04</v>
      </c>
      <c r="U23" s="14">
        <f t="shared" si="9"/>
        <v>520</v>
      </c>
      <c r="V23" s="3">
        <f t="shared" si="10"/>
        <v>4.5901054101942504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74.529286722268765</v>
      </c>
      <c r="AB23" s="10">
        <f t="shared" si="4"/>
        <v>74.529286722268765</v>
      </c>
      <c r="AD23" s="12">
        <f t="shared" si="5"/>
        <v>160</v>
      </c>
      <c r="AE23" s="10">
        <f t="shared" si="18"/>
        <v>39.149286903453685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44.410893315562539</v>
      </c>
      <c r="G24" s="188">
        <f t="shared" si="16"/>
        <v>32.410893315562539</v>
      </c>
      <c r="H24" s="458"/>
      <c r="I24" s="458"/>
      <c r="J24" s="63">
        <f t="shared" si="17"/>
        <v>0.5479750875448488</v>
      </c>
      <c r="K24" s="29">
        <f t="shared" si="19"/>
        <v>20</v>
      </c>
      <c r="L24" s="3">
        <f t="shared" si="23"/>
        <v>0.36109999999999998</v>
      </c>
      <c r="M24" s="3">
        <f t="shared" si="20"/>
        <v>7.2219999999999995</v>
      </c>
      <c r="N24" s="3">
        <f t="shared" si="22"/>
        <v>4.9079999999999999E-2</v>
      </c>
      <c r="O24" s="3">
        <f t="shared" si="24"/>
        <v>147.13999999999999</v>
      </c>
      <c r="P24" s="13">
        <f t="shared" si="21"/>
        <v>-121.02</v>
      </c>
      <c r="U24" s="14">
        <f t="shared" si="9"/>
        <v>520</v>
      </c>
      <c r="V24" s="3">
        <f t="shared" si="10"/>
        <v>4.5901054101942504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75.267119352628896</v>
      </c>
      <c r="AB24" s="10">
        <f t="shared" si="4"/>
        <v>75.267119352628896</v>
      </c>
      <c r="AD24" s="12">
        <f t="shared" si="5"/>
        <v>180</v>
      </c>
      <c r="AE24" s="10">
        <f t="shared" si="18"/>
        <v>39.887119533813816</v>
      </c>
    </row>
    <row r="25" spans="1:31" s="3" customFormat="1" ht="21" customHeight="1" x14ac:dyDescent="0.15">
      <c r="A25" s="54"/>
      <c r="B25" s="54"/>
      <c r="C25" s="55">
        <f>$C$10+D25/1440</f>
        <v>43836.458333333328</v>
      </c>
      <c r="D25" s="187">
        <v>60</v>
      </c>
      <c r="E25" s="256">
        <f t="shared" si="14"/>
        <v>4.1666666666666664E-2</v>
      </c>
      <c r="F25" s="188">
        <f t="shared" si="15"/>
        <v>45.005041905429849</v>
      </c>
      <c r="G25" s="188">
        <f t="shared" si="16"/>
        <v>33.005041905429849</v>
      </c>
      <c r="H25" s="458"/>
      <c r="I25" s="458"/>
      <c r="J25" s="63">
        <f t="shared" si="17"/>
        <v>0.59414858986730934</v>
      </c>
      <c r="K25" s="29">
        <f t="shared" si="19"/>
        <v>25</v>
      </c>
      <c r="L25" s="3">
        <f t="shared" si="23"/>
        <v>0.36109999999999998</v>
      </c>
      <c r="M25" s="3">
        <f t="shared" si="20"/>
        <v>9.0274999999999999</v>
      </c>
      <c r="N25" s="3">
        <f t="shared" si="22"/>
        <v>4.9079999999999999E-2</v>
      </c>
      <c r="O25" s="3">
        <f t="shared" si="24"/>
        <v>183.93</v>
      </c>
      <c r="P25" s="13">
        <f t="shared" si="21"/>
        <v>-156.41</v>
      </c>
      <c r="U25" s="14">
        <f t="shared" si="9"/>
        <v>520</v>
      </c>
      <c r="V25" s="3">
        <f t="shared" si="10"/>
        <v>4.5901054101942504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77.069256808516812</v>
      </c>
      <c r="AB25" s="10">
        <f t="shared" si="4"/>
        <v>77.069256808516812</v>
      </c>
      <c r="AD25" s="12">
        <f t="shared" si="5"/>
        <v>240</v>
      </c>
      <c r="AE25" s="10">
        <f t="shared" si="18"/>
        <v>41.689256989701732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46.402888314265724</v>
      </c>
      <c r="G26" s="188">
        <f t="shared" si="16"/>
        <v>34.402888314265724</v>
      </c>
      <c r="H26" s="458"/>
      <c r="I26" s="458"/>
      <c r="J26" s="63">
        <f t="shared" si="17"/>
        <v>1.3978464088358749</v>
      </c>
      <c r="K26" s="29">
        <f t="shared" si="19"/>
        <v>30</v>
      </c>
      <c r="L26" s="3">
        <f t="shared" si="23"/>
        <v>0.36109999999999998</v>
      </c>
      <c r="M26" s="3">
        <f t="shared" si="20"/>
        <v>10.832999999999998</v>
      </c>
      <c r="N26" s="3">
        <f t="shared" si="22"/>
        <v>4.9079999999999999E-2</v>
      </c>
      <c r="O26" s="3">
        <f t="shared" si="24"/>
        <v>220.72</v>
      </c>
      <c r="P26" s="13">
        <f t="shared" si="21"/>
        <v>-192.06</v>
      </c>
      <c r="U26" s="14">
        <f t="shared" si="9"/>
        <v>520</v>
      </c>
      <c r="V26" s="3">
        <f t="shared" si="10"/>
        <v>4.5901054101942504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78.467103217352673</v>
      </c>
      <c r="AB26" s="10">
        <f t="shared" si="4"/>
        <v>78.467103217352673</v>
      </c>
      <c r="AD26" s="12">
        <f t="shared" si="5"/>
        <v>300</v>
      </c>
      <c r="AE26" s="10">
        <f t="shared" si="18"/>
        <v>43.087103398537593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47.545011991677882</v>
      </c>
      <c r="G27" s="188">
        <f t="shared" si="16"/>
        <v>35.545011991677882</v>
      </c>
      <c r="H27" s="458"/>
      <c r="I27" s="458"/>
      <c r="J27" s="63">
        <f t="shared" si="17"/>
        <v>1.1421236774121581</v>
      </c>
      <c r="K27" s="29">
        <f t="shared" si="19"/>
        <v>35</v>
      </c>
      <c r="L27" s="3">
        <f t="shared" si="23"/>
        <v>0.36109999999999998</v>
      </c>
      <c r="M27" s="3">
        <f t="shared" si="20"/>
        <v>12.638499999999999</v>
      </c>
      <c r="N27" s="3">
        <f t="shared" si="22"/>
        <v>4.9079999999999999E-2</v>
      </c>
      <c r="O27" s="3">
        <f t="shared" si="24"/>
        <v>257.5</v>
      </c>
      <c r="P27" s="13">
        <f t="shared" si="21"/>
        <v>-227.88</v>
      </c>
      <c r="U27" s="14">
        <f t="shared" si="9"/>
        <v>520</v>
      </c>
      <c r="V27" s="3">
        <f t="shared" si="10"/>
        <v>4.5901054101942504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79.609226894764845</v>
      </c>
      <c r="AB27" s="10">
        <f t="shared" si="4"/>
        <v>79.609226894764845</v>
      </c>
      <c r="AD27" s="12">
        <f t="shared" si="5"/>
        <v>360</v>
      </c>
      <c r="AE27" s="10">
        <f t="shared" si="18"/>
        <v>44.229227075949765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48.510663801676742</v>
      </c>
      <c r="G28" s="188">
        <f t="shared" si="16"/>
        <v>36.510663801676742</v>
      </c>
      <c r="H28" s="458"/>
      <c r="I28" s="458"/>
      <c r="J28" s="63">
        <f t="shared" si="17"/>
        <v>0.96565180999886024</v>
      </c>
      <c r="K28" s="29">
        <f t="shared" si="19"/>
        <v>40</v>
      </c>
      <c r="L28" s="3">
        <f t="shared" si="23"/>
        <v>0.36109999999999998</v>
      </c>
      <c r="M28" s="3">
        <f>K28*L28</f>
        <v>14.443999999999999</v>
      </c>
      <c r="N28" s="3">
        <f t="shared" si="22"/>
        <v>4.9079999999999999E-2</v>
      </c>
      <c r="O28" s="3">
        <f>INT(M28/N28*100)/100</f>
        <v>294.29000000000002</v>
      </c>
      <c r="P28" s="13">
        <f>INT((G21-O28)*100)/100</f>
        <v>-263.83</v>
      </c>
      <c r="U28" s="14">
        <f t="shared" si="9"/>
        <v>520</v>
      </c>
      <c r="V28" s="3">
        <f t="shared" si="10"/>
        <v>4.5901054101942504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80.574878704763705</v>
      </c>
      <c r="AB28" s="10">
        <f t="shared" si="4"/>
        <v>80.574878704763705</v>
      </c>
      <c r="AD28" s="12">
        <f t="shared" si="5"/>
        <v>420</v>
      </c>
      <c r="AE28" s="10">
        <f t="shared" si="18"/>
        <v>45.194878885948626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49.347149447565783</v>
      </c>
      <c r="G29" s="188">
        <f t="shared" si="16"/>
        <v>37.347149447565783</v>
      </c>
      <c r="H29" s="458"/>
      <c r="I29" s="458"/>
      <c r="J29" s="63">
        <f t="shared" si="17"/>
        <v>0.83648564588904151</v>
      </c>
      <c r="K29" s="29">
        <f t="shared" si="19"/>
        <v>45</v>
      </c>
      <c r="L29" s="3">
        <f t="shared" si="23"/>
        <v>0.36109999999999998</v>
      </c>
      <c r="M29" s="3">
        <f>K29*L29</f>
        <v>16.249499999999998</v>
      </c>
      <c r="N29" s="3">
        <f t="shared" si="22"/>
        <v>4.9079999999999999E-2</v>
      </c>
      <c r="O29" s="3">
        <f>INT(M29/N29*100)/100</f>
        <v>331.08</v>
      </c>
      <c r="P29" s="13">
        <f>INT((G22-O29)*100)/100</f>
        <v>-299.88</v>
      </c>
      <c r="U29" s="14">
        <f t="shared" si="9"/>
        <v>520</v>
      </c>
      <c r="V29" s="3">
        <f t="shared" si="10"/>
        <v>4.5901054101942504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81.411364350652747</v>
      </c>
      <c r="AB29" s="10">
        <f t="shared" si="4"/>
        <v>81.411364350652747</v>
      </c>
      <c r="AD29" s="12">
        <f t="shared" si="5"/>
        <v>480</v>
      </c>
      <c r="AE29" s="10">
        <f t="shared" si="18"/>
        <v>46.031364531837667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50.312801257564644</v>
      </c>
      <c r="G30" s="188">
        <f t="shared" si="16"/>
        <v>38.312801257564644</v>
      </c>
      <c r="H30" s="458"/>
      <c r="I30" s="458"/>
      <c r="J30" s="63">
        <f t="shared" si="17"/>
        <v>0.96565180999886024</v>
      </c>
      <c r="K30" s="29">
        <f t="shared" si="19"/>
        <v>50</v>
      </c>
      <c r="L30" s="3">
        <f t="shared" si="23"/>
        <v>0.36109999999999998</v>
      </c>
      <c r="M30" s="3">
        <f>K30*L30</f>
        <v>18.055</v>
      </c>
      <c r="N30" s="3">
        <f t="shared" si="22"/>
        <v>4.9079999999999999E-2</v>
      </c>
      <c r="O30" s="3">
        <f>INT(M30/N30*100)/100</f>
        <v>367.86</v>
      </c>
      <c r="P30" s="13">
        <f>INT((G23-O30)*100)/100</f>
        <v>-336</v>
      </c>
      <c r="U30" s="14">
        <f t="shared" si="9"/>
        <v>520</v>
      </c>
      <c r="V30" s="3">
        <f t="shared" si="10"/>
        <v>4.5901054101942504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82.149196981012878</v>
      </c>
      <c r="AB30" s="10">
        <f t="shared" si="4"/>
        <v>82.149196981012878</v>
      </c>
      <c r="AD30" s="12">
        <f t="shared" si="5"/>
        <v>540</v>
      </c>
      <c r="AE30" s="10">
        <f t="shared" si="18"/>
        <v>46.769197162197798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51.149286903453685</v>
      </c>
      <c r="G31" s="188">
        <f t="shared" si="16"/>
        <v>39.149286903453685</v>
      </c>
      <c r="H31" s="458"/>
      <c r="I31" s="458"/>
      <c r="J31" s="63">
        <f t="shared" si="17"/>
        <v>0.83648564588904151</v>
      </c>
      <c r="K31" s="29">
        <f t="shared" si="19"/>
        <v>55</v>
      </c>
      <c r="L31" s="3">
        <f t="shared" si="23"/>
        <v>0.36109999999999998</v>
      </c>
      <c r="M31" s="3">
        <f>K31*L31</f>
        <v>19.860499999999998</v>
      </c>
      <c r="N31" s="3">
        <f t="shared" si="22"/>
        <v>4.9079999999999999E-2</v>
      </c>
      <c r="O31" s="3">
        <f>INT(M31/N31*100)/100</f>
        <v>404.65</v>
      </c>
      <c r="P31" s="13">
        <f>INT((G24-O31)*100)/100</f>
        <v>-372.24</v>
      </c>
      <c r="U31" s="14">
        <f t="shared" si="9"/>
        <v>520</v>
      </c>
      <c r="V31" s="3">
        <f t="shared" si="10"/>
        <v>4.5901054101942504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82.809210759488622</v>
      </c>
      <c r="AB31" s="10">
        <f t="shared" si="4"/>
        <v>82.809210759488622</v>
      </c>
      <c r="AD31" s="12">
        <f t="shared" si="5"/>
        <v>600</v>
      </c>
      <c r="AE31" s="10">
        <f t="shared" si="18"/>
        <v>47.429210940673542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51.887119533813816</v>
      </c>
      <c r="G32" s="188">
        <f t="shared" si="16"/>
        <v>39.887119533813816</v>
      </c>
      <c r="H32" s="458"/>
      <c r="I32" s="458"/>
      <c r="J32" s="63">
        <f t="shared" si="17"/>
        <v>0.73783263036013125</v>
      </c>
      <c r="K32" s="65" t="s">
        <v>18</v>
      </c>
      <c r="N32" s="67"/>
      <c r="U32" s="14">
        <f t="shared" si="9"/>
        <v>520</v>
      </c>
      <c r="V32" s="3">
        <f t="shared" si="10"/>
        <v>4.5901054101942504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83.406265847033481</v>
      </c>
      <c r="AB32" s="10">
        <f t="shared" si="4"/>
        <v>83.406265847033481</v>
      </c>
      <c r="AD32" s="12">
        <f t="shared" si="5"/>
        <v>660</v>
      </c>
      <c r="AE32" s="10">
        <f t="shared" si="18"/>
        <v>48.026266028218402</v>
      </c>
    </row>
    <row r="33" spans="1:31" s="3" customFormat="1" ht="21" customHeight="1" x14ac:dyDescent="0.15">
      <c r="A33" s="54"/>
      <c r="B33" s="54"/>
      <c r="C33" s="55">
        <f>$C$10+D33/1440</f>
        <v>43836.583333333328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53.689256989701732</v>
      </c>
      <c r="G33" s="188">
        <f t="shared" si="16"/>
        <v>41.689256989701732</v>
      </c>
      <c r="H33" s="458"/>
      <c r="I33" s="458"/>
      <c r="J33" s="63">
        <f t="shared" si="17"/>
        <v>1.802137455887916</v>
      </c>
      <c r="K33" s="9" t="s">
        <v>18</v>
      </c>
      <c r="N33" s="67"/>
      <c r="U33" s="14">
        <f t="shared" si="9"/>
        <v>520</v>
      </c>
      <c r="V33" s="3">
        <f t="shared" si="10"/>
        <v>4.5901054101942504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83.95133443690078</v>
      </c>
      <c r="AB33" s="10">
        <f t="shared" si="4"/>
        <v>83.95133443690078</v>
      </c>
      <c r="AD33" s="12">
        <f t="shared" si="5"/>
        <v>720</v>
      </c>
      <c r="AE33" s="10">
        <f t="shared" si="18"/>
        <v>48.5713346180857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55.087103398537593</v>
      </c>
      <c r="G34" s="188">
        <f t="shared" si="16"/>
        <v>43.087103398537593</v>
      </c>
      <c r="H34" s="458"/>
      <c r="I34" s="458"/>
      <c r="J34" s="63">
        <f t="shared" si="17"/>
        <v>1.3978464088358606</v>
      </c>
      <c r="K34" s="9" t="s">
        <v>18</v>
      </c>
      <c r="O34" s="67"/>
      <c r="U34" s="14">
        <f t="shared" si="9"/>
        <v>520</v>
      </c>
      <c r="V34" s="3">
        <f t="shared" si="10"/>
        <v>4.5901054101942504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84.452748933604752</v>
      </c>
      <c r="AB34" s="10">
        <f t="shared" si="4"/>
        <v>84.452748933604752</v>
      </c>
      <c r="AD34" s="12">
        <f t="shared" si="5"/>
        <v>780</v>
      </c>
      <c r="AE34" s="10">
        <f t="shared" si="18"/>
        <v>49.072749114789673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56.229227075949765</v>
      </c>
      <c r="G35" s="188">
        <f t="shared" si="16"/>
        <v>44.229227075949765</v>
      </c>
      <c r="H35" s="458"/>
      <c r="I35" s="458"/>
      <c r="J35" s="63">
        <f t="shared" si="17"/>
        <v>1.1421236774121724</v>
      </c>
      <c r="K35" s="9" t="s">
        <v>18</v>
      </c>
      <c r="N35" s="67"/>
      <c r="U35" s="14">
        <f t="shared" si="9"/>
        <v>520</v>
      </c>
      <c r="V35" s="3">
        <f t="shared" si="10"/>
        <v>4.5901054101942504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84.91698624689964</v>
      </c>
      <c r="AB35" s="10">
        <f t="shared" si="4"/>
        <v>84.91698624689964</v>
      </c>
      <c r="AD35" s="12">
        <f t="shared" si="5"/>
        <v>840</v>
      </c>
      <c r="AE35" s="10">
        <f t="shared" si="18"/>
        <v>49.53698642808456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57.194878885948626</v>
      </c>
      <c r="G36" s="188">
        <f t="shared" si="16"/>
        <v>45.194878885948626</v>
      </c>
      <c r="H36" s="458"/>
      <c r="I36" s="458"/>
      <c r="J36" s="63">
        <f t="shared" si="17"/>
        <v>0.96565180999886024</v>
      </c>
      <c r="K36" s="9" t="s">
        <v>18</v>
      </c>
      <c r="U36" s="14">
        <f t="shared" si="9"/>
        <v>520</v>
      </c>
      <c r="V36" s="3">
        <f t="shared" si="10"/>
        <v>4.5901054101942504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85.349180845736655</v>
      </c>
      <c r="AB36" s="10">
        <f t="shared" si="4"/>
        <v>85.349180845736655</v>
      </c>
      <c r="AD36" s="12">
        <f t="shared" si="5"/>
        <v>900</v>
      </c>
      <c r="AE36" s="10">
        <f t="shared" si="18"/>
        <v>49.969181026921575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58.031364531837667</v>
      </c>
      <c r="G37" s="188">
        <f t="shared" si="16"/>
        <v>46.031364531837667</v>
      </c>
      <c r="H37" s="458"/>
      <c r="I37" s="458"/>
      <c r="J37" s="63">
        <f t="shared" si="17"/>
        <v>0.83648564588904151</v>
      </c>
      <c r="K37" s="9" t="s">
        <v>18</v>
      </c>
      <c r="U37" s="14">
        <f t="shared" si="9"/>
        <v>520</v>
      </c>
      <c r="V37" s="3">
        <f t="shared" si="10"/>
        <v>4.5901054101942504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85.753471892788696</v>
      </c>
      <c r="AB37" s="10">
        <f t="shared" si="4"/>
        <v>85.753471892788696</v>
      </c>
      <c r="AC37" s="3">
        <v>37</v>
      </c>
      <c r="AD37" s="12">
        <f t="shared" si="5"/>
        <v>960</v>
      </c>
      <c r="AE37" s="10">
        <f t="shared" si="18"/>
        <v>50.373472073973616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58.769197162197798</v>
      </c>
      <c r="G38" s="188">
        <f t="shared" si="16"/>
        <v>46.769197162197798</v>
      </c>
      <c r="H38" s="458"/>
      <c r="I38" s="458"/>
      <c r="J38" s="63">
        <f t="shared" si="17"/>
        <v>0.73783263036013125</v>
      </c>
      <c r="K38" s="9" t="s">
        <v>18</v>
      </c>
      <c r="U38" s="14">
        <f t="shared" si="9"/>
        <v>520</v>
      </c>
      <c r="V38" s="3">
        <f t="shared" si="10"/>
        <v>4.5901054101942504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86.133244955438428</v>
      </c>
      <c r="AB38" s="10">
        <f t="shared" si="4"/>
        <v>86.133244955438428</v>
      </c>
      <c r="AC38" s="29" t="s">
        <v>28</v>
      </c>
      <c r="AD38" s="12">
        <f t="shared" si="5"/>
        <v>1020</v>
      </c>
      <c r="AE38" s="10">
        <f t="shared" si="18"/>
        <v>50.753245136623349</v>
      </c>
    </row>
    <row r="39" spans="1:31" s="3" customFormat="1" ht="21" customHeight="1" x14ac:dyDescent="0.15">
      <c r="A39" s="54"/>
      <c r="B39" s="54"/>
      <c r="C39" s="55">
        <f>$C$10+D39/1440</f>
        <v>43836.833333333328</v>
      </c>
      <c r="D39" s="187">
        <f t="shared" si="26"/>
        <v>600</v>
      </c>
      <c r="E39" s="256">
        <f t="shared" si="25"/>
        <v>0.41666666666666669</v>
      </c>
      <c r="F39" s="188">
        <f t="shared" si="15"/>
        <v>59.429210940673542</v>
      </c>
      <c r="G39" s="188">
        <f t="shared" si="16"/>
        <v>47.429210940673542</v>
      </c>
      <c r="H39" s="458"/>
      <c r="I39" s="458"/>
      <c r="J39" s="63">
        <f t="shared" si="17"/>
        <v>0.66001377847574361</v>
      </c>
      <c r="K39" s="9" t="s">
        <v>18</v>
      </c>
      <c r="U39" s="14">
        <f t="shared" si="9"/>
        <v>520</v>
      </c>
      <c r="V39" s="3">
        <f t="shared" si="10"/>
        <v>4.5901054101942504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86.491304523148813</v>
      </c>
      <c r="AB39" s="10">
        <f t="shared" si="4"/>
        <v>86.491304523148813</v>
      </c>
      <c r="AC39" s="395">
        <v>39</v>
      </c>
      <c r="AD39" s="12">
        <f t="shared" si="5"/>
        <v>1080</v>
      </c>
      <c r="AE39" s="10">
        <f t="shared" si="18"/>
        <v>51.111304704333733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60.026266028218402</v>
      </c>
      <c r="G40" s="188">
        <f t="shared" si="16"/>
        <v>48.026266028218402</v>
      </c>
      <c r="H40" s="458"/>
      <c r="I40" s="458"/>
      <c r="J40" s="63">
        <f t="shared" si="17"/>
        <v>0.59705508754485948</v>
      </c>
      <c r="K40" s="9" t="s">
        <v>18</v>
      </c>
      <c r="U40" s="14">
        <f t="shared" si="9"/>
        <v>520</v>
      </c>
      <c r="V40" s="3">
        <f t="shared" si="10"/>
        <v>4.5901054101942504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86.829999818815082</v>
      </c>
      <c r="AB40" s="10">
        <f t="shared" si="4"/>
        <v>86.829999818815082</v>
      </c>
      <c r="AC40" s="395">
        <v>40</v>
      </c>
      <c r="AD40" s="12">
        <f t="shared" si="5"/>
        <v>1140</v>
      </c>
      <c r="AE40" s="10">
        <f t="shared" si="18"/>
        <v>51.45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60.5713346180857</v>
      </c>
      <c r="G41" s="188">
        <f t="shared" si="16"/>
        <v>48.5713346180857</v>
      </c>
      <c r="H41" s="458"/>
      <c r="I41" s="458"/>
      <c r="J41" s="63">
        <f t="shared" si="17"/>
        <v>0.54506858986729867</v>
      </c>
      <c r="K41" s="9" t="s">
        <v>18</v>
      </c>
      <c r="U41" s="391">
        <f t="shared" si="9"/>
        <v>520</v>
      </c>
      <c r="V41" s="390">
        <f t="shared" si="10"/>
        <v>4.5901054101942504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86.829999818815082</v>
      </c>
      <c r="AB41" s="394">
        <f t="shared" ref="AB41:AB44" si="28">AB40</f>
        <v>86.829999818815082</v>
      </c>
      <c r="AC41" s="396">
        <v>41</v>
      </c>
      <c r="AD41" s="12">
        <f t="shared" si="5"/>
        <v>1200</v>
      </c>
      <c r="AE41" s="10">
        <f t="shared" si="18"/>
        <v>51.45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61.072749114789673</v>
      </c>
      <c r="G42" s="188">
        <f t="shared" si="16"/>
        <v>49.072749114789673</v>
      </c>
      <c r="H42" s="458"/>
      <c r="I42" s="458"/>
      <c r="J42" s="63">
        <f t="shared" si="17"/>
        <v>0.50141449670397265</v>
      </c>
      <c r="K42" s="9" t="s">
        <v>18</v>
      </c>
      <c r="U42" s="14">
        <f t="shared" si="9"/>
        <v>520</v>
      </c>
      <c r="V42" s="3">
        <f t="shared" si="10"/>
        <v>4.5901054101942504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9">D50</f>
        <v>1260</v>
      </c>
      <c r="AA42" s="263">
        <f t="shared" si="27"/>
        <v>86.829999818815082</v>
      </c>
      <c r="AB42" s="394">
        <f t="shared" si="28"/>
        <v>86.829999818815082</v>
      </c>
      <c r="AC42" s="395">
        <v>42</v>
      </c>
      <c r="AD42" s="12">
        <f t="shared" si="5"/>
        <v>1260</v>
      </c>
      <c r="AE42" s="10">
        <f t="shared" si="18"/>
        <v>51.45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30">D43/1440</f>
        <v>0.58333333333333337</v>
      </c>
      <c r="F43" s="188">
        <f t="shared" si="15"/>
        <v>61.53698642808456</v>
      </c>
      <c r="G43" s="188">
        <f t="shared" si="16"/>
        <v>49.53698642808456</v>
      </c>
      <c r="H43" s="458">
        <v>43837</v>
      </c>
      <c r="I43" s="458"/>
      <c r="J43" s="63">
        <f t="shared" si="17"/>
        <v>0.4642373132948876</v>
      </c>
      <c r="K43" s="9" t="s">
        <v>18</v>
      </c>
      <c r="U43" s="391">
        <f t="shared" si="9"/>
        <v>520</v>
      </c>
      <c r="V43" s="390">
        <f t="shared" si="10"/>
        <v>4.5901054101942504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9"/>
        <v>1320</v>
      </c>
      <c r="AA43" s="393">
        <f t="shared" si="27"/>
        <v>86.829999818815082</v>
      </c>
      <c r="AB43" s="394">
        <f t="shared" si="28"/>
        <v>86.829999818815082</v>
      </c>
      <c r="AC43" s="396">
        <v>43</v>
      </c>
      <c r="AD43" s="12">
        <f t="shared" si="5"/>
        <v>1320</v>
      </c>
      <c r="AE43" s="10">
        <f t="shared" si="18"/>
        <v>51.45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30"/>
        <v>0.625</v>
      </c>
      <c r="F44" s="188">
        <f t="shared" si="15"/>
        <v>61.969181026921575</v>
      </c>
      <c r="G44" s="188">
        <f t="shared" si="16"/>
        <v>49.969181026921575</v>
      </c>
      <c r="H44" s="458"/>
      <c r="I44" s="458"/>
      <c r="J44" s="63">
        <f t="shared" si="17"/>
        <v>0.43219459883701461</v>
      </c>
      <c r="K44" s="9" t="s">
        <v>18</v>
      </c>
      <c r="U44" s="14">
        <f t="shared" si="9"/>
        <v>520</v>
      </c>
      <c r="V44" s="3">
        <f t="shared" si="10"/>
        <v>4.5901054101942504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9"/>
        <v>1380</v>
      </c>
      <c r="AA44" s="263">
        <f t="shared" si="27"/>
        <v>86.829999818815082</v>
      </c>
      <c r="AB44" s="394">
        <f t="shared" si="28"/>
        <v>86.829999818815082</v>
      </c>
      <c r="AC44" s="395">
        <v>44</v>
      </c>
      <c r="AD44" s="12">
        <f t="shared" si="5"/>
        <v>1380</v>
      </c>
      <c r="AE44" s="10">
        <f t="shared" si="18"/>
        <v>51.45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43837.083333333328</v>
      </c>
      <c r="D45" s="187">
        <f t="shared" si="26"/>
        <v>960</v>
      </c>
      <c r="E45" s="256">
        <f t="shared" si="30"/>
        <v>0.66666666666666663</v>
      </c>
      <c r="F45" s="188">
        <f t="shared" si="15"/>
        <v>62.373472073973616</v>
      </c>
      <c r="G45" s="188">
        <f t="shared" si="16"/>
        <v>50.373472073973616</v>
      </c>
      <c r="H45" s="458"/>
      <c r="I45" s="458"/>
      <c r="J45" s="63">
        <f t="shared" si="17"/>
        <v>0.40429104705204111</v>
      </c>
      <c r="K45" s="9" t="s">
        <v>18</v>
      </c>
      <c r="U45" s="391">
        <f t="shared" si="9"/>
        <v>520</v>
      </c>
      <c r="V45" s="390">
        <f t="shared" si="10"/>
        <v>4.5901054101942504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9"/>
        <v>1440</v>
      </c>
      <c r="AA45" s="393">
        <f t="shared" si="27"/>
        <v>86.829999818815082</v>
      </c>
      <c r="AB45" s="394">
        <f t="shared" ref="AB45:AB47" si="31">AB44</f>
        <v>86.829999818815082</v>
      </c>
      <c r="AC45" s="396">
        <v>45</v>
      </c>
      <c r="AD45" s="12">
        <f t="shared" si="5"/>
        <v>1440</v>
      </c>
      <c r="AE45" s="10">
        <f t="shared" si="18"/>
        <v>51.45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30"/>
        <v>0.70833333333333337</v>
      </c>
      <c r="F46" s="188">
        <f t="shared" si="15"/>
        <v>62.753245136623349</v>
      </c>
      <c r="G46" s="188">
        <f t="shared" si="16"/>
        <v>50.753245136623349</v>
      </c>
      <c r="H46" s="458"/>
      <c r="I46" s="458"/>
      <c r="J46" s="63">
        <f t="shared" si="17"/>
        <v>0.37977306264973265</v>
      </c>
      <c r="K46" s="9" t="s">
        <v>18</v>
      </c>
      <c r="U46" s="14">
        <f t="shared" si="9"/>
        <v>520</v>
      </c>
      <c r="V46" s="3">
        <f t="shared" si="10"/>
        <v>4.5901054101942504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9"/>
        <v>1500</v>
      </c>
      <c r="AA46" s="345">
        <f t="shared" si="27"/>
        <v>86.829999818815082</v>
      </c>
      <c r="AB46" s="10">
        <f t="shared" si="31"/>
        <v>86.829999818815082</v>
      </c>
      <c r="AC46" s="395">
        <v>46</v>
      </c>
      <c r="AD46" s="344">
        <f t="shared" si="5"/>
        <v>1500</v>
      </c>
      <c r="AE46" s="346">
        <f t="shared" si="18"/>
        <v>51.45</v>
      </c>
    </row>
    <row r="47" spans="1:31" s="3" customFormat="1" ht="21" customHeight="1" x14ac:dyDescent="0.15">
      <c r="A47" s="54"/>
      <c r="B47" s="54"/>
      <c r="C47" s="55"/>
      <c r="D47" s="187">
        <f t="shared" ref="D47:D62" si="32">D46+60</f>
        <v>1080</v>
      </c>
      <c r="E47" s="256">
        <f t="shared" si="30"/>
        <v>0.75</v>
      </c>
      <c r="F47" s="188">
        <f t="shared" si="15"/>
        <v>63.111304704333733</v>
      </c>
      <c r="G47" s="188">
        <f t="shared" si="16"/>
        <v>51.111304704333733</v>
      </c>
      <c r="H47" s="458"/>
      <c r="I47" s="458"/>
      <c r="J47" s="63">
        <f t="shared" si="17"/>
        <v>0.35805956771038439</v>
      </c>
      <c r="K47" s="9" t="s">
        <v>18</v>
      </c>
      <c r="U47" s="14">
        <f t="shared" si="9"/>
        <v>520</v>
      </c>
      <c r="V47" s="3">
        <f t="shared" si="10"/>
        <v>4.5901054101942504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9"/>
        <v>1560</v>
      </c>
      <c r="AA47" s="263">
        <f t="shared" si="27"/>
        <v>86.829999818815082</v>
      </c>
      <c r="AB47" s="10">
        <f t="shared" si="31"/>
        <v>86.829999818815082</v>
      </c>
      <c r="AD47" s="12">
        <f t="shared" si="5"/>
        <v>1560</v>
      </c>
      <c r="AE47" s="10">
        <f t="shared" si="18"/>
        <v>51.45</v>
      </c>
    </row>
    <row r="48" spans="1:31" s="3" customFormat="1" ht="21" customHeight="1" x14ac:dyDescent="0.15">
      <c r="A48" s="54"/>
      <c r="B48" s="54"/>
      <c r="C48" s="55"/>
      <c r="D48" s="187">
        <f t="shared" si="32"/>
        <v>1140</v>
      </c>
      <c r="E48" s="256">
        <f t="shared" si="30"/>
        <v>0.79166666666666663</v>
      </c>
      <c r="F48" s="188">
        <f t="shared" si="15"/>
        <v>63.45</v>
      </c>
      <c r="G48" s="188">
        <f t="shared" si="16"/>
        <v>51.45</v>
      </c>
      <c r="H48" s="458"/>
      <c r="I48" s="458"/>
      <c r="J48" s="3" t="s">
        <v>18</v>
      </c>
      <c r="K48" s="9" t="s">
        <v>18</v>
      </c>
      <c r="U48" s="14">
        <f t="shared" si="9"/>
        <v>520</v>
      </c>
      <c r="V48" s="3">
        <f t="shared" si="10"/>
        <v>4.5901054101942504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9"/>
        <v>1620</v>
      </c>
      <c r="AA48" s="263">
        <f t="shared" si="27"/>
        <v>86.829999818815082</v>
      </c>
      <c r="AB48" s="10">
        <f t="shared" ref="AB48:AB52" si="33">AB47</f>
        <v>86.829999818815082</v>
      </c>
      <c r="AD48" s="12">
        <f t="shared" si="5"/>
        <v>1620</v>
      </c>
      <c r="AE48" s="10">
        <f t="shared" si="18"/>
        <v>51.45</v>
      </c>
    </row>
    <row r="49" spans="1:31" s="3" customFormat="1" ht="21" customHeight="1" x14ac:dyDescent="0.15">
      <c r="A49" s="54"/>
      <c r="B49" s="54"/>
      <c r="C49" s="55"/>
      <c r="D49" s="187">
        <f t="shared" si="32"/>
        <v>1200</v>
      </c>
      <c r="E49" s="256">
        <f t="shared" si="30"/>
        <v>0.83333333333333337</v>
      </c>
      <c r="F49" s="188">
        <f t="shared" si="15"/>
        <v>63.45</v>
      </c>
      <c r="G49" s="188">
        <f t="shared" si="16"/>
        <v>51.45</v>
      </c>
      <c r="H49" s="458"/>
      <c r="I49" s="458"/>
      <c r="J49" s="3" t="s">
        <v>18</v>
      </c>
      <c r="K49" s="9" t="s">
        <v>18</v>
      </c>
      <c r="U49" s="14">
        <f t="shared" si="9"/>
        <v>520</v>
      </c>
      <c r="V49" s="3">
        <f t="shared" si="10"/>
        <v>4.5901054101942504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9"/>
        <v>1680</v>
      </c>
      <c r="AA49" s="263">
        <f t="shared" si="27"/>
        <v>86.829999818815082</v>
      </c>
      <c r="AB49" s="10">
        <f t="shared" si="33"/>
        <v>86.829999818815082</v>
      </c>
      <c r="AD49" s="12">
        <f t="shared" si="5"/>
        <v>1680</v>
      </c>
      <c r="AE49" s="10">
        <f t="shared" ref="AE49:AE69" si="34">AB49-$O$3</f>
        <v>51.45</v>
      </c>
    </row>
    <row r="50" spans="1:31" s="3" customFormat="1" ht="21" customHeight="1" x14ac:dyDescent="0.15">
      <c r="A50" s="54"/>
      <c r="B50" s="54"/>
      <c r="C50" s="55"/>
      <c r="D50" s="187">
        <f t="shared" si="32"/>
        <v>1260</v>
      </c>
      <c r="E50" s="256">
        <f t="shared" si="30"/>
        <v>0.875</v>
      </c>
      <c r="F50" s="188">
        <f t="shared" si="15"/>
        <v>63.45</v>
      </c>
      <c r="G50" s="188">
        <f t="shared" si="16"/>
        <v>51.45</v>
      </c>
      <c r="H50" s="458"/>
      <c r="I50" s="458"/>
      <c r="J50" s="3" t="s">
        <v>18</v>
      </c>
      <c r="K50" s="9" t="s">
        <v>18</v>
      </c>
      <c r="U50" s="14">
        <f t="shared" si="9"/>
        <v>520</v>
      </c>
      <c r="V50" s="3">
        <f t="shared" si="10"/>
        <v>4.5901054101942504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9"/>
        <v>1740</v>
      </c>
      <c r="AA50" s="263">
        <f t="shared" si="27"/>
        <v>86.829999818815082</v>
      </c>
      <c r="AB50" s="10">
        <f t="shared" si="33"/>
        <v>86.829999818815082</v>
      </c>
      <c r="AD50" s="12">
        <f t="shared" si="5"/>
        <v>1740</v>
      </c>
      <c r="AE50" s="10">
        <f t="shared" si="34"/>
        <v>51.45</v>
      </c>
    </row>
    <row r="51" spans="1:31" s="3" customFormat="1" ht="21" customHeight="1" x14ac:dyDescent="0.15">
      <c r="A51" s="54"/>
      <c r="B51" s="54"/>
      <c r="C51" s="55">
        <f>$C$10+D51/1440</f>
        <v>43837.333333333328</v>
      </c>
      <c r="D51" s="187">
        <f t="shared" si="32"/>
        <v>1320</v>
      </c>
      <c r="E51" s="256">
        <f t="shared" si="30"/>
        <v>0.91666666666666663</v>
      </c>
      <c r="F51" s="188">
        <f t="shared" si="15"/>
        <v>63.45</v>
      </c>
      <c r="G51" s="188">
        <f t="shared" si="16"/>
        <v>51.45</v>
      </c>
      <c r="H51" s="458"/>
      <c r="I51" s="458"/>
      <c r="J51" s="3" t="s">
        <v>18</v>
      </c>
      <c r="K51" s="9" t="s">
        <v>18</v>
      </c>
      <c r="U51" s="14">
        <f t="shared" si="9"/>
        <v>520</v>
      </c>
      <c r="V51" s="3">
        <f t="shared" si="10"/>
        <v>4.5901054101942504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9"/>
        <v>1800</v>
      </c>
      <c r="AA51" s="263">
        <f t="shared" si="27"/>
        <v>86.829999818815082</v>
      </c>
      <c r="AB51" s="10">
        <f t="shared" si="33"/>
        <v>86.829999818815082</v>
      </c>
      <c r="AD51" s="12">
        <f t="shared" si="5"/>
        <v>1800</v>
      </c>
      <c r="AE51" s="10">
        <f t="shared" si="34"/>
        <v>51.45</v>
      </c>
    </row>
    <row r="52" spans="1:31" s="3" customFormat="1" ht="21" customHeight="1" x14ac:dyDescent="0.15">
      <c r="A52" s="54"/>
      <c r="B52" s="54"/>
      <c r="C52" s="55"/>
      <c r="D52" s="187">
        <f t="shared" si="32"/>
        <v>1380</v>
      </c>
      <c r="E52" s="256">
        <f t="shared" si="30"/>
        <v>0.95833333333333337</v>
      </c>
      <c r="F52" s="188">
        <f t="shared" si="15"/>
        <v>63.45</v>
      </c>
      <c r="G52" s="188">
        <f t="shared" si="16"/>
        <v>51.45</v>
      </c>
      <c r="H52" s="458"/>
      <c r="I52" s="458"/>
      <c r="J52" s="3" t="s">
        <v>18</v>
      </c>
      <c r="K52" s="9" t="s">
        <v>18</v>
      </c>
      <c r="U52" s="14">
        <f t="shared" si="9"/>
        <v>520</v>
      </c>
      <c r="V52" s="3">
        <f t="shared" si="10"/>
        <v>4.5901054101942504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9"/>
        <v>1860</v>
      </c>
      <c r="AA52" s="263">
        <f t="shared" si="27"/>
        <v>86.829999818815082</v>
      </c>
      <c r="AB52" s="10">
        <f t="shared" si="33"/>
        <v>86.829999818815082</v>
      </c>
      <c r="AD52" s="12">
        <f t="shared" si="5"/>
        <v>1860</v>
      </c>
      <c r="AE52" s="10">
        <f t="shared" si="34"/>
        <v>51.45</v>
      </c>
    </row>
    <row r="53" spans="1:31" s="3" customFormat="1" ht="21" customHeight="1" x14ac:dyDescent="0.15">
      <c r="A53" s="54"/>
      <c r="B53" s="54"/>
      <c r="C53" s="55"/>
      <c r="D53" s="187">
        <f t="shared" si="32"/>
        <v>1440</v>
      </c>
      <c r="E53" s="256">
        <f t="shared" si="30"/>
        <v>1</v>
      </c>
      <c r="F53" s="188">
        <f t="shared" si="15"/>
        <v>63.45</v>
      </c>
      <c r="G53" s="188">
        <f t="shared" si="16"/>
        <v>51.45</v>
      </c>
      <c r="H53" s="458"/>
      <c r="I53" s="458"/>
      <c r="J53" s="3" t="s">
        <v>18</v>
      </c>
      <c r="K53" s="9" t="s">
        <v>18</v>
      </c>
      <c r="U53" s="14">
        <f t="shared" si="9"/>
        <v>520</v>
      </c>
      <c r="V53" s="3">
        <f t="shared" si="10"/>
        <v>4.5901054101942504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9"/>
        <v>1920</v>
      </c>
      <c r="AA53" s="263">
        <f t="shared" si="27"/>
        <v>86.829999818815082</v>
      </c>
      <c r="AB53" s="10">
        <f t="shared" ref="AB53:AB69" si="35">AB52</f>
        <v>86.829999818815082</v>
      </c>
      <c r="AD53" s="12">
        <f t="shared" si="5"/>
        <v>1920</v>
      </c>
      <c r="AE53" s="10">
        <f t="shared" si="34"/>
        <v>51.45</v>
      </c>
    </row>
    <row r="54" spans="1:31" s="3" customFormat="1" ht="21" customHeight="1" x14ac:dyDescent="0.15">
      <c r="A54" s="54"/>
      <c r="B54" s="54"/>
      <c r="C54" s="55"/>
      <c r="D54" s="187">
        <f t="shared" si="32"/>
        <v>1500</v>
      </c>
      <c r="E54" s="256">
        <f t="shared" si="30"/>
        <v>1.0416666666666667</v>
      </c>
      <c r="F54" s="188">
        <f t="shared" si="15"/>
        <v>63.45</v>
      </c>
      <c r="G54" s="188">
        <f t="shared" si="16"/>
        <v>51.45</v>
      </c>
      <c r="H54" s="458"/>
      <c r="I54" s="458"/>
      <c r="J54" s="3" t="s">
        <v>18</v>
      </c>
      <c r="K54" s="9" t="s">
        <v>18</v>
      </c>
      <c r="U54" s="14">
        <f t="shared" si="9"/>
        <v>520</v>
      </c>
      <c r="V54" s="3">
        <f t="shared" si="10"/>
        <v>4.5901054101942504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9"/>
        <v>1980</v>
      </c>
      <c r="AA54" s="263">
        <f t="shared" si="27"/>
        <v>86.829999818815082</v>
      </c>
      <c r="AB54" s="10">
        <f t="shared" si="35"/>
        <v>86.829999818815082</v>
      </c>
      <c r="AD54" s="12">
        <f t="shared" si="5"/>
        <v>1980</v>
      </c>
      <c r="AE54" s="10">
        <f t="shared" si="34"/>
        <v>51.45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2"/>
        <v>1560</v>
      </c>
      <c r="E55" s="256">
        <f t="shared" si="30"/>
        <v>1.0833333333333333</v>
      </c>
      <c r="F55" s="188">
        <f t="shared" si="15"/>
        <v>63.45</v>
      </c>
      <c r="G55" s="188">
        <f t="shared" si="16"/>
        <v>51.45</v>
      </c>
      <c r="H55" s="458"/>
      <c r="I55" s="458"/>
      <c r="J55" s="3" t="s">
        <v>18</v>
      </c>
      <c r="K55" s="9" t="s">
        <v>18</v>
      </c>
      <c r="U55" s="14">
        <f t="shared" si="9"/>
        <v>520</v>
      </c>
      <c r="V55" s="3">
        <f t="shared" si="10"/>
        <v>4.5901054101942504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9"/>
        <v>2040</v>
      </c>
      <c r="AA55" s="263">
        <f t="shared" si="27"/>
        <v>86.829999818815082</v>
      </c>
      <c r="AB55" s="10">
        <f t="shared" si="35"/>
        <v>86.829999818815082</v>
      </c>
      <c r="AD55" s="12">
        <f t="shared" si="5"/>
        <v>2040</v>
      </c>
      <c r="AE55" s="10">
        <f t="shared" si="34"/>
        <v>51.45</v>
      </c>
    </row>
    <row r="56" spans="1:31" s="3" customFormat="1" ht="21.6" customHeight="1" x14ac:dyDescent="0.15">
      <c r="A56" s="54"/>
      <c r="B56" s="54"/>
      <c r="C56" s="55">
        <f>$C$10+D56/1440</f>
        <v>43837.541666666664</v>
      </c>
      <c r="D56" s="187">
        <f t="shared" si="32"/>
        <v>1620</v>
      </c>
      <c r="E56" s="256">
        <f t="shared" si="30"/>
        <v>1.125</v>
      </c>
      <c r="F56" s="188">
        <f t="shared" si="15"/>
        <v>63.45</v>
      </c>
      <c r="G56" s="188">
        <f t="shared" si="16"/>
        <v>51.45</v>
      </c>
      <c r="H56" s="458"/>
      <c r="I56" s="458"/>
      <c r="J56" s="3" t="s">
        <v>18</v>
      </c>
      <c r="K56" s="9" t="s">
        <v>18</v>
      </c>
      <c r="U56" s="14">
        <f t="shared" si="9"/>
        <v>520</v>
      </c>
      <c r="V56" s="3">
        <f t="shared" si="10"/>
        <v>4.5901054101942504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9"/>
        <v>2100</v>
      </c>
      <c r="AA56" s="263">
        <f t="shared" si="27"/>
        <v>86.829999818815082</v>
      </c>
      <c r="AB56" s="10">
        <f t="shared" si="35"/>
        <v>86.829999818815082</v>
      </c>
      <c r="AD56" s="12">
        <f t="shared" si="5"/>
        <v>2100</v>
      </c>
      <c r="AE56" s="10">
        <f t="shared" si="34"/>
        <v>51.45</v>
      </c>
    </row>
    <row r="57" spans="1:31" s="3" customFormat="1" ht="21.6" customHeight="1" x14ac:dyDescent="0.15">
      <c r="A57" s="54"/>
      <c r="B57" s="54"/>
      <c r="C57" s="55"/>
      <c r="D57" s="187">
        <f t="shared" si="32"/>
        <v>1680</v>
      </c>
      <c r="E57" s="256">
        <f t="shared" si="30"/>
        <v>1.1666666666666667</v>
      </c>
      <c r="F57" s="188">
        <f t="shared" si="15"/>
        <v>63.45</v>
      </c>
      <c r="G57" s="188">
        <f t="shared" si="16"/>
        <v>51.45</v>
      </c>
      <c r="H57" s="458"/>
      <c r="I57" s="458"/>
      <c r="J57" s="3" t="s">
        <v>18</v>
      </c>
      <c r="K57" s="9" t="s">
        <v>18</v>
      </c>
      <c r="U57" s="14">
        <f t="shared" si="9"/>
        <v>520</v>
      </c>
      <c r="V57" s="3">
        <f t="shared" si="10"/>
        <v>4.5901054101942504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9"/>
        <v>2160</v>
      </c>
      <c r="AA57" s="263">
        <f t="shared" si="27"/>
        <v>86.829999818815082</v>
      </c>
      <c r="AB57" s="10">
        <f t="shared" si="35"/>
        <v>86.829999818815082</v>
      </c>
      <c r="AD57" s="12">
        <f t="shared" si="5"/>
        <v>2160</v>
      </c>
      <c r="AE57" s="10">
        <f t="shared" si="34"/>
        <v>51.45</v>
      </c>
    </row>
    <row r="58" spans="1:31" s="3" customFormat="1" ht="21.6" customHeight="1" x14ac:dyDescent="0.15">
      <c r="A58" s="54"/>
      <c r="B58" s="54"/>
      <c r="C58" s="55"/>
      <c r="D58" s="187">
        <f t="shared" si="32"/>
        <v>1740</v>
      </c>
      <c r="E58" s="256">
        <f t="shared" si="30"/>
        <v>1.2083333333333333</v>
      </c>
      <c r="F58" s="188">
        <f t="shared" si="15"/>
        <v>63.45</v>
      </c>
      <c r="G58" s="188">
        <f t="shared" si="16"/>
        <v>51.45</v>
      </c>
      <c r="H58" s="458"/>
      <c r="I58" s="458"/>
      <c r="J58" s="3" t="s">
        <v>18</v>
      </c>
      <c r="K58" s="9" t="s">
        <v>18</v>
      </c>
      <c r="U58" s="14">
        <f t="shared" si="9"/>
        <v>520</v>
      </c>
      <c r="V58" s="3">
        <f t="shared" si="10"/>
        <v>4.5901054101942504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9"/>
        <v>2220</v>
      </c>
      <c r="AA58" s="263">
        <f t="shared" si="27"/>
        <v>86.829999818815082</v>
      </c>
      <c r="AB58" s="10">
        <f t="shared" si="35"/>
        <v>86.829999818815082</v>
      </c>
      <c r="AD58" s="12">
        <f t="shared" si="5"/>
        <v>2220</v>
      </c>
      <c r="AE58" s="10">
        <f t="shared" si="34"/>
        <v>51.45</v>
      </c>
    </row>
    <row r="59" spans="1:31" s="3" customFormat="1" ht="21.6" customHeight="1" x14ac:dyDescent="0.15">
      <c r="A59" s="54"/>
      <c r="B59" s="54"/>
      <c r="C59" s="55"/>
      <c r="D59" s="187">
        <f t="shared" si="32"/>
        <v>1800</v>
      </c>
      <c r="E59" s="256">
        <f t="shared" ref="E59:E74" si="36">D59/1440</f>
        <v>1.25</v>
      </c>
      <c r="F59" s="188">
        <f t="shared" si="15"/>
        <v>63.45</v>
      </c>
      <c r="G59" s="188">
        <f t="shared" si="16"/>
        <v>51.45</v>
      </c>
      <c r="H59" s="458"/>
      <c r="I59" s="458"/>
      <c r="J59" s="3" t="s">
        <v>18</v>
      </c>
      <c r="K59" s="9" t="s">
        <v>18</v>
      </c>
      <c r="U59" s="14">
        <f t="shared" si="9"/>
        <v>520</v>
      </c>
      <c r="V59" s="3">
        <f t="shared" si="10"/>
        <v>4.5901054101942504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9"/>
        <v>2280</v>
      </c>
      <c r="AA59" s="263">
        <f t="shared" si="27"/>
        <v>86.829999818815082</v>
      </c>
      <c r="AB59" s="10">
        <f t="shared" si="35"/>
        <v>86.829999818815082</v>
      </c>
      <c r="AD59" s="12">
        <f t="shared" si="5"/>
        <v>2280</v>
      </c>
      <c r="AE59" s="10">
        <f t="shared" si="34"/>
        <v>51.45</v>
      </c>
    </row>
    <row r="60" spans="1:31" s="3" customFormat="1" ht="21.6" customHeight="1" x14ac:dyDescent="0.15">
      <c r="A60" s="54"/>
      <c r="B60" s="54"/>
      <c r="C60" s="55"/>
      <c r="D60" s="187">
        <f t="shared" si="32"/>
        <v>1860</v>
      </c>
      <c r="E60" s="256">
        <f t="shared" si="36"/>
        <v>1.2916666666666667</v>
      </c>
      <c r="F60" s="188">
        <f t="shared" si="15"/>
        <v>63.45</v>
      </c>
      <c r="G60" s="188">
        <f t="shared" si="16"/>
        <v>51.45</v>
      </c>
      <c r="H60" s="458"/>
      <c r="I60" s="458"/>
      <c r="J60" s="3" t="s">
        <v>18</v>
      </c>
      <c r="K60" s="9" t="s">
        <v>18</v>
      </c>
      <c r="U60" s="14">
        <f t="shared" si="9"/>
        <v>520</v>
      </c>
      <c r="V60" s="3">
        <f t="shared" si="10"/>
        <v>4.5901054101942504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9"/>
        <v>2340</v>
      </c>
      <c r="AA60" s="263">
        <f t="shared" si="27"/>
        <v>86.829999818815082</v>
      </c>
      <c r="AB60" s="10">
        <f t="shared" si="35"/>
        <v>86.829999818815082</v>
      </c>
      <c r="AD60" s="12">
        <f t="shared" si="5"/>
        <v>2340</v>
      </c>
      <c r="AE60" s="10">
        <f t="shared" si="34"/>
        <v>51.45</v>
      </c>
    </row>
    <row r="61" spans="1:31" s="3" customFormat="1" ht="21.6" customHeight="1" x14ac:dyDescent="0.15">
      <c r="A61" s="54"/>
      <c r="B61" s="54"/>
      <c r="C61" s="55">
        <f>$C$10+D61/1440</f>
        <v>43837.75</v>
      </c>
      <c r="D61" s="187">
        <f t="shared" si="32"/>
        <v>1920</v>
      </c>
      <c r="E61" s="256">
        <f t="shared" si="36"/>
        <v>1.3333333333333333</v>
      </c>
      <c r="F61" s="188">
        <f t="shared" si="15"/>
        <v>63.45</v>
      </c>
      <c r="G61" s="188">
        <f t="shared" si="16"/>
        <v>51.45</v>
      </c>
      <c r="H61" s="458"/>
      <c r="I61" s="458"/>
      <c r="J61" s="3" t="s">
        <v>18</v>
      </c>
      <c r="K61" s="9" t="s">
        <v>18</v>
      </c>
      <c r="U61" s="14">
        <f t="shared" si="9"/>
        <v>520</v>
      </c>
      <c r="V61" s="3">
        <f t="shared" si="10"/>
        <v>4.5901054101942504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9"/>
        <v>2400</v>
      </c>
      <c r="AA61" s="263">
        <f t="shared" si="27"/>
        <v>86.829999818815082</v>
      </c>
      <c r="AB61" s="10">
        <f t="shared" si="35"/>
        <v>86.829999818815082</v>
      </c>
      <c r="AD61" s="12">
        <f t="shared" si="5"/>
        <v>2400</v>
      </c>
      <c r="AE61" s="10">
        <f t="shared" si="34"/>
        <v>51.45</v>
      </c>
    </row>
    <row r="62" spans="1:31" s="3" customFormat="1" ht="21.6" customHeight="1" x14ac:dyDescent="0.15">
      <c r="A62" s="54"/>
      <c r="B62" s="54"/>
      <c r="C62" s="55"/>
      <c r="D62" s="187">
        <f t="shared" si="32"/>
        <v>1980</v>
      </c>
      <c r="E62" s="256">
        <f t="shared" si="36"/>
        <v>1.375</v>
      </c>
      <c r="F62" s="188">
        <f t="shared" si="15"/>
        <v>63.45</v>
      </c>
      <c r="G62" s="188">
        <f t="shared" si="16"/>
        <v>51.45</v>
      </c>
      <c r="H62" s="458"/>
      <c r="I62" s="458"/>
      <c r="J62" s="3" t="s">
        <v>18</v>
      </c>
      <c r="K62" s="9" t="s">
        <v>18</v>
      </c>
      <c r="U62" s="14">
        <f t="shared" si="9"/>
        <v>520</v>
      </c>
      <c r="V62" s="3">
        <f t="shared" si="10"/>
        <v>4.5901054101942504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9"/>
        <v>2460</v>
      </c>
      <c r="AA62" s="263">
        <f t="shared" si="27"/>
        <v>86.829999818815082</v>
      </c>
      <c r="AB62" s="10">
        <f t="shared" si="35"/>
        <v>86.829999818815082</v>
      </c>
      <c r="AD62" s="12">
        <f t="shared" si="5"/>
        <v>2460</v>
      </c>
      <c r="AE62" s="10">
        <f t="shared" si="34"/>
        <v>51.45</v>
      </c>
    </row>
    <row r="63" spans="1:31" s="3" customFormat="1" ht="21.6" customHeight="1" x14ac:dyDescent="0.15">
      <c r="A63" s="54"/>
      <c r="B63" s="54"/>
      <c r="C63" s="55"/>
      <c r="D63" s="187">
        <f t="shared" ref="D63:D76" si="37">D62+60</f>
        <v>2040</v>
      </c>
      <c r="E63" s="256">
        <f t="shared" si="36"/>
        <v>1.4166666666666667</v>
      </c>
      <c r="F63" s="188">
        <f>F62</f>
        <v>63.45</v>
      </c>
      <c r="G63" s="188">
        <f t="shared" si="16"/>
        <v>51.45</v>
      </c>
      <c r="H63" s="458"/>
      <c r="I63" s="458"/>
      <c r="J63" s="3" t="s">
        <v>18</v>
      </c>
      <c r="K63" s="9" t="s">
        <v>18</v>
      </c>
      <c r="U63" s="14">
        <f t="shared" si="9"/>
        <v>520</v>
      </c>
      <c r="V63" s="3">
        <f t="shared" si="10"/>
        <v>4.5901054101942504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9"/>
        <v>2520</v>
      </c>
      <c r="AA63" s="263">
        <f t="shared" si="27"/>
        <v>86.829999818815082</v>
      </c>
      <c r="AB63" s="10">
        <f t="shared" si="35"/>
        <v>86.829999818815082</v>
      </c>
      <c r="AD63" s="12">
        <f t="shared" si="5"/>
        <v>2520</v>
      </c>
      <c r="AE63" s="10">
        <f t="shared" si="34"/>
        <v>51.45</v>
      </c>
    </row>
    <row r="64" spans="1:31" s="3" customFormat="1" ht="21.6" customHeight="1" x14ac:dyDescent="0.15">
      <c r="A64" s="54"/>
      <c r="B64" s="54"/>
      <c r="C64" s="55"/>
      <c r="D64" s="187">
        <f t="shared" si="37"/>
        <v>2100</v>
      </c>
      <c r="E64" s="256">
        <f t="shared" si="36"/>
        <v>1.4583333333333333</v>
      </c>
      <c r="F64" s="188">
        <f t="shared" ref="F64:F77" si="38">F63</f>
        <v>63.45</v>
      </c>
      <c r="G64" s="188">
        <f t="shared" si="16"/>
        <v>51.45</v>
      </c>
      <c r="H64" s="458"/>
      <c r="I64" s="458"/>
      <c r="J64" s="3" t="s">
        <v>18</v>
      </c>
      <c r="K64" s="9" t="s">
        <v>18</v>
      </c>
      <c r="U64" s="14">
        <f t="shared" si="9"/>
        <v>520</v>
      </c>
      <c r="V64" s="3">
        <f t="shared" si="10"/>
        <v>4.5901054101942504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9"/>
        <v>2580</v>
      </c>
      <c r="AA64" s="263">
        <f t="shared" si="27"/>
        <v>86.829999818815082</v>
      </c>
      <c r="AB64" s="10">
        <f t="shared" si="35"/>
        <v>86.829999818815082</v>
      </c>
      <c r="AD64" s="12">
        <f t="shared" si="5"/>
        <v>2580</v>
      </c>
      <c r="AE64" s="10">
        <f t="shared" si="34"/>
        <v>51.45</v>
      </c>
    </row>
    <row r="65" spans="1:31" s="3" customFormat="1" ht="21.6" customHeight="1" x14ac:dyDescent="0.15">
      <c r="A65" s="54"/>
      <c r="B65" s="54"/>
      <c r="C65" s="55"/>
      <c r="D65" s="187">
        <f t="shared" si="37"/>
        <v>2160</v>
      </c>
      <c r="E65" s="256">
        <f t="shared" si="36"/>
        <v>1.5</v>
      </c>
      <c r="F65" s="188">
        <f t="shared" si="38"/>
        <v>63.45</v>
      </c>
      <c r="G65" s="188">
        <f t="shared" si="16"/>
        <v>51.45</v>
      </c>
      <c r="H65" s="458"/>
      <c r="I65" s="458"/>
      <c r="J65" s="3" t="s">
        <v>18</v>
      </c>
      <c r="K65" s="9" t="s">
        <v>18</v>
      </c>
      <c r="U65" s="14">
        <f t="shared" si="9"/>
        <v>520</v>
      </c>
      <c r="V65" s="3">
        <f t="shared" si="10"/>
        <v>4.5901054101942504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9"/>
        <v>2640</v>
      </c>
      <c r="AA65" s="263">
        <f t="shared" si="27"/>
        <v>86.829999818815082</v>
      </c>
      <c r="AB65" s="10">
        <f t="shared" si="35"/>
        <v>86.829999818815082</v>
      </c>
      <c r="AD65" s="12">
        <f t="shared" si="5"/>
        <v>2640</v>
      </c>
      <c r="AE65" s="10">
        <f t="shared" si="34"/>
        <v>51.45</v>
      </c>
    </row>
    <row r="66" spans="1:31" s="3" customFormat="1" ht="21.6" customHeight="1" x14ac:dyDescent="0.15">
      <c r="A66" s="54"/>
      <c r="B66" s="54"/>
      <c r="C66" s="55">
        <f>$C$10+D66/1440</f>
        <v>43837.958333333328</v>
      </c>
      <c r="D66" s="187">
        <f t="shared" si="37"/>
        <v>2220</v>
      </c>
      <c r="E66" s="256">
        <f t="shared" si="36"/>
        <v>1.5416666666666667</v>
      </c>
      <c r="F66" s="188">
        <f t="shared" si="38"/>
        <v>63.45</v>
      </c>
      <c r="G66" s="188">
        <f t="shared" si="16"/>
        <v>51.45</v>
      </c>
      <c r="H66" s="458"/>
      <c r="I66" s="458"/>
      <c r="J66" s="3" t="s">
        <v>18</v>
      </c>
      <c r="K66" s="9" t="s">
        <v>18</v>
      </c>
      <c r="U66" s="14">
        <f t="shared" si="9"/>
        <v>520</v>
      </c>
      <c r="V66" s="3">
        <f t="shared" si="10"/>
        <v>4.5901054101942504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9"/>
        <v>2700</v>
      </c>
      <c r="AA66" s="263">
        <f>AB66+AC$2</f>
        <v>86.829999818815082</v>
      </c>
      <c r="AB66" s="10">
        <f t="shared" si="35"/>
        <v>86.829999818815082</v>
      </c>
      <c r="AD66" s="12">
        <f t="shared" si="5"/>
        <v>2700</v>
      </c>
      <c r="AE66" s="10">
        <f t="shared" si="34"/>
        <v>51.45</v>
      </c>
    </row>
    <row r="67" spans="1:31" s="3" customFormat="1" ht="21.6" customHeight="1" x14ac:dyDescent="0.15">
      <c r="A67" s="54"/>
      <c r="B67" s="54"/>
      <c r="C67" s="55"/>
      <c r="D67" s="187">
        <f t="shared" si="37"/>
        <v>2280</v>
      </c>
      <c r="E67" s="256">
        <f t="shared" si="36"/>
        <v>1.5833333333333333</v>
      </c>
      <c r="F67" s="188">
        <f t="shared" si="38"/>
        <v>63.45</v>
      </c>
      <c r="G67" s="188">
        <f t="shared" si="16"/>
        <v>51.45</v>
      </c>
      <c r="H67" s="458">
        <v>43838</v>
      </c>
      <c r="I67" s="458"/>
      <c r="J67" s="3" t="s">
        <v>18</v>
      </c>
      <c r="K67" s="9" t="s">
        <v>18</v>
      </c>
      <c r="U67" s="14">
        <f t="shared" si="9"/>
        <v>520</v>
      </c>
      <c r="V67" s="3">
        <f t="shared" si="10"/>
        <v>4.5901054101942504</v>
      </c>
      <c r="W67" s="3">
        <f t="shared" si="11"/>
        <v>0.125</v>
      </c>
      <c r="X67" s="3">
        <f t="shared" si="12"/>
        <v>5.0000000000000001E-4</v>
      </c>
      <c r="Y67" s="3">
        <f t="shared" ref="Y67:Y79" si="39">E75</f>
        <v>1.9166666666666667</v>
      </c>
      <c r="Z67" s="12">
        <f t="shared" si="29"/>
        <v>2760</v>
      </c>
      <c r="AA67" s="263">
        <f>AB67+AC$2</f>
        <v>86.829999818815082</v>
      </c>
      <c r="AB67" s="10">
        <f t="shared" si="35"/>
        <v>86.829999818815082</v>
      </c>
      <c r="AD67" s="12">
        <f>Z67</f>
        <v>2760</v>
      </c>
      <c r="AE67" s="10">
        <f t="shared" si="34"/>
        <v>51.45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7"/>
        <v>2340</v>
      </c>
      <c r="E68" s="256">
        <f t="shared" si="36"/>
        <v>1.625</v>
      </c>
      <c r="F68" s="188">
        <f t="shared" si="38"/>
        <v>63.45</v>
      </c>
      <c r="G68" s="188">
        <f t="shared" si="16"/>
        <v>51.45</v>
      </c>
      <c r="H68" s="458"/>
      <c r="I68" s="458"/>
      <c r="J68" s="3" t="s">
        <v>18</v>
      </c>
      <c r="K68" s="9" t="s">
        <v>18</v>
      </c>
      <c r="U68" s="14">
        <f>U67</f>
        <v>520</v>
      </c>
      <c r="V68" s="3">
        <f t="shared" ref="V68:V83" si="40">V$2</f>
        <v>4.5901054101942504</v>
      </c>
      <c r="W68" s="3">
        <f t="shared" ref="W68:W83" si="41">W67</f>
        <v>0.125</v>
      </c>
      <c r="X68" s="3">
        <f t="shared" ref="X68:X83" si="42">X$2</f>
        <v>5.0000000000000001E-4</v>
      </c>
      <c r="Y68" s="3">
        <f t="shared" si="39"/>
        <v>1.9583333333333333</v>
      </c>
      <c r="Z68" s="12">
        <f t="shared" si="29"/>
        <v>2820</v>
      </c>
      <c r="AA68" s="263">
        <f>AB68+AC$2</f>
        <v>86.829999818815082</v>
      </c>
      <c r="AB68" s="10">
        <f t="shared" si="35"/>
        <v>86.829999818815082</v>
      </c>
      <c r="AD68" s="12">
        <f>Z68</f>
        <v>2820</v>
      </c>
      <c r="AE68" s="10">
        <f t="shared" si="34"/>
        <v>51.45</v>
      </c>
    </row>
    <row r="69" spans="1:31" s="3" customFormat="1" ht="21.6" customHeight="1" x14ac:dyDescent="0.15">
      <c r="A69" s="54"/>
      <c r="B69" s="54"/>
      <c r="C69" s="55"/>
      <c r="D69" s="187">
        <f t="shared" si="37"/>
        <v>2400</v>
      </c>
      <c r="E69" s="256">
        <f t="shared" si="36"/>
        <v>1.6666666666666667</v>
      </c>
      <c r="F69" s="188">
        <f t="shared" si="38"/>
        <v>63.45</v>
      </c>
      <c r="G69" s="188">
        <f t="shared" si="16"/>
        <v>51.45</v>
      </c>
      <c r="H69" s="458"/>
      <c r="I69" s="458"/>
      <c r="J69" s="3" t="s">
        <v>18</v>
      </c>
      <c r="K69" s="9" t="s">
        <v>18</v>
      </c>
      <c r="U69" s="14">
        <f>U68</f>
        <v>520</v>
      </c>
      <c r="V69" s="3">
        <f t="shared" si="40"/>
        <v>4.5901054101942504</v>
      </c>
      <c r="W69" s="3">
        <f t="shared" si="41"/>
        <v>0.125</v>
      </c>
      <c r="X69" s="3">
        <f t="shared" si="42"/>
        <v>5.0000000000000001E-4</v>
      </c>
      <c r="Y69" s="3">
        <f t="shared" si="39"/>
        <v>2</v>
      </c>
      <c r="Z69" s="12">
        <f t="shared" si="29"/>
        <v>2880</v>
      </c>
      <c r="AA69" s="263">
        <f>AB69+AC$2</f>
        <v>86.829999818815082</v>
      </c>
      <c r="AB69" s="10">
        <f t="shared" si="35"/>
        <v>86.829999818815082</v>
      </c>
      <c r="AD69" s="12">
        <f>Z69</f>
        <v>2880</v>
      </c>
      <c r="AE69" s="10">
        <f t="shared" si="34"/>
        <v>51.45</v>
      </c>
    </row>
    <row r="70" spans="1:31" s="3" customFormat="1" ht="21.6" customHeight="1" x14ac:dyDescent="0.15">
      <c r="A70" s="54"/>
      <c r="B70" s="54"/>
      <c r="C70" s="55"/>
      <c r="D70" s="187">
        <f t="shared" si="37"/>
        <v>2460</v>
      </c>
      <c r="E70" s="256">
        <f t="shared" si="36"/>
        <v>1.7083333333333333</v>
      </c>
      <c r="F70" s="188">
        <f t="shared" si="38"/>
        <v>63.45</v>
      </c>
      <c r="G70" s="188">
        <f t="shared" si="16"/>
        <v>51.45</v>
      </c>
      <c r="H70" s="458"/>
      <c r="I70" s="458"/>
      <c r="J70" s="3" t="s">
        <v>18</v>
      </c>
      <c r="K70" s="9" t="s">
        <v>18</v>
      </c>
      <c r="U70" s="14"/>
      <c r="V70" s="3">
        <f t="shared" si="40"/>
        <v>4.5901054101942504</v>
      </c>
      <c r="W70" s="3">
        <f t="shared" si="41"/>
        <v>0.125</v>
      </c>
      <c r="X70" s="3">
        <f t="shared" si="42"/>
        <v>5.0000000000000001E-4</v>
      </c>
      <c r="Y70" s="3">
        <f t="shared" si="39"/>
        <v>6.9444444444444447E-4</v>
      </c>
      <c r="Z70" s="12">
        <f t="shared" si="29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43838.166666666664</v>
      </c>
      <c r="D71" s="187">
        <f t="shared" si="37"/>
        <v>2520</v>
      </c>
      <c r="E71" s="256">
        <f t="shared" si="36"/>
        <v>1.75</v>
      </c>
      <c r="F71" s="188">
        <f t="shared" si="38"/>
        <v>63.45</v>
      </c>
      <c r="G71" s="188">
        <f t="shared" si="16"/>
        <v>51.45</v>
      </c>
      <c r="H71" s="458"/>
      <c r="I71" s="458"/>
      <c r="J71" s="3" t="s">
        <v>18</v>
      </c>
      <c r="K71" s="9" t="s">
        <v>18</v>
      </c>
      <c r="U71" s="14"/>
      <c r="V71" s="3">
        <f t="shared" si="40"/>
        <v>4.5901054101942504</v>
      </c>
      <c r="W71" s="3">
        <f t="shared" si="41"/>
        <v>0.125</v>
      </c>
      <c r="X71" s="3">
        <f t="shared" si="42"/>
        <v>5.0000000000000001E-4</v>
      </c>
      <c r="Y71" s="3">
        <f t="shared" si="39"/>
        <v>1.3888888888888889E-3</v>
      </c>
      <c r="Z71" s="12">
        <f t="shared" si="29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7"/>
        <v>2580</v>
      </c>
      <c r="E72" s="256">
        <f t="shared" si="36"/>
        <v>1.7916666666666667</v>
      </c>
      <c r="F72" s="188">
        <f t="shared" si="38"/>
        <v>63.45</v>
      </c>
      <c r="G72" s="188">
        <f t="shared" si="16"/>
        <v>51.45</v>
      </c>
      <c r="H72" s="458"/>
      <c r="I72" s="458"/>
      <c r="J72" s="3" t="s">
        <v>18</v>
      </c>
      <c r="K72" s="9" t="s">
        <v>18</v>
      </c>
      <c r="U72" s="14"/>
      <c r="V72" s="3">
        <f t="shared" si="40"/>
        <v>4.5901054101942504</v>
      </c>
      <c r="W72" s="3">
        <f t="shared" si="41"/>
        <v>0.125</v>
      </c>
      <c r="X72" s="3">
        <f t="shared" si="42"/>
        <v>5.0000000000000001E-4</v>
      </c>
      <c r="Y72" s="3">
        <f t="shared" si="39"/>
        <v>2.0833333333333333E-3</v>
      </c>
      <c r="Z72" s="12">
        <f t="shared" si="29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7"/>
        <v>2640</v>
      </c>
      <c r="E73" s="256">
        <f t="shared" si="36"/>
        <v>1.8333333333333333</v>
      </c>
      <c r="F73" s="188">
        <f t="shared" si="38"/>
        <v>63.45</v>
      </c>
      <c r="G73" s="188">
        <f t="shared" si="16"/>
        <v>51.45</v>
      </c>
      <c r="H73" s="458"/>
      <c r="I73" s="458"/>
      <c r="J73" s="3" t="s">
        <v>18</v>
      </c>
      <c r="K73" s="9" t="s">
        <v>18</v>
      </c>
      <c r="U73" s="14"/>
      <c r="V73" s="3">
        <f t="shared" si="40"/>
        <v>4.5901054101942504</v>
      </c>
      <c r="W73" s="3">
        <f t="shared" si="41"/>
        <v>0.125</v>
      </c>
      <c r="X73" s="3">
        <f t="shared" si="42"/>
        <v>5.0000000000000001E-4</v>
      </c>
      <c r="Y73" s="3">
        <f t="shared" si="39"/>
        <v>2.7777777777777779E-3</v>
      </c>
      <c r="Z73" s="12">
        <f t="shared" si="29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7"/>
        <v>2700</v>
      </c>
      <c r="E74" s="256">
        <f t="shared" si="36"/>
        <v>1.875</v>
      </c>
      <c r="F74" s="188">
        <f t="shared" si="38"/>
        <v>63.45</v>
      </c>
      <c r="G74" s="188">
        <f t="shared" si="16"/>
        <v>51.45</v>
      </c>
      <c r="H74" s="458"/>
      <c r="I74" s="458"/>
      <c r="J74" s="3" t="s">
        <v>18</v>
      </c>
      <c r="K74" s="9" t="s">
        <v>18</v>
      </c>
      <c r="U74" s="14"/>
      <c r="V74" s="3">
        <f t="shared" si="40"/>
        <v>4.5901054101942504</v>
      </c>
      <c r="W74" s="3">
        <f t="shared" si="41"/>
        <v>0.125</v>
      </c>
      <c r="X74" s="3">
        <f t="shared" si="42"/>
        <v>5.0000000000000001E-4</v>
      </c>
      <c r="Y74" s="3">
        <f t="shared" si="39"/>
        <v>3.472222222222222E-3</v>
      </c>
      <c r="Z74" s="12">
        <f t="shared" si="29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7"/>
        <v>2760</v>
      </c>
      <c r="E75" s="256">
        <f>D75/1440</f>
        <v>1.9166666666666667</v>
      </c>
      <c r="F75" s="188">
        <f t="shared" si="38"/>
        <v>63.45</v>
      </c>
      <c r="G75" s="188">
        <f>AE67</f>
        <v>51.45</v>
      </c>
      <c r="H75" s="458"/>
      <c r="I75" s="458"/>
      <c r="J75" s="3" t="s">
        <v>18</v>
      </c>
      <c r="K75" s="9" t="s">
        <v>18</v>
      </c>
      <c r="U75" s="14"/>
      <c r="V75" s="3">
        <f t="shared" si="40"/>
        <v>4.5901054101942504</v>
      </c>
      <c r="W75" s="3">
        <f t="shared" si="41"/>
        <v>0.125</v>
      </c>
      <c r="X75" s="3">
        <f t="shared" si="42"/>
        <v>5.0000000000000001E-4</v>
      </c>
      <c r="Y75" s="3">
        <f t="shared" si="39"/>
        <v>6.9444444444444441E-3</v>
      </c>
      <c r="Z75" s="12">
        <f t="shared" si="29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7"/>
        <v>2820</v>
      </c>
      <c r="E76" s="256">
        <f>D76/1440</f>
        <v>1.9583333333333333</v>
      </c>
      <c r="F76" s="188">
        <f t="shared" si="38"/>
        <v>63.45</v>
      </c>
      <c r="G76" s="188">
        <f>AE68</f>
        <v>51.45</v>
      </c>
      <c r="H76" s="458"/>
      <c r="I76" s="458"/>
      <c r="J76" s="3" t="s">
        <v>18</v>
      </c>
      <c r="K76" s="9" t="s">
        <v>18</v>
      </c>
      <c r="U76" s="14"/>
      <c r="V76" s="3">
        <f t="shared" si="40"/>
        <v>4.5901054101942504</v>
      </c>
      <c r="W76" s="3">
        <f t="shared" si="41"/>
        <v>0.125</v>
      </c>
      <c r="X76" s="3">
        <f t="shared" si="42"/>
        <v>5.0000000000000001E-4</v>
      </c>
      <c r="Y76" s="3">
        <f t="shared" si="39"/>
        <v>1.0416666666666666E-2</v>
      </c>
      <c r="Z76" s="12">
        <f t="shared" si="29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43838.416666666664</v>
      </c>
      <c r="D77" s="187">
        <f>D76+60</f>
        <v>2880</v>
      </c>
      <c r="E77" s="256">
        <f>D77/1440</f>
        <v>2</v>
      </c>
      <c r="F77" s="285">
        <f t="shared" si="38"/>
        <v>63.45</v>
      </c>
      <c r="G77" s="188">
        <f>AE69</f>
        <v>51.45</v>
      </c>
      <c r="H77" s="458" t="s">
        <v>13</v>
      </c>
      <c r="I77" s="458" t="s">
        <v>13</v>
      </c>
      <c r="J77" s="3" t="s">
        <v>18</v>
      </c>
      <c r="K77" s="9" t="s">
        <v>18</v>
      </c>
      <c r="U77" s="14"/>
      <c r="V77" s="3">
        <f t="shared" si="40"/>
        <v>4.5901054101942504</v>
      </c>
      <c r="W77" s="3">
        <f t="shared" si="41"/>
        <v>0.125</v>
      </c>
      <c r="X77" s="3">
        <f t="shared" si="42"/>
        <v>5.0000000000000001E-4</v>
      </c>
      <c r="Y77" s="3">
        <f t="shared" si="39"/>
        <v>1.3888888888888888E-2</v>
      </c>
      <c r="Z77" s="12">
        <f t="shared" si="29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43838.417361111111</v>
      </c>
      <c r="D78" s="187">
        <v>1</v>
      </c>
      <c r="E78" s="256">
        <f t="shared" ref="E78:E101" si="43">D78/1440</f>
        <v>6.9444444444444447E-4</v>
      </c>
      <c r="F78" s="188">
        <f>G78+D$8</f>
        <v>41.634078434613627</v>
      </c>
      <c r="G78" s="188">
        <f>H114</f>
        <v>29.634078434613624</v>
      </c>
      <c r="H78" s="458" t="s">
        <v>254</v>
      </c>
      <c r="I78" s="458"/>
      <c r="J78" s="3" t="s">
        <v>18</v>
      </c>
      <c r="K78" s="9"/>
      <c r="U78" s="14"/>
      <c r="V78" s="3">
        <f t="shared" si="40"/>
        <v>4.5901054101942504</v>
      </c>
      <c r="W78" s="3">
        <f t="shared" si="41"/>
        <v>0.125</v>
      </c>
      <c r="X78" s="3">
        <f t="shared" si="42"/>
        <v>5.0000000000000001E-4</v>
      </c>
      <c r="Y78" s="3">
        <f t="shared" si="39"/>
        <v>1.7361111111111112E-2</v>
      </c>
      <c r="Z78" s="12">
        <f t="shared" si="29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3"/>
        <v>1.3888888888888889E-3</v>
      </c>
      <c r="F79" s="188">
        <f t="shared" ref="F79:F101" si="44">G79+D$8</f>
        <v>38.329939709219815</v>
      </c>
      <c r="G79" s="188">
        <f>H115</f>
        <v>26.329939709219818</v>
      </c>
      <c r="H79" s="458"/>
      <c r="I79" s="458"/>
      <c r="J79" s="3" t="s">
        <v>18</v>
      </c>
      <c r="K79" s="9" t="s">
        <v>18</v>
      </c>
      <c r="U79" s="14"/>
      <c r="V79" s="3">
        <f t="shared" si="40"/>
        <v>4.5901054101942504</v>
      </c>
      <c r="W79" s="3">
        <f t="shared" si="41"/>
        <v>0.125</v>
      </c>
      <c r="X79" s="3">
        <f t="shared" si="42"/>
        <v>5.0000000000000001E-4</v>
      </c>
      <c r="Y79" s="3">
        <f t="shared" si="39"/>
        <v>2.0833333333333332E-2</v>
      </c>
      <c r="Z79" s="12">
        <f t="shared" si="29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3"/>
        <v>2.0833333333333333E-3</v>
      </c>
      <c r="F80" s="188">
        <f t="shared" si="44"/>
        <v>35.394205648095749</v>
      </c>
      <c r="G80" s="188">
        <f>H116</f>
        <v>23.394205648095749</v>
      </c>
      <c r="H80" s="458"/>
      <c r="I80" s="458"/>
      <c r="J80" s="3" t="s">
        <v>18</v>
      </c>
      <c r="K80" s="9" t="s">
        <v>18</v>
      </c>
      <c r="U80" s="14"/>
      <c r="V80" s="3">
        <f t="shared" si="40"/>
        <v>4.5901054101942504</v>
      </c>
      <c r="W80" s="3">
        <f t="shared" si="41"/>
        <v>0.125</v>
      </c>
      <c r="X80" s="3">
        <f t="shared" si="42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3"/>
        <v>2.7777777777777779E-3</v>
      </c>
      <c r="F81" s="188">
        <f t="shared" si="44"/>
        <v>32.785799889764036</v>
      </c>
      <c r="G81" s="188">
        <f>H117</f>
        <v>20.785799889764039</v>
      </c>
      <c r="H81" s="458"/>
      <c r="I81" s="458"/>
      <c r="J81" s="3" t="s">
        <v>18</v>
      </c>
      <c r="K81" s="9" t="s">
        <v>18</v>
      </c>
      <c r="U81" s="14"/>
      <c r="V81" s="3">
        <f t="shared" si="40"/>
        <v>4.5901054101942504</v>
      </c>
      <c r="W81" s="3">
        <f t="shared" si="41"/>
        <v>0.125</v>
      </c>
      <c r="X81" s="3">
        <f t="shared" si="42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3"/>
        <v>3.472222222222222E-3</v>
      </c>
      <c r="F82" s="188">
        <f t="shared" si="44"/>
        <v>30.468226002470946</v>
      </c>
      <c r="G82" s="188">
        <f>H118</f>
        <v>18.468226002470946</v>
      </c>
      <c r="H82" s="458"/>
      <c r="I82" s="458"/>
      <c r="J82" s="3" t="s">
        <v>18</v>
      </c>
      <c r="K82" s="9" t="s">
        <v>18</v>
      </c>
      <c r="U82" s="14"/>
      <c r="V82" s="3">
        <f t="shared" si="40"/>
        <v>4.5901054101942504</v>
      </c>
      <c r="W82" s="3">
        <f t="shared" si="41"/>
        <v>0.125</v>
      </c>
      <c r="X82" s="3">
        <f t="shared" si="42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3"/>
        <v>6.9444444444444441E-3</v>
      </c>
      <c r="F83" s="188">
        <f t="shared" si="44"/>
        <v>24.953898696505998</v>
      </c>
      <c r="G83" s="188">
        <f>H121</f>
        <v>12.953898696505998</v>
      </c>
      <c r="H83" s="458"/>
      <c r="I83" s="458"/>
      <c r="J83" s="3" t="s">
        <v>18</v>
      </c>
      <c r="K83" s="9" t="s">
        <v>18</v>
      </c>
      <c r="U83" s="14"/>
      <c r="V83" s="3">
        <f t="shared" si="40"/>
        <v>4.5901054101942504</v>
      </c>
      <c r="W83" s="3">
        <f t="shared" si="41"/>
        <v>0.125</v>
      </c>
      <c r="X83" s="3">
        <f t="shared" si="42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3"/>
        <v>1.0416666666666666E-2</v>
      </c>
      <c r="F84" s="188">
        <f t="shared" si="44"/>
        <v>23.972167624090396</v>
      </c>
      <c r="G84" s="188">
        <f>H124</f>
        <v>11.972167624090394</v>
      </c>
      <c r="H84" s="458"/>
      <c r="I84" s="458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3"/>
        <v>1.3888888888888888E-2</v>
      </c>
      <c r="F85" s="188">
        <f t="shared" si="44"/>
        <v>21.45125903170662</v>
      </c>
      <c r="G85" s="188">
        <f>H126</f>
        <v>9.4512590317066216</v>
      </c>
      <c r="H85" s="458"/>
      <c r="I85" s="458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3"/>
        <v>1.7361111111111112E-2</v>
      </c>
      <c r="F86" s="188">
        <f t="shared" si="44"/>
        <v>20.397463110929344</v>
      </c>
      <c r="G86" s="188">
        <f t="shared" ref="G86:G92" si="45">H127</f>
        <v>8.3974631109293441</v>
      </c>
      <c r="H86" s="458"/>
      <c r="I86" s="458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3"/>
        <v>2.0833333333333332E-2</v>
      </c>
      <c r="F87" s="188">
        <f t="shared" si="44"/>
        <v>19.461163265428532</v>
      </c>
      <c r="G87" s="188">
        <f t="shared" si="45"/>
        <v>7.4611632654285316</v>
      </c>
      <c r="H87" s="458"/>
      <c r="I87" s="458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3"/>
        <v>2.4305555555555556E-2</v>
      </c>
      <c r="F88" s="188">
        <f t="shared" si="44"/>
        <v>19.17286553617172</v>
      </c>
      <c r="G88" s="188">
        <f t="shared" si="45"/>
        <v>7.1728655361717193</v>
      </c>
      <c r="H88" s="458"/>
      <c r="I88" s="458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3"/>
        <v>2.7777777777777776E-2</v>
      </c>
      <c r="F89" s="188">
        <f t="shared" si="44"/>
        <v>18.895707568603239</v>
      </c>
      <c r="G89" s="188">
        <f t="shared" si="45"/>
        <v>6.8957075686032399</v>
      </c>
      <c r="H89" s="458"/>
      <c r="I89" s="458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3"/>
        <v>3.125E-2</v>
      </c>
      <c r="F90" s="188">
        <f t="shared" si="44"/>
        <v>18.629258924749156</v>
      </c>
      <c r="G90" s="188">
        <f t="shared" si="45"/>
        <v>6.6292589247491565</v>
      </c>
      <c r="H90" s="458"/>
      <c r="I90" s="458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3"/>
        <v>3.4722222222222224E-2</v>
      </c>
      <c r="F91" s="188">
        <f t="shared" si="44"/>
        <v>18.373105798665421</v>
      </c>
      <c r="G91" s="188">
        <f t="shared" si="45"/>
        <v>6.3731057986654207</v>
      </c>
      <c r="H91" s="458"/>
      <c r="I91" s="458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3"/>
        <v>3.8194444444444448E-2</v>
      </c>
      <c r="F92" s="188">
        <f t="shared" si="44"/>
        <v>18.126850373779856</v>
      </c>
      <c r="G92" s="188">
        <f t="shared" si="45"/>
        <v>6.1268503737798561</v>
      </c>
      <c r="H92" s="458"/>
      <c r="I92" s="458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43838.458333333328</v>
      </c>
      <c r="D93" s="187">
        <v>60</v>
      </c>
      <c r="E93" s="256">
        <f t="shared" si="43"/>
        <v>4.1666666666666664E-2</v>
      </c>
      <c r="F93" s="188">
        <f t="shared" si="44"/>
        <v>17.890110205066293</v>
      </c>
      <c r="G93" s="188">
        <f>H134</f>
        <v>5.8901102050662937</v>
      </c>
      <c r="H93" s="458"/>
      <c r="I93" s="458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3"/>
        <v>5.2083333333333336E-2</v>
      </c>
      <c r="F94" s="188">
        <f t="shared" si="44"/>
        <v>17.662517625091368</v>
      </c>
      <c r="G94" s="188">
        <f>H135</f>
        <v>5.66251762509137</v>
      </c>
      <c r="H94" s="458"/>
      <c r="I94" s="458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3"/>
        <v>6.25E-2</v>
      </c>
      <c r="F95" s="188">
        <f t="shared" si="44"/>
        <v>17.443719173011559</v>
      </c>
      <c r="G95" s="188">
        <f>H136</f>
        <v>5.4437191730115568</v>
      </c>
      <c r="H95" s="458"/>
      <c r="I95" s="458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3"/>
        <v>7.2916666666666671E-2</v>
      </c>
      <c r="F96" s="188">
        <f t="shared" si="44"/>
        <v>17.233375045633604</v>
      </c>
      <c r="G96" s="188">
        <f>H137</f>
        <v>5.2333750456336032</v>
      </c>
      <c r="H96" s="458"/>
      <c r="I96" s="458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43838.5</v>
      </c>
      <c r="D97" s="187">
        <v>120</v>
      </c>
      <c r="E97" s="256">
        <f t="shared" si="43"/>
        <v>8.3333333333333329E-2</v>
      </c>
      <c r="F97" s="188">
        <f t="shared" si="44"/>
        <v>16.649864504182442</v>
      </c>
      <c r="G97" s="188">
        <f>H138</f>
        <v>4.6498645041824416</v>
      </c>
      <c r="H97" s="458"/>
      <c r="I97" s="458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3"/>
        <v>0.125</v>
      </c>
      <c r="F98" s="188">
        <f t="shared" si="44"/>
        <v>16.470194748915311</v>
      </c>
      <c r="G98" s="188">
        <f>H140</f>
        <v>4.4701947489153095</v>
      </c>
      <c r="H98" s="458"/>
      <c r="I98" s="458"/>
      <c r="J98" s="63"/>
      <c r="K98" s="9" t="s">
        <v>18</v>
      </c>
      <c r="U98" s="14" t="str">
        <f t="shared" ref="U98:U103" si="46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43838.583333333328</v>
      </c>
      <c r="D99" s="187">
        <v>240</v>
      </c>
      <c r="E99" s="256">
        <f t="shared" si="43"/>
        <v>0.16666666666666666</v>
      </c>
      <c r="F99" s="188">
        <f t="shared" si="44"/>
        <v>15.528932255271799</v>
      </c>
      <c r="G99" s="188">
        <f>H142</f>
        <v>3.5289322552717999</v>
      </c>
      <c r="H99" s="458"/>
      <c r="I99" s="458"/>
      <c r="U99" s="14" t="str">
        <f t="shared" si="46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3"/>
        <v>0.20833333333333334</v>
      </c>
      <c r="F100" s="188">
        <f t="shared" si="44"/>
        <v>14.785865842941075</v>
      </c>
      <c r="G100" s="188">
        <f>H144</f>
        <v>2.7858658429410745</v>
      </c>
      <c r="H100" s="458"/>
      <c r="I100" s="458"/>
      <c r="U100" s="14" t="str">
        <f t="shared" si="46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43838.666666666664</v>
      </c>
      <c r="D101" s="187">
        <v>360</v>
      </c>
      <c r="E101" s="256">
        <f t="shared" si="43"/>
        <v>0.25</v>
      </c>
      <c r="F101" s="285">
        <f t="shared" si="44"/>
        <v>14.199262534233043</v>
      </c>
      <c r="G101" s="249">
        <f>H146</f>
        <v>2.1992625342330419</v>
      </c>
      <c r="H101" s="458"/>
      <c r="I101" s="458"/>
      <c r="U101" s="14" t="str">
        <f t="shared" si="46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6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6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51.45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51.45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7">D111^E111</f>
        <v>42.248968494173347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51.45</v>
      </c>
      <c r="E112" s="15">
        <f t="shared" ref="E112:E141" si="49">C112/100</f>
        <v>0.92</v>
      </c>
      <c r="F112" s="251"/>
      <c r="G112" s="3">
        <v>2</v>
      </c>
      <c r="H112" s="253">
        <f t="shared" si="47"/>
        <v>37.538295502686367</v>
      </c>
      <c r="I112" s="13">
        <f>H111-H112</f>
        <v>4.7106729914869803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51.45</v>
      </c>
      <c r="E113" s="15">
        <f t="shared" si="49"/>
        <v>0.89</v>
      </c>
      <c r="F113" s="54" t="s">
        <v>18</v>
      </c>
      <c r="G113" s="3">
        <v>3</v>
      </c>
      <c r="H113" s="253">
        <f t="shared" si="47"/>
        <v>33.352852849918435</v>
      </c>
      <c r="I113" s="13">
        <f t="shared" ref="I113:I146" si="51">H112-H113</f>
        <v>4.1854426527679323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51.45</v>
      </c>
      <c r="E114" s="15">
        <f t="shared" si="49"/>
        <v>0.86</v>
      </c>
      <c r="F114" s="251">
        <v>1</v>
      </c>
      <c r="G114" s="36">
        <v>4</v>
      </c>
      <c r="H114" s="254">
        <f t="shared" si="47"/>
        <v>29.634078434613624</v>
      </c>
      <c r="I114" s="13">
        <f t="shared" si="51"/>
        <v>3.7187744153048108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51.45</v>
      </c>
      <c r="E115" s="15">
        <f t="shared" si="49"/>
        <v>0.83</v>
      </c>
      <c r="F115" s="251">
        <v>2</v>
      </c>
      <c r="G115" s="36">
        <v>5</v>
      </c>
      <c r="H115" s="254">
        <f t="shared" si="47"/>
        <v>26.329939709219818</v>
      </c>
      <c r="I115" s="13">
        <f t="shared" si="51"/>
        <v>3.3041387253938055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51.45</v>
      </c>
      <c r="E116" s="15">
        <f t="shared" si="49"/>
        <v>0.8</v>
      </c>
      <c r="F116" s="251">
        <v>3</v>
      </c>
      <c r="G116" s="36">
        <v>6</v>
      </c>
      <c r="H116" s="254">
        <f t="shared" si="47"/>
        <v>23.394205648095749</v>
      </c>
      <c r="I116" s="13">
        <f t="shared" si="51"/>
        <v>2.9357340611240694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51.45</v>
      </c>
      <c r="E117" s="15">
        <f t="shared" si="49"/>
        <v>0.77</v>
      </c>
      <c r="F117" s="251">
        <v>4</v>
      </c>
      <c r="G117" s="36">
        <v>7</v>
      </c>
      <c r="H117" s="254">
        <f t="shared" si="47"/>
        <v>20.785799889764039</v>
      </c>
      <c r="I117" s="13">
        <f t="shared" si="51"/>
        <v>2.6084057583317097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51.45</v>
      </c>
      <c r="E118" s="15">
        <f t="shared" si="49"/>
        <v>0.74</v>
      </c>
      <c r="F118" s="251">
        <v>5</v>
      </c>
      <c r="G118" s="36">
        <v>8</v>
      </c>
      <c r="H118" s="254">
        <f t="shared" si="47"/>
        <v>18.468226002470946</v>
      </c>
      <c r="I118" s="13">
        <f t="shared" si="51"/>
        <v>2.3175738872930935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51.45</v>
      </c>
      <c r="E119" s="15">
        <f t="shared" si="49"/>
        <v>0.71</v>
      </c>
      <c r="F119" s="54"/>
      <c r="G119" s="3">
        <v>9</v>
      </c>
      <c r="H119" s="255">
        <f t="shared" si="47"/>
        <v>16.40905683145283</v>
      </c>
      <c r="I119" s="13">
        <f t="shared" si="51"/>
        <v>2.0591691710181159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51.45</v>
      </c>
      <c r="E120" s="15">
        <f t="shared" si="49"/>
        <v>0.68</v>
      </c>
      <c r="F120" s="54" t="s">
        <v>18</v>
      </c>
      <c r="G120" s="3">
        <v>10</v>
      </c>
      <c r="H120" s="253">
        <f t="shared" si="47"/>
        <v>14.57948078293084</v>
      </c>
      <c r="I120" s="13">
        <f t="shared" si="51"/>
        <v>1.8295760485219894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51.45</v>
      </c>
      <c r="E121" s="15">
        <f t="shared" si="49"/>
        <v>0.65</v>
      </c>
      <c r="F121" s="251">
        <v>10</v>
      </c>
      <c r="G121" s="36">
        <v>12</v>
      </c>
      <c r="H121" s="254">
        <f t="shared" si="47"/>
        <v>12.953898696505998</v>
      </c>
      <c r="I121" s="13">
        <f t="shared" si="51"/>
        <v>1.625582086424842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51.45</v>
      </c>
      <c r="E122" s="15">
        <f t="shared" si="49"/>
        <v>0.62</v>
      </c>
      <c r="F122" s="54"/>
      <c r="G122" s="3">
        <v>14</v>
      </c>
      <c r="H122" s="253">
        <f t="shared" si="47"/>
        <v>11.509565665452117</v>
      </c>
      <c r="I122" s="13">
        <f t="shared" si="51"/>
        <v>1.4443330310538816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50"/>
        <v>51.45</v>
      </c>
      <c r="E123" s="15">
        <f t="shared" si="49"/>
        <v>0.37</v>
      </c>
      <c r="F123" s="54"/>
      <c r="G123" s="3">
        <v>15</v>
      </c>
      <c r="H123" s="253">
        <f t="shared" si="47"/>
        <v>4.2974673939974162</v>
      </c>
      <c r="I123" s="13">
        <f t="shared" si="51"/>
        <v>7.2120982714547006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50"/>
        <v>51.45</v>
      </c>
      <c r="E124" s="15">
        <f t="shared" si="49"/>
        <v>0.63</v>
      </c>
      <c r="F124" s="251">
        <v>15</v>
      </c>
      <c r="G124" s="36">
        <v>16</v>
      </c>
      <c r="H124" s="254">
        <f t="shared" si="47"/>
        <v>11.972167624090394</v>
      </c>
      <c r="I124" s="13">
        <f t="shared" si="51"/>
        <v>-7.6747002300929781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51.45</v>
      </c>
      <c r="E125" s="15">
        <f t="shared" si="49"/>
        <v>0.6</v>
      </c>
      <c r="F125" s="54"/>
      <c r="G125" s="3">
        <v>18</v>
      </c>
      <c r="H125" s="253">
        <f t="shared" si="47"/>
        <v>10.637295586110692</v>
      </c>
      <c r="I125" s="13">
        <f t="shared" si="51"/>
        <v>1.3348720379797019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51.45</v>
      </c>
      <c r="E126" s="15">
        <f t="shared" si="49"/>
        <v>0.56999999999999995</v>
      </c>
      <c r="F126" s="251">
        <v>20</v>
      </c>
      <c r="G126" s="36">
        <v>20</v>
      </c>
      <c r="H126" s="254">
        <f t="shared" si="47"/>
        <v>9.4512590317066216</v>
      </c>
      <c r="I126" s="13">
        <f t="shared" si="51"/>
        <v>1.1860365544040707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51.45</v>
      </c>
      <c r="E127" s="15">
        <f t="shared" si="49"/>
        <v>0.54</v>
      </c>
      <c r="F127" s="251">
        <v>25</v>
      </c>
      <c r="G127" s="36">
        <v>25</v>
      </c>
      <c r="H127" s="254">
        <f t="shared" si="47"/>
        <v>8.3974631109293441</v>
      </c>
      <c r="I127" s="13">
        <f t="shared" si="51"/>
        <v>1.0537959207772776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51.45</v>
      </c>
      <c r="E128" s="15">
        <f t="shared" si="49"/>
        <v>0.51</v>
      </c>
      <c r="F128" s="251">
        <v>30</v>
      </c>
      <c r="G128" s="36">
        <v>30</v>
      </c>
      <c r="H128" s="254">
        <f t="shared" si="47"/>
        <v>7.4611632654285316</v>
      </c>
      <c r="I128" s="13">
        <f t="shared" si="51"/>
        <v>0.93629984550081247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50"/>
        <v>51.45</v>
      </c>
      <c r="E129" s="15">
        <f t="shared" si="49"/>
        <v>0.5</v>
      </c>
      <c r="F129" s="251">
        <v>35</v>
      </c>
      <c r="G129" s="36">
        <v>35</v>
      </c>
      <c r="H129" s="254">
        <f t="shared" si="47"/>
        <v>7.1728655361717193</v>
      </c>
      <c r="I129" s="13">
        <f t="shared" si="51"/>
        <v>0.2882977292568123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50"/>
        <v>51.45</v>
      </c>
      <c r="E130" s="15">
        <f t="shared" si="49"/>
        <v>0.49</v>
      </c>
      <c r="F130" s="251">
        <v>40</v>
      </c>
      <c r="G130" s="36">
        <v>40</v>
      </c>
      <c r="H130" s="254">
        <f t="shared" si="47"/>
        <v>6.8957075686032399</v>
      </c>
      <c r="I130" s="13">
        <f t="shared" si="51"/>
        <v>0.27715796756847944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51.45</v>
      </c>
      <c r="E131" s="15">
        <f t="shared" si="49"/>
        <v>0.48</v>
      </c>
      <c r="F131" s="251">
        <v>45</v>
      </c>
      <c r="G131" s="36">
        <v>45</v>
      </c>
      <c r="H131" s="254">
        <f t="shared" si="47"/>
        <v>6.6292589247491565</v>
      </c>
      <c r="I131" s="13">
        <f t="shared" si="51"/>
        <v>0.2664486438540834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50"/>
        <v>51.45</v>
      </c>
      <c r="E132" s="15">
        <f t="shared" si="49"/>
        <v>0.47</v>
      </c>
      <c r="F132" s="251">
        <v>50</v>
      </c>
      <c r="G132" s="36">
        <v>50</v>
      </c>
      <c r="H132" s="254">
        <f t="shared" si="47"/>
        <v>6.3731057986654207</v>
      </c>
      <c r="I132" s="13">
        <f t="shared" si="51"/>
        <v>0.25615312608373575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50"/>
        <v>51.45</v>
      </c>
      <c r="E133" s="15">
        <f t="shared" si="49"/>
        <v>0.46</v>
      </c>
      <c r="F133" s="251">
        <v>55</v>
      </c>
      <c r="G133" s="36">
        <v>55</v>
      </c>
      <c r="H133" s="254">
        <f t="shared" si="47"/>
        <v>6.1268503737798561</v>
      </c>
      <c r="I133" s="13">
        <f t="shared" si="51"/>
        <v>0.24625542488556462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51.45</v>
      </c>
      <c r="E134" s="15">
        <f t="shared" si="49"/>
        <v>0.45</v>
      </c>
      <c r="F134" s="251">
        <v>60</v>
      </c>
      <c r="G134" s="36">
        <v>60</v>
      </c>
      <c r="H134" s="254">
        <f t="shared" si="47"/>
        <v>5.8901102050662937</v>
      </c>
      <c r="I134" s="13">
        <f t="shared" si="51"/>
        <v>0.2367401687135624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50"/>
        <v>51.45</v>
      </c>
      <c r="E135" s="15">
        <f t="shared" si="49"/>
        <v>0.44</v>
      </c>
      <c r="F135" s="251">
        <v>75</v>
      </c>
      <c r="G135" s="36">
        <v>75</v>
      </c>
      <c r="H135" s="254">
        <f t="shared" si="47"/>
        <v>5.66251762509137</v>
      </c>
      <c r="I135" s="13">
        <f t="shared" si="51"/>
        <v>0.22759257997492366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50"/>
        <v>51.45</v>
      </c>
      <c r="E136" s="15">
        <f t="shared" si="49"/>
        <v>0.43</v>
      </c>
      <c r="F136" s="251">
        <v>90</v>
      </c>
      <c r="G136" s="36">
        <v>90</v>
      </c>
      <c r="H136" s="254">
        <f t="shared" si="47"/>
        <v>5.4437191730115568</v>
      </c>
      <c r="I136" s="13">
        <f t="shared" si="51"/>
        <v>0.21879845207981319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51.45</v>
      </c>
      <c r="E137" s="15">
        <f t="shared" si="49"/>
        <v>0.42</v>
      </c>
      <c r="F137" s="251">
        <v>105</v>
      </c>
      <c r="G137" s="36">
        <v>105</v>
      </c>
      <c r="H137" s="254">
        <f t="shared" si="47"/>
        <v>5.2333750456336032</v>
      </c>
      <c r="I137" s="13">
        <f t="shared" si="51"/>
        <v>0.2103441273779536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51.45</v>
      </c>
      <c r="E138" s="15">
        <f t="shared" si="49"/>
        <v>0.39</v>
      </c>
      <c r="F138" s="251">
        <v>120</v>
      </c>
      <c r="G138" s="36">
        <v>120</v>
      </c>
      <c r="H138" s="254">
        <f t="shared" si="47"/>
        <v>4.6498645041824416</v>
      </c>
      <c r="I138" s="13">
        <f t="shared" si="51"/>
        <v>0.58351054145116166</v>
      </c>
      <c r="Z138" s="12"/>
      <c r="AA138" s="264"/>
    </row>
    <row r="139" spans="1:27" s="3" customFormat="1" ht="17.25" hidden="1" customHeight="1" x14ac:dyDescent="0.15">
      <c r="C139" s="3">
        <f t="shared" ref="C139:C146" si="53">C138-A$138</f>
        <v>36</v>
      </c>
      <c r="D139" s="35">
        <f t="shared" si="50"/>
        <v>51.45</v>
      </c>
      <c r="E139" s="15">
        <f t="shared" si="49"/>
        <v>0.36</v>
      </c>
      <c r="F139" s="54"/>
      <c r="G139" s="3">
        <v>150</v>
      </c>
      <c r="H139" s="253">
        <f t="shared" si="47"/>
        <v>4.1314141865859995</v>
      </c>
      <c r="I139" s="13">
        <f t="shared" si="51"/>
        <v>0.51845031759644211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50"/>
        <v>51.45</v>
      </c>
      <c r="E140" s="15">
        <f t="shared" si="49"/>
        <v>0.38</v>
      </c>
      <c r="F140" s="251">
        <v>180</v>
      </c>
      <c r="G140" s="36">
        <v>180</v>
      </c>
      <c r="H140" s="254">
        <f t="shared" si="47"/>
        <v>4.4701947489153095</v>
      </c>
      <c r="I140" s="13">
        <f t="shared" si="51"/>
        <v>-0.33878056232931009</v>
      </c>
      <c r="Z140" s="12"/>
      <c r="AA140" s="264"/>
    </row>
    <row r="141" spans="1:27" s="3" customFormat="1" ht="17.25" hidden="1" customHeight="1" x14ac:dyDescent="0.15">
      <c r="C141" s="3">
        <f t="shared" si="53"/>
        <v>35</v>
      </c>
      <c r="D141" s="35">
        <f t="shared" si="50"/>
        <v>51.45</v>
      </c>
      <c r="E141" s="15">
        <f t="shared" si="49"/>
        <v>0.35</v>
      </c>
      <c r="F141" s="54"/>
      <c r="G141" s="3">
        <v>210</v>
      </c>
      <c r="H141" s="253">
        <f t="shared" si="47"/>
        <v>3.9717772390699175</v>
      </c>
      <c r="I141" s="13">
        <f t="shared" si="51"/>
        <v>0.49841750984539201</v>
      </c>
      <c r="Z141" s="12"/>
      <c r="AA141" s="264"/>
    </row>
    <row r="142" spans="1:27" s="3" customFormat="1" ht="17.25" customHeight="1" x14ac:dyDescent="0.15">
      <c r="C142" s="3">
        <f t="shared" si="53"/>
        <v>32</v>
      </c>
      <c r="D142" s="35">
        <f t="shared" si="50"/>
        <v>51.45</v>
      </c>
      <c r="E142" s="15">
        <f>C142/100</f>
        <v>0.32</v>
      </c>
      <c r="F142" s="251">
        <v>240</v>
      </c>
      <c r="G142" s="36">
        <v>240</v>
      </c>
      <c r="H142" s="254">
        <f t="shared" si="47"/>
        <v>3.5289322552717999</v>
      </c>
      <c r="I142" s="13">
        <f t="shared" si="51"/>
        <v>0.44284498379811765</v>
      </c>
      <c r="Z142" s="12"/>
      <c r="AA142" s="264"/>
    </row>
    <row r="143" spans="1:27" s="3" customFormat="1" ht="17.25" hidden="1" customHeight="1" x14ac:dyDescent="0.15">
      <c r="C143" s="3">
        <f t="shared" si="53"/>
        <v>29</v>
      </c>
      <c r="D143" s="35">
        <f t="shared" si="50"/>
        <v>51.45</v>
      </c>
      <c r="E143" s="15">
        <f>C143/100</f>
        <v>0.28999999999999998</v>
      </c>
      <c r="F143" s="54"/>
      <c r="G143" s="3">
        <v>270</v>
      </c>
      <c r="H143" s="253">
        <f t="shared" si="47"/>
        <v>3.1354635752970754</v>
      </c>
      <c r="I143" s="13">
        <f t="shared" si="51"/>
        <v>0.39346867997472446</v>
      </c>
      <c r="Z143" s="12"/>
      <c r="AA143" s="264"/>
    </row>
    <row r="144" spans="1:27" s="3" customFormat="1" ht="17.25" customHeight="1" x14ac:dyDescent="0.15">
      <c r="C144" s="3">
        <f t="shared" si="53"/>
        <v>26</v>
      </c>
      <c r="D144" s="35">
        <f t="shared" si="50"/>
        <v>51.45</v>
      </c>
      <c r="E144" s="15">
        <f>C144/100</f>
        <v>0.26</v>
      </c>
      <c r="F144" s="251">
        <v>300</v>
      </c>
      <c r="G144" s="36">
        <v>300</v>
      </c>
      <c r="H144" s="254">
        <f t="shared" si="47"/>
        <v>2.7858658429410745</v>
      </c>
      <c r="I144" s="13">
        <f t="shared" si="51"/>
        <v>0.34959773235600089</v>
      </c>
      <c r="Z144" s="12"/>
      <c r="AA144" s="264"/>
    </row>
    <row r="145" spans="3:27" s="3" customFormat="1" ht="17.25" hidden="1" customHeight="1" x14ac:dyDescent="0.15">
      <c r="C145" s="3">
        <f t="shared" si="53"/>
        <v>23</v>
      </c>
      <c r="D145" s="35">
        <f t="shared" si="50"/>
        <v>51.45</v>
      </c>
      <c r="E145" s="15">
        <f>C145/100</f>
        <v>0.23</v>
      </c>
      <c r="F145" s="54"/>
      <c r="G145" s="3">
        <v>330</v>
      </c>
      <c r="H145" s="253">
        <f t="shared" si="47"/>
        <v>2.4752475378797687</v>
      </c>
      <c r="I145" s="13">
        <f t="shared" si="51"/>
        <v>0.31061830506130583</v>
      </c>
      <c r="Z145" s="12"/>
      <c r="AA145" s="264"/>
    </row>
    <row r="146" spans="3:27" s="3" customFormat="1" ht="17.25" customHeight="1" x14ac:dyDescent="0.15">
      <c r="C146" s="3">
        <f t="shared" si="53"/>
        <v>20</v>
      </c>
      <c r="D146" s="35">
        <f t="shared" si="50"/>
        <v>51.45</v>
      </c>
      <c r="E146" s="15">
        <f>C146/100</f>
        <v>0.2</v>
      </c>
      <c r="F146" s="251">
        <v>360</v>
      </c>
      <c r="G146" s="36">
        <v>360</v>
      </c>
      <c r="H146" s="254">
        <f t="shared" si="47"/>
        <v>2.1992625342330419</v>
      </c>
      <c r="I146" s="13">
        <f t="shared" si="51"/>
        <v>0.27598500364672685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666750</xdr:colOff>
                <xdr:row>22</xdr:row>
                <xdr:rowOff>257175</xdr:rowOff>
              </from>
              <to>
                <xdr:col>19</xdr:col>
                <xdr:colOff>352425</xdr:colOff>
                <xdr:row>29</xdr:row>
                <xdr:rowOff>238125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352425</xdr:colOff>
                <xdr:row>32</xdr:row>
                <xdr:rowOff>104775</xdr:rowOff>
              </from>
              <to>
                <xdr:col>19</xdr:col>
                <xdr:colOff>723900</xdr:colOff>
                <xdr:row>33</xdr:row>
                <xdr:rowOff>257175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352425</xdr:colOff>
                <xdr:row>30</xdr:row>
                <xdr:rowOff>114300</xdr:rowOff>
              </from>
              <to>
                <xdr:col>19</xdr:col>
                <xdr:colOff>723900</xdr:colOff>
                <xdr:row>32</xdr:row>
                <xdr:rowOff>0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3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4.42</v>
      </c>
      <c r="C8" t="s">
        <v>88</v>
      </c>
      <c r="D8" s="69" t="s">
        <v>78</v>
      </c>
      <c r="E8" s="70">
        <f>입력표!C26</f>
        <v>520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18.2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69.45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352.6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11.956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>
      <selection activeCell="G18" sqref="G17:G18"/>
    </sheetView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324</v>
      </c>
    </row>
    <row r="25" spans="1:2" x14ac:dyDescent="0.15">
      <c r="A25" s="79">
        <f>단계양수시험!D31</f>
        <v>120</v>
      </c>
      <c r="B25" s="79">
        <f>입력표!D4</f>
        <v>413</v>
      </c>
    </row>
    <row r="26" spans="1:2" x14ac:dyDescent="0.15">
      <c r="A26" s="79">
        <f>단계양수시험!D36</f>
        <v>240</v>
      </c>
      <c r="B26" s="79">
        <f>입력표!D5</f>
        <v>501.5</v>
      </c>
    </row>
    <row r="27" spans="1:2" x14ac:dyDescent="0.15">
      <c r="A27" s="79">
        <f>단계양수시험!D41</f>
        <v>360</v>
      </c>
      <c r="B27" s="79">
        <f>입력표!D6</f>
        <v>590</v>
      </c>
    </row>
    <row r="28" spans="1:2" x14ac:dyDescent="0.15">
      <c r="A28" s="79">
        <f>단계양수시험!D46</f>
        <v>480</v>
      </c>
      <c r="B28" s="79">
        <f>입력표!D7</f>
        <v>678.5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2.08</v>
      </c>
      <c r="C35" s="79">
        <v>1</v>
      </c>
    </row>
    <row r="36" spans="1:3" x14ac:dyDescent="0.15">
      <c r="A36" s="77">
        <f>Sheet1!A2</f>
        <v>2</v>
      </c>
      <c r="B36" s="78">
        <f>Sheet1!B2</f>
        <v>4.04</v>
      </c>
      <c r="C36" s="79">
        <v>1</v>
      </c>
    </row>
    <row r="37" spans="1:3" x14ac:dyDescent="0.15">
      <c r="A37" s="77">
        <f>Sheet1!A3</f>
        <v>3</v>
      </c>
      <c r="B37" s="78">
        <f>Sheet1!B3</f>
        <v>5.81</v>
      </c>
      <c r="C37" s="79">
        <v>1</v>
      </c>
    </row>
    <row r="38" spans="1:3" x14ac:dyDescent="0.15">
      <c r="A38" s="77">
        <f>Sheet1!A4</f>
        <v>4</v>
      </c>
      <c r="B38" s="78">
        <f>Sheet1!B4</f>
        <v>7.07</v>
      </c>
      <c r="C38" s="79">
        <v>1</v>
      </c>
    </row>
    <row r="39" spans="1:3" x14ac:dyDescent="0.15">
      <c r="A39" s="77">
        <f>Sheet1!A5</f>
        <v>5</v>
      </c>
      <c r="B39" s="78">
        <f>Sheet1!B5</f>
        <v>8.0500000000000007</v>
      </c>
      <c r="C39" s="79">
        <v>1</v>
      </c>
    </row>
    <row r="40" spans="1:3" x14ac:dyDescent="0.15">
      <c r="A40" s="77">
        <f>Sheet1!A6</f>
        <v>10</v>
      </c>
      <c r="B40" s="78">
        <f>Sheet1!B6</f>
        <v>11.08</v>
      </c>
      <c r="C40" s="79">
        <v>1</v>
      </c>
    </row>
    <row r="41" spans="1:3" x14ac:dyDescent="0.15">
      <c r="A41" s="77">
        <f>Sheet1!A7</f>
        <v>15</v>
      </c>
      <c r="B41" s="78">
        <f>Sheet1!B7</f>
        <v>12.86</v>
      </c>
      <c r="C41" s="79">
        <v>1</v>
      </c>
    </row>
    <row r="42" spans="1:3" x14ac:dyDescent="0.15">
      <c r="A42" s="77">
        <f>Sheet1!A8</f>
        <v>20</v>
      </c>
      <c r="B42" s="78">
        <f>Sheet1!B8</f>
        <v>14.12</v>
      </c>
      <c r="C42" s="79">
        <v>1</v>
      </c>
    </row>
    <row r="43" spans="1:3" x14ac:dyDescent="0.15">
      <c r="A43" s="77">
        <f>Sheet1!A9</f>
        <v>25</v>
      </c>
      <c r="B43" s="78">
        <f>Sheet1!B9</f>
        <v>15.1</v>
      </c>
      <c r="C43" s="79">
        <v>1</v>
      </c>
    </row>
    <row r="44" spans="1:3" x14ac:dyDescent="0.15">
      <c r="A44" s="77">
        <f>Sheet1!A10</f>
        <v>30</v>
      </c>
      <c r="B44" s="78">
        <f>Sheet1!B10</f>
        <v>15.89</v>
      </c>
      <c r="C44" s="79">
        <v>1</v>
      </c>
    </row>
    <row r="45" spans="1:3" x14ac:dyDescent="0.15">
      <c r="A45" s="77">
        <f>Sheet1!A11</f>
        <v>35</v>
      </c>
      <c r="B45" s="78">
        <f>Sheet1!B11</f>
        <v>16.57</v>
      </c>
      <c r="C45" s="79">
        <v>1</v>
      </c>
    </row>
    <row r="46" spans="1:3" x14ac:dyDescent="0.15">
      <c r="A46" s="77">
        <f>Sheet1!A12</f>
        <v>40</v>
      </c>
      <c r="B46" s="78">
        <f>Sheet1!B12</f>
        <v>17.149999999999999</v>
      </c>
      <c r="C46" s="79">
        <v>1</v>
      </c>
    </row>
    <row r="47" spans="1:3" x14ac:dyDescent="0.15">
      <c r="A47" s="77">
        <f>Sheet1!A13</f>
        <v>45</v>
      </c>
      <c r="B47" s="78">
        <f>Sheet1!B13</f>
        <v>17.670000000000002</v>
      </c>
      <c r="C47" s="79">
        <v>1</v>
      </c>
    </row>
    <row r="48" spans="1:3" x14ac:dyDescent="0.15">
      <c r="A48" s="77">
        <f>Sheet1!A14</f>
        <v>50</v>
      </c>
      <c r="B48" s="78">
        <f>Sheet1!B14</f>
        <v>18.13</v>
      </c>
      <c r="C48" s="79">
        <v>1</v>
      </c>
    </row>
    <row r="49" spans="1:3" x14ac:dyDescent="0.15">
      <c r="A49" s="77">
        <f>Sheet1!A15</f>
        <v>55</v>
      </c>
      <c r="B49" s="78">
        <f>Sheet1!B15</f>
        <v>18.55</v>
      </c>
      <c r="C49" s="79">
        <v>1</v>
      </c>
    </row>
    <row r="50" spans="1:3" x14ac:dyDescent="0.15">
      <c r="A50" s="77">
        <f>Sheet1!A16</f>
        <v>60</v>
      </c>
      <c r="B50" s="78">
        <f>Sheet1!B16</f>
        <v>18.93</v>
      </c>
      <c r="C50" s="79">
        <v>1</v>
      </c>
    </row>
    <row r="51" spans="1:3" x14ac:dyDescent="0.15">
      <c r="A51" s="77">
        <f>Sheet1!A17</f>
        <v>75</v>
      </c>
      <c r="B51" s="78">
        <f>Sheet1!B17</f>
        <v>19.91</v>
      </c>
      <c r="C51" s="79">
        <v>1</v>
      </c>
    </row>
    <row r="52" spans="1:3" x14ac:dyDescent="0.15">
      <c r="A52" s="77">
        <f>Sheet1!A18</f>
        <v>90</v>
      </c>
      <c r="B52" s="78">
        <f>Sheet1!B18</f>
        <v>20.71</v>
      </c>
      <c r="C52" s="79">
        <v>1</v>
      </c>
    </row>
    <row r="53" spans="1:3" x14ac:dyDescent="0.15">
      <c r="A53" s="77">
        <f>Sheet1!A19</f>
        <v>105</v>
      </c>
      <c r="B53" s="78">
        <f>Sheet1!B19</f>
        <v>21.38</v>
      </c>
      <c r="C53" s="79">
        <v>1</v>
      </c>
    </row>
    <row r="54" spans="1:3" x14ac:dyDescent="0.15">
      <c r="A54" s="77">
        <f>Sheet1!A20</f>
        <v>120</v>
      </c>
      <c r="B54" s="78">
        <f>Sheet1!B20</f>
        <v>21.97</v>
      </c>
      <c r="C54" s="79">
        <v>1</v>
      </c>
    </row>
    <row r="55" spans="1:3" x14ac:dyDescent="0.15">
      <c r="A55" s="77">
        <f>Sheet1!A21</f>
        <v>121</v>
      </c>
      <c r="B55" s="78">
        <f>Sheet1!B21</f>
        <v>22.13</v>
      </c>
      <c r="C55" s="79">
        <v>1</v>
      </c>
    </row>
    <row r="56" spans="1:3" x14ac:dyDescent="0.15">
      <c r="A56" s="77">
        <f>Sheet1!A22</f>
        <v>122</v>
      </c>
      <c r="B56" s="78">
        <f>Sheet1!B22</f>
        <v>22.279999999999998</v>
      </c>
      <c r="C56" s="79">
        <v>1</v>
      </c>
    </row>
    <row r="57" spans="1:3" x14ac:dyDescent="0.15">
      <c r="A57" s="77">
        <f>Sheet1!A23</f>
        <v>123</v>
      </c>
      <c r="B57" s="78">
        <f>Sheet1!B23</f>
        <v>22.419999999999998</v>
      </c>
      <c r="C57" s="79">
        <v>1</v>
      </c>
    </row>
    <row r="58" spans="1:3" x14ac:dyDescent="0.15">
      <c r="A58" s="77">
        <f>Sheet1!A24</f>
        <v>124</v>
      </c>
      <c r="B58" s="78">
        <f>Sheet1!B24</f>
        <v>22.549999999999997</v>
      </c>
      <c r="C58" s="79">
        <v>1</v>
      </c>
    </row>
    <row r="59" spans="1:3" x14ac:dyDescent="0.15">
      <c r="A59" s="77">
        <f>Sheet1!A25</f>
        <v>125</v>
      </c>
      <c r="B59" s="78">
        <f>Sheet1!B25</f>
        <v>22.679999999999996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26.36</v>
      </c>
      <c r="C60" s="79">
        <v>1</v>
      </c>
    </row>
    <row r="61" spans="1:3" x14ac:dyDescent="0.15">
      <c r="A61" s="77">
        <f>Sheet1!A27</f>
        <v>135</v>
      </c>
      <c r="B61" s="78">
        <f>Sheet1!B27</f>
        <v>26.47</v>
      </c>
      <c r="C61" s="79">
        <v>1</v>
      </c>
    </row>
    <row r="62" spans="1:3" x14ac:dyDescent="0.15">
      <c r="A62" s="77">
        <f>Sheet1!A28</f>
        <v>140</v>
      </c>
      <c r="B62" s="78">
        <f>Sheet1!B28</f>
        <v>27.1</v>
      </c>
      <c r="C62" s="79">
        <v>1</v>
      </c>
    </row>
    <row r="63" spans="1:3" x14ac:dyDescent="0.15">
      <c r="A63" s="77">
        <f>Sheet1!A29</f>
        <v>145</v>
      </c>
      <c r="B63" s="78">
        <f>Sheet1!B29</f>
        <v>27.200000000000003</v>
      </c>
      <c r="C63" s="79">
        <v>1</v>
      </c>
    </row>
    <row r="64" spans="1:3" x14ac:dyDescent="0.15">
      <c r="A64" s="77">
        <f>Sheet1!A30</f>
        <v>150</v>
      </c>
      <c r="B64" s="78">
        <f>Sheet1!B30</f>
        <v>27.83</v>
      </c>
      <c r="C64" s="79">
        <v>1</v>
      </c>
    </row>
    <row r="65" spans="1:3" x14ac:dyDescent="0.15">
      <c r="A65" s="77">
        <f>Sheet1!A31</f>
        <v>155</v>
      </c>
      <c r="B65" s="78">
        <f>Sheet1!B31</f>
        <v>27.889999999999997</v>
      </c>
      <c r="C65" s="79">
        <v>1</v>
      </c>
    </row>
    <row r="66" spans="1:3" x14ac:dyDescent="0.15">
      <c r="A66" s="77">
        <f>Sheet1!A32</f>
        <v>160</v>
      </c>
      <c r="B66" s="78">
        <f>Sheet1!B32</f>
        <v>27.939999999999998</v>
      </c>
      <c r="C66" s="79">
        <v>1</v>
      </c>
    </row>
    <row r="67" spans="1:3" x14ac:dyDescent="0.15">
      <c r="A67" s="77">
        <f>Sheet1!A33</f>
        <v>165</v>
      </c>
      <c r="B67" s="78">
        <f>Sheet1!B33</f>
        <v>27.979999999999997</v>
      </c>
      <c r="C67" s="79">
        <v>1</v>
      </c>
    </row>
    <row r="68" spans="1:3" x14ac:dyDescent="0.15">
      <c r="A68" s="77">
        <f>Sheet1!A34</f>
        <v>170</v>
      </c>
      <c r="B68" s="78">
        <f>Sheet1!B34</f>
        <v>28.009999999999998</v>
      </c>
      <c r="C68" s="79">
        <v>1</v>
      </c>
    </row>
    <row r="69" spans="1:3" x14ac:dyDescent="0.15">
      <c r="A69" s="77">
        <f>Sheet1!A35</f>
        <v>175</v>
      </c>
      <c r="B69" s="78">
        <f>Sheet1!B35</f>
        <v>28.029999999999998</v>
      </c>
      <c r="C69" s="79">
        <v>1</v>
      </c>
    </row>
    <row r="70" spans="1:3" x14ac:dyDescent="0.15">
      <c r="A70" s="77">
        <f>Sheet1!A36</f>
        <v>180</v>
      </c>
      <c r="B70" s="78">
        <f>Sheet1!B36</f>
        <v>28.56</v>
      </c>
      <c r="C70" s="79">
        <v>1</v>
      </c>
    </row>
    <row r="71" spans="1:3" x14ac:dyDescent="0.15">
      <c r="A71" s="77">
        <f>Sheet1!A37</f>
        <v>195</v>
      </c>
      <c r="B71" s="78">
        <f>Sheet1!B37</f>
        <v>28.63</v>
      </c>
      <c r="C71" s="79">
        <v>1</v>
      </c>
    </row>
    <row r="72" spans="1:3" x14ac:dyDescent="0.15">
      <c r="A72" s="77">
        <f>Sheet1!A38</f>
        <v>210</v>
      </c>
      <c r="B72" s="78">
        <f>Sheet1!B38</f>
        <v>28.689999999999998</v>
      </c>
      <c r="C72" s="79">
        <v>1</v>
      </c>
    </row>
    <row r="73" spans="1:3" x14ac:dyDescent="0.15">
      <c r="A73" s="77">
        <f>Sheet1!A39</f>
        <v>225</v>
      </c>
      <c r="B73" s="78">
        <f>Sheet1!B39</f>
        <v>28.74</v>
      </c>
      <c r="C73" s="79">
        <v>1</v>
      </c>
    </row>
    <row r="74" spans="1:3" x14ac:dyDescent="0.15">
      <c r="A74" s="77">
        <f>Sheet1!A40</f>
        <v>240</v>
      </c>
      <c r="B74" s="78">
        <f>Sheet1!B40</f>
        <v>29.3</v>
      </c>
      <c r="C74" s="79">
        <v>1</v>
      </c>
    </row>
    <row r="75" spans="1:3" x14ac:dyDescent="0.15">
      <c r="A75" s="77">
        <f>Sheet1!A41</f>
        <v>241</v>
      </c>
      <c r="B75" s="78">
        <f>Sheet1!B41</f>
        <v>29.48</v>
      </c>
      <c r="C75" s="79">
        <v>1</v>
      </c>
    </row>
    <row r="76" spans="1:3" x14ac:dyDescent="0.15">
      <c r="A76" s="77">
        <f>Sheet1!A42</f>
        <v>242</v>
      </c>
      <c r="B76" s="78">
        <f>Sheet1!B42</f>
        <v>29.64</v>
      </c>
      <c r="C76" s="79">
        <v>1</v>
      </c>
    </row>
    <row r="77" spans="1:3" x14ac:dyDescent="0.15">
      <c r="A77" s="77">
        <f>Sheet1!A43</f>
        <v>243</v>
      </c>
      <c r="B77" s="78">
        <f>Sheet1!B43</f>
        <v>29.79</v>
      </c>
      <c r="C77" s="79">
        <v>1</v>
      </c>
    </row>
    <row r="78" spans="1:3" x14ac:dyDescent="0.15">
      <c r="A78" s="77">
        <f>Sheet1!A44</f>
        <v>244</v>
      </c>
      <c r="B78" s="78">
        <f>Sheet1!B44</f>
        <v>29.93</v>
      </c>
      <c r="C78" s="79">
        <v>1</v>
      </c>
    </row>
    <row r="79" spans="1:3" x14ac:dyDescent="0.15">
      <c r="A79" s="77">
        <f>Sheet1!A45</f>
        <v>245</v>
      </c>
      <c r="B79" s="78">
        <f>Sheet1!B45</f>
        <v>30.06</v>
      </c>
      <c r="C79" s="79">
        <v>1</v>
      </c>
    </row>
    <row r="80" spans="1:3" x14ac:dyDescent="0.15">
      <c r="A80" s="77">
        <f>Sheet1!A46</f>
        <v>250</v>
      </c>
      <c r="B80" s="78">
        <f>Sheet1!B46</f>
        <v>34.24</v>
      </c>
      <c r="C80" s="79">
        <v>1</v>
      </c>
    </row>
    <row r="81" spans="1:3" x14ac:dyDescent="0.15">
      <c r="A81" s="77">
        <f>Sheet1!A47</f>
        <v>255</v>
      </c>
      <c r="B81" s="78">
        <f>Sheet1!B47</f>
        <v>34.35</v>
      </c>
      <c r="C81" s="79">
        <v>1</v>
      </c>
    </row>
    <row r="82" spans="1:3" x14ac:dyDescent="0.15">
      <c r="A82" s="77">
        <f>Sheet1!A48</f>
        <v>260</v>
      </c>
      <c r="B82" s="78">
        <f>Sheet1!B48</f>
        <v>35.06</v>
      </c>
      <c r="C82" s="79">
        <v>1</v>
      </c>
    </row>
    <row r="83" spans="1:3" x14ac:dyDescent="0.15">
      <c r="A83" s="77">
        <f>Sheet1!A49</f>
        <v>265</v>
      </c>
      <c r="B83" s="78">
        <f>Sheet1!B49</f>
        <v>35.17</v>
      </c>
      <c r="C83" s="79">
        <v>1</v>
      </c>
    </row>
    <row r="84" spans="1:3" x14ac:dyDescent="0.15">
      <c r="A84" s="77">
        <f>Sheet1!A50</f>
        <v>270</v>
      </c>
      <c r="B84" s="78">
        <f>Sheet1!B50</f>
        <v>35.89</v>
      </c>
      <c r="C84" s="79">
        <v>1</v>
      </c>
    </row>
    <row r="85" spans="1:3" x14ac:dyDescent="0.15">
      <c r="A85" s="77">
        <f>Sheet1!A51</f>
        <v>275</v>
      </c>
      <c r="B85" s="78">
        <f>Sheet1!B51</f>
        <v>35.96</v>
      </c>
      <c r="C85" s="79">
        <v>1</v>
      </c>
    </row>
    <row r="86" spans="1:3" x14ac:dyDescent="0.15">
      <c r="A86" s="77">
        <f>Sheet1!A52</f>
        <v>280</v>
      </c>
      <c r="B86" s="78">
        <f>Sheet1!B52</f>
        <v>36.01</v>
      </c>
      <c r="C86" s="79">
        <v>1</v>
      </c>
    </row>
    <row r="87" spans="1:3" x14ac:dyDescent="0.15">
      <c r="A87" s="77">
        <f>Sheet1!A53</f>
        <v>285</v>
      </c>
      <c r="B87" s="78">
        <f>Sheet1!B53</f>
        <v>36.049999999999997</v>
      </c>
      <c r="C87" s="79">
        <v>1</v>
      </c>
    </row>
    <row r="88" spans="1:3" x14ac:dyDescent="0.15">
      <c r="A88" s="77">
        <f>Sheet1!A54</f>
        <v>290</v>
      </c>
      <c r="B88" s="78">
        <f>Sheet1!B54</f>
        <v>36.08</v>
      </c>
      <c r="C88" s="79">
        <v>1</v>
      </c>
    </row>
    <row r="89" spans="1:3" x14ac:dyDescent="0.15">
      <c r="A89" s="77">
        <f>Sheet1!A55</f>
        <v>295</v>
      </c>
      <c r="B89" s="78">
        <f>Sheet1!B55</f>
        <v>36.1</v>
      </c>
      <c r="C89" s="79">
        <v>1</v>
      </c>
    </row>
    <row r="90" spans="1:3" x14ac:dyDescent="0.15">
      <c r="A90" s="77">
        <f>Sheet1!A56</f>
        <v>300</v>
      </c>
      <c r="B90" s="78">
        <f>Sheet1!B56</f>
        <v>36.71</v>
      </c>
      <c r="C90" s="79">
        <v>1</v>
      </c>
    </row>
    <row r="91" spans="1:3" x14ac:dyDescent="0.15">
      <c r="A91" s="77">
        <f>Sheet1!A57</f>
        <v>315</v>
      </c>
      <c r="B91" s="78">
        <f>Sheet1!B57</f>
        <v>36.79</v>
      </c>
      <c r="C91" s="79">
        <v>1</v>
      </c>
    </row>
    <row r="92" spans="1:3" x14ac:dyDescent="0.15">
      <c r="A92" s="77">
        <f>Sheet1!A58</f>
        <v>330</v>
      </c>
      <c r="B92" s="78">
        <f>Sheet1!B58</f>
        <v>36.85</v>
      </c>
      <c r="C92" s="79">
        <v>1</v>
      </c>
    </row>
    <row r="93" spans="1:3" x14ac:dyDescent="0.15">
      <c r="A93" s="77">
        <f>Sheet1!A59</f>
        <v>345</v>
      </c>
      <c r="B93" s="78">
        <f>Sheet1!B59</f>
        <v>36.9</v>
      </c>
      <c r="C93" s="79">
        <v>1</v>
      </c>
    </row>
    <row r="94" spans="1:3" x14ac:dyDescent="0.15">
      <c r="A94" s="77">
        <f>Sheet1!A60</f>
        <v>360</v>
      </c>
      <c r="B94" s="78">
        <f>Sheet1!B60</f>
        <v>37.54</v>
      </c>
      <c r="C94" s="79">
        <v>1</v>
      </c>
    </row>
    <row r="95" spans="1:3" x14ac:dyDescent="0.15">
      <c r="A95" s="77">
        <f>Sheet1!A61</f>
        <v>361</v>
      </c>
      <c r="B95" s="78">
        <f>Sheet1!B61</f>
        <v>37.729999999999997</v>
      </c>
      <c r="C95" s="79">
        <v>1</v>
      </c>
    </row>
    <row r="96" spans="1:3" x14ac:dyDescent="0.15">
      <c r="A96" s="77">
        <f>Sheet1!A62</f>
        <v>362</v>
      </c>
      <c r="B96" s="78">
        <f>Sheet1!B62</f>
        <v>37.9</v>
      </c>
      <c r="C96" s="79">
        <v>1</v>
      </c>
    </row>
    <row r="97" spans="1:3" x14ac:dyDescent="0.15">
      <c r="A97" s="77">
        <f>Sheet1!A63</f>
        <v>363</v>
      </c>
      <c r="B97" s="78">
        <f>Sheet1!B63</f>
        <v>38.059999999999995</v>
      </c>
      <c r="C97" s="79">
        <v>1</v>
      </c>
    </row>
    <row r="98" spans="1:3" x14ac:dyDescent="0.15">
      <c r="A98" s="77">
        <f>Sheet1!A64</f>
        <v>364</v>
      </c>
      <c r="B98" s="78">
        <f>Sheet1!B64</f>
        <v>38.209999999999994</v>
      </c>
      <c r="C98" s="79">
        <v>1</v>
      </c>
    </row>
    <row r="99" spans="1:3" x14ac:dyDescent="0.15">
      <c r="A99" s="77">
        <f>Sheet1!A65</f>
        <v>365</v>
      </c>
      <c r="B99" s="78">
        <f>Sheet1!B65</f>
        <v>38.349999999999994</v>
      </c>
      <c r="C99" s="79">
        <v>1</v>
      </c>
    </row>
    <row r="100" spans="1:3" x14ac:dyDescent="0.15">
      <c r="A100" s="77">
        <f>Sheet1!A66</f>
        <v>370</v>
      </c>
      <c r="B100" s="78">
        <f>Sheet1!B66</f>
        <v>42.49</v>
      </c>
      <c r="C100" s="79">
        <v>1</v>
      </c>
    </row>
    <row r="101" spans="1:3" x14ac:dyDescent="0.15">
      <c r="A101" s="77">
        <f>Sheet1!A67</f>
        <v>375</v>
      </c>
      <c r="B101" s="78">
        <f>Sheet1!B67</f>
        <v>42.61</v>
      </c>
      <c r="C101" s="79">
        <v>1</v>
      </c>
    </row>
    <row r="102" spans="1:3" x14ac:dyDescent="0.15">
      <c r="A102" s="77">
        <f>Sheet1!A68</f>
        <v>380</v>
      </c>
      <c r="B102" s="78">
        <f>Sheet1!B68</f>
        <v>43.31</v>
      </c>
      <c r="C102" s="79">
        <v>1</v>
      </c>
    </row>
    <row r="103" spans="1:3" x14ac:dyDescent="0.15">
      <c r="A103" s="77">
        <f>Sheet1!A69</f>
        <v>385</v>
      </c>
      <c r="B103" s="78">
        <f>Sheet1!B69</f>
        <v>43.43</v>
      </c>
      <c r="C103" s="79">
        <v>1</v>
      </c>
    </row>
    <row r="104" spans="1:3" x14ac:dyDescent="0.15">
      <c r="A104" s="77">
        <f>Sheet1!A70</f>
        <v>390</v>
      </c>
      <c r="B104" s="78">
        <f>Sheet1!B70</f>
        <v>44.14</v>
      </c>
      <c r="C104" s="79">
        <v>1</v>
      </c>
    </row>
    <row r="105" spans="1:3" x14ac:dyDescent="0.15">
      <c r="A105" s="77">
        <f>Sheet1!A71</f>
        <v>395</v>
      </c>
      <c r="B105" s="78">
        <f>Sheet1!B71</f>
        <v>44.21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44.26</v>
      </c>
      <c r="C106" s="79">
        <v>1</v>
      </c>
    </row>
    <row r="107" spans="1:3" x14ac:dyDescent="0.15">
      <c r="A107" s="77">
        <f>Sheet1!A73</f>
        <v>405</v>
      </c>
      <c r="B107" s="78">
        <f>Sheet1!B73</f>
        <v>44.3</v>
      </c>
      <c r="C107" s="79">
        <v>1</v>
      </c>
    </row>
    <row r="108" spans="1:3" x14ac:dyDescent="0.15">
      <c r="A108" s="77">
        <f>Sheet1!A74</f>
        <v>410</v>
      </c>
      <c r="B108" s="78">
        <f>Sheet1!B74</f>
        <v>44.33</v>
      </c>
      <c r="C108" s="79">
        <v>1</v>
      </c>
    </row>
    <row r="109" spans="1:3" x14ac:dyDescent="0.15">
      <c r="A109" s="77">
        <f>Sheet1!A75</f>
        <v>415</v>
      </c>
      <c r="B109" s="78">
        <f>Sheet1!B75</f>
        <v>44.36</v>
      </c>
      <c r="C109" s="79">
        <v>1</v>
      </c>
    </row>
    <row r="110" spans="1:3" x14ac:dyDescent="0.15">
      <c r="A110" s="77">
        <f>Sheet1!A76</f>
        <v>420</v>
      </c>
      <c r="B110" s="78">
        <f>Sheet1!B76</f>
        <v>44.96</v>
      </c>
      <c r="C110" s="79">
        <v>1</v>
      </c>
    </row>
    <row r="111" spans="1:3" x14ac:dyDescent="0.15">
      <c r="A111" s="77">
        <f>Sheet1!A77</f>
        <v>435</v>
      </c>
      <c r="B111" s="78">
        <f>Sheet1!B77</f>
        <v>45.050000000000004</v>
      </c>
      <c r="C111" s="79">
        <v>1</v>
      </c>
    </row>
    <row r="112" spans="1:3" x14ac:dyDescent="0.15">
      <c r="A112" s="77">
        <f>Sheet1!A78</f>
        <v>450</v>
      </c>
      <c r="B112" s="78">
        <f>Sheet1!B78</f>
        <v>45.120000000000005</v>
      </c>
      <c r="C112" s="79">
        <v>1</v>
      </c>
    </row>
    <row r="113" spans="1:3" x14ac:dyDescent="0.15">
      <c r="A113" s="77">
        <f>Sheet1!A79</f>
        <v>465</v>
      </c>
      <c r="B113" s="78">
        <f>Sheet1!B79</f>
        <v>45.17</v>
      </c>
      <c r="C113" s="79">
        <v>1</v>
      </c>
    </row>
    <row r="114" spans="1:3" x14ac:dyDescent="0.15">
      <c r="A114" s="77">
        <f>Sheet1!A80</f>
        <v>480</v>
      </c>
      <c r="B114" s="78">
        <f>Sheet1!B80</f>
        <v>45.79</v>
      </c>
      <c r="C114" s="79">
        <v>1</v>
      </c>
    </row>
    <row r="115" spans="1:3" x14ac:dyDescent="0.15">
      <c r="A115" s="77">
        <f>Sheet1!A81</f>
        <v>481</v>
      </c>
      <c r="B115" s="78">
        <f>Sheet1!B81</f>
        <v>46</v>
      </c>
      <c r="C115" s="79">
        <v>1</v>
      </c>
    </row>
    <row r="116" spans="1:3" x14ac:dyDescent="0.15">
      <c r="A116" s="77">
        <f>Sheet1!A82</f>
        <v>482</v>
      </c>
      <c r="B116" s="78">
        <f>Sheet1!B82</f>
        <v>46.19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46.36</v>
      </c>
      <c r="C117" s="79">
        <v>1</v>
      </c>
    </row>
    <row r="118" spans="1:3" x14ac:dyDescent="0.15">
      <c r="A118" s="77">
        <f>Sheet1!A84</f>
        <v>484</v>
      </c>
      <c r="B118" s="78">
        <f>Sheet1!B84</f>
        <v>46.519999999999996</v>
      </c>
      <c r="C118" s="79">
        <v>1</v>
      </c>
    </row>
    <row r="119" spans="1:3" x14ac:dyDescent="0.15">
      <c r="A119" s="77">
        <f>Sheet1!A85</f>
        <v>485</v>
      </c>
      <c r="B119" s="78">
        <f>Sheet1!B85</f>
        <v>46.66</v>
      </c>
      <c r="C119" s="79">
        <v>1</v>
      </c>
    </row>
    <row r="120" spans="1:3" x14ac:dyDescent="0.15">
      <c r="A120" s="77">
        <f>Sheet1!A86</f>
        <v>490</v>
      </c>
      <c r="B120" s="78">
        <f>Sheet1!B86</f>
        <v>51.28</v>
      </c>
      <c r="C120" s="79">
        <v>1</v>
      </c>
    </row>
    <row r="121" spans="1:3" x14ac:dyDescent="0.15">
      <c r="A121" s="77">
        <f>Sheet1!A87</f>
        <v>495</v>
      </c>
      <c r="B121" s="78">
        <f>Sheet1!B87</f>
        <v>51.59</v>
      </c>
      <c r="C121" s="79">
        <v>1</v>
      </c>
    </row>
    <row r="122" spans="1:3" x14ac:dyDescent="0.15">
      <c r="A122" s="77">
        <f>Sheet1!A88</f>
        <v>500</v>
      </c>
      <c r="B122" s="78">
        <f>Sheet1!B88</f>
        <v>53.34</v>
      </c>
      <c r="C122" s="79">
        <v>1</v>
      </c>
    </row>
    <row r="123" spans="1:3" x14ac:dyDescent="0.15">
      <c r="A123" s="77">
        <f>Sheet1!A89</f>
        <v>505</v>
      </c>
      <c r="B123" s="78">
        <f>Sheet1!B89</f>
        <v>53.64</v>
      </c>
      <c r="C123" s="79">
        <v>1</v>
      </c>
    </row>
    <row r="124" spans="1:3" x14ac:dyDescent="0.15">
      <c r="A124" s="77">
        <f>Sheet1!A90</f>
        <v>510</v>
      </c>
      <c r="B124" s="78">
        <f>Sheet1!B90</f>
        <v>55.4</v>
      </c>
      <c r="C124" s="79">
        <v>1</v>
      </c>
    </row>
    <row r="125" spans="1:3" x14ac:dyDescent="0.15">
      <c r="A125" s="77">
        <f>Sheet1!A91</f>
        <v>515</v>
      </c>
      <c r="B125" s="78">
        <f>Sheet1!B91</f>
        <v>55.55</v>
      </c>
      <c r="C125" s="79">
        <v>1</v>
      </c>
    </row>
    <row r="126" spans="1:3" x14ac:dyDescent="0.15">
      <c r="A126" s="77">
        <f>Sheet1!A92</f>
        <v>520</v>
      </c>
      <c r="B126" s="78">
        <f>Sheet1!B92</f>
        <v>55.68</v>
      </c>
      <c r="C126" s="79">
        <v>1</v>
      </c>
    </row>
    <row r="127" spans="1:3" x14ac:dyDescent="0.15">
      <c r="A127" s="77">
        <f>Sheet1!A93</f>
        <v>525</v>
      </c>
      <c r="B127" s="78">
        <f>Sheet1!B93</f>
        <v>55.79</v>
      </c>
      <c r="C127" s="79">
        <v>1</v>
      </c>
    </row>
    <row r="128" spans="1:3" x14ac:dyDescent="0.15">
      <c r="A128" s="77">
        <f>Sheet1!A94</f>
        <v>530</v>
      </c>
      <c r="B128" s="78">
        <f>Sheet1!B94</f>
        <v>55.87</v>
      </c>
      <c r="C128" s="79">
        <v>1</v>
      </c>
    </row>
    <row r="129" spans="1:3" x14ac:dyDescent="0.15">
      <c r="A129" s="77">
        <f>Sheet1!A95</f>
        <v>535</v>
      </c>
      <c r="B129" s="78">
        <f>Sheet1!B95</f>
        <v>55.94</v>
      </c>
      <c r="C129" s="79">
        <v>1</v>
      </c>
    </row>
    <row r="130" spans="1:3" x14ac:dyDescent="0.15">
      <c r="A130" s="77">
        <f>Sheet1!A96</f>
        <v>540</v>
      </c>
      <c r="B130" s="78">
        <f>Sheet1!B96</f>
        <v>57.46</v>
      </c>
      <c r="C130" s="79">
        <v>1</v>
      </c>
    </row>
    <row r="131" spans="1:3" x14ac:dyDescent="0.15">
      <c r="A131" s="77">
        <f>Sheet1!A97</f>
        <v>555</v>
      </c>
      <c r="B131" s="78">
        <f>Sheet1!B97</f>
        <v>57.65</v>
      </c>
      <c r="C131" s="79">
        <v>1</v>
      </c>
    </row>
    <row r="132" spans="1:3" x14ac:dyDescent="0.15">
      <c r="A132" s="77">
        <f>Sheet1!A98</f>
        <v>570</v>
      </c>
      <c r="B132" s="78">
        <f>Sheet1!B98</f>
        <v>57.809999999999995</v>
      </c>
      <c r="C132" s="79">
        <v>1</v>
      </c>
    </row>
    <row r="133" spans="1:3" x14ac:dyDescent="0.15">
      <c r="A133" s="77">
        <f>Sheet1!A99</f>
        <v>585</v>
      </c>
      <c r="B133" s="78">
        <f>Sheet1!B99</f>
        <v>57.949999999999996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59.52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2.5088358839321834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7.3566876996662387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11.698795241802181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14.238765328050214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16.040902783938122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17.43874919277399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21.780856734909932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24.320826821157958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26.122964277045867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27.520810685881749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28.6629343632939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29.62858617329276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30.465071819181802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31.202904449541933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31.862918228017691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32.410893315562539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33.005041905429849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34.402888314265724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35.545011991677882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36.510663801676742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37.347149447565783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38.312801257564644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39.149286903453685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39.887119533813816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41.689256989701732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43.087103398537593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44.229227075949765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45.194878885948626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46.031364531837667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46.769197162197798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47.429210940673542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48.026266028218402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48.5713346180857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49.072749114789673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49.53698642808456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49.969181026921575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50.373472073973616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50.753245136623349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51.111304704333733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51.45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51.45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51.45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51.45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51.45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51.45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51.45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51.45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51.45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51.45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51.45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51.45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51.45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51.45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51.45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51.45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51.45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51.45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51.45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51.45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51.45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51.45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51.45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51.45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51.45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51.45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51.45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51.45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51.45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51.45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topLeftCell="A25" workbookViewId="0">
      <selection activeCell="K51" sqref="K51"/>
    </sheetView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2.5088358839321834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51.45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29.634078434613624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26.329939709219818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23.394205648095749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20.785799889764039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18.468226002470946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12.953898696505998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11.972167624090394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9.4512590317066216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8.3974631109293441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7.4611632654285316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7.1728655361717193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6.8957075686032399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6.6292589247491565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6.3731057986654207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6.1268503737798561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5.8901102050662937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5.66251762509137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5.4437191730115568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5.2333750456336032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4.6498645041824416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4.4701947489153095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3.5289322552717999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2.7858658429410745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2.1992625342330419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2019-11-04T08:43:57Z</cp:lastPrinted>
  <dcterms:created xsi:type="dcterms:W3CDTF">1998-04-14T02:17:03Z</dcterms:created>
  <dcterms:modified xsi:type="dcterms:W3CDTF">2020-01-29T03:50:43Z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