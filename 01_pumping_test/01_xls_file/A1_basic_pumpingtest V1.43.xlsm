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ED8B70AE-1370-4D74-AF69-064876A20EEE}" xr6:coauthVersionLast="45" xr6:coauthVersionMax="45" xr10:uidLastSave="{00000000-0000-0000-0000-000000000000}"/>
  <bookViews>
    <workbookView xWindow="-120" yWindow="-120" windowWidth="29040" windowHeight="15840" tabRatio="569" firstSheet="2" activeTab="4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B39" i="3" s="1"/>
  <c r="AB40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U40" i="3" l="1"/>
  <c r="AB41" i="3" s="1"/>
  <c r="AB42" i="3" s="1"/>
  <c r="AB43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<sst xmlns="http://schemas.openxmlformats.org/spreadsheetml/2006/main" count="1098" uniqueCount="257">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</sst>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43836.417361111111</c:v>
                </c:pt>
                <c:pt idx="33">
                  <c:v>43837</c:v>
                </c:pt>
                <c:pt idx="57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9" zoomScaleNormal="100" workbookViewId="0">
      <selection activeCell="O41" sqref="O41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16" t="s">
        <v>124</v>
      </c>
      <c r="F8" s="416"/>
      <c r="G8" s="416"/>
    </row>
    <row r="9" spans="1:19" x14ac:dyDescent="0.15">
      <c r="A9" s="280" t="s">
        <v>194</v>
      </c>
      <c r="B9" s="280" t="s">
        <v>195</v>
      </c>
      <c r="E9" s="92">
        <v>1</v>
      </c>
      <c r="F9" s="417" t="s">
        <v>114</v>
      </c>
      <c r="G9" s="417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17" t="s">
        <v>115</v>
      </c>
      <c r="G10" s="417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17" t="s">
        <v>116</v>
      </c>
      <c r="G11" s="417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17" t="s">
        <v>117</v>
      </c>
      <c r="G12" s="417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16" t="s">
        <v>123</v>
      </c>
      <c r="F13" s="416"/>
      <c r="G13" s="416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17" t="s">
        <v>114</v>
      </c>
      <c r="G14" s="417"/>
    </row>
    <row r="15" spans="1:19" x14ac:dyDescent="0.15">
      <c r="E15" s="93">
        <v>1</v>
      </c>
      <c r="F15" s="417" t="s">
        <v>115</v>
      </c>
      <c r="G15" s="417"/>
    </row>
    <row r="16" spans="1:19" x14ac:dyDescent="0.15">
      <c r="B16" s="38" t="s">
        <v>121</v>
      </c>
      <c r="D16" s="82" t="s">
        <v>122</v>
      </c>
      <c r="E16" s="93">
        <v>1</v>
      </c>
      <c r="F16" s="417" t="s">
        <v>116</v>
      </c>
      <c r="G16" s="417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17" t="s">
        <v>117</v>
      </c>
      <c r="G17" s="417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31" t="s">
        <v>126</v>
      </c>
      <c r="P21" s="431"/>
      <c r="Q21" s="431" t="s">
        <v>129</v>
      </c>
      <c r="R21" s="431"/>
      <c r="S21" s="431" t="s">
        <v>131</v>
      </c>
      <c r="T21" s="431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37" t="s">
        <v>118</v>
      </c>
      <c r="B26" s="437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37" t="s">
        <v>119</v>
      </c>
      <c r="B27" s="437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34" t="s">
        <v>238</v>
      </c>
      <c r="J44" s="435"/>
      <c r="K44" s="436"/>
      <c r="L44" s="374" t="s">
        <v>59</v>
      </c>
      <c r="M44" s="375">
        <v>250</v>
      </c>
      <c r="N44" s="374" t="s">
        <v>185</v>
      </c>
      <c r="Q44" s="364">
        <v>324</v>
      </c>
      <c r="R44" s="401">
        <v>33.97</v>
      </c>
      <c r="S44" s="401">
        <v>21.97</v>
      </c>
      <c r="T44" s="354">
        <v>14.925373134328357</v>
      </c>
      <c r="U44" s="18">
        <v>6.7000000000000004E-2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413</v>
      </c>
      <c r="R45" s="401">
        <v>41.3</v>
      </c>
      <c r="S45" s="401">
        <v>29.3</v>
      </c>
      <c r="T45" s="354">
        <v>14.285714285714285</v>
      </c>
      <c r="U45" s="18">
        <v>7.0000000000000007E-2</v>
      </c>
    </row>
    <row r="46" spans="1:21" ht="16.5" x14ac:dyDescent="0.3">
      <c r="A46" s="17">
        <f>B34</f>
        <v>5.5625399999999998E-2</v>
      </c>
      <c r="B46" s="22" t="s">
        <v>36</v>
      </c>
      <c r="C46" s="422" t="s">
        <v>29</v>
      </c>
      <c r="D46" s="422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502</v>
      </c>
      <c r="R46" s="401">
        <v>49.54</v>
      </c>
      <c r="S46" s="401">
        <v>37.54</v>
      </c>
      <c r="T46" s="354">
        <v>13.513513513513514</v>
      </c>
      <c r="U46" s="18">
        <v>7.3999999999999996E-2</v>
      </c>
    </row>
    <row r="47" spans="1:21" ht="16.5" x14ac:dyDescent="0.3">
      <c r="A47" s="17">
        <f>120/1440</f>
        <v>8.3333333333333329E-2</v>
      </c>
      <c r="B47" s="22" t="s">
        <v>24</v>
      </c>
      <c r="C47" s="422" t="s">
        <v>28</v>
      </c>
      <c r="D47" s="422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590</v>
      </c>
      <c r="R47" s="401">
        <v>57.79</v>
      </c>
      <c r="S47" s="401">
        <v>45.79</v>
      </c>
      <c r="T47" s="354">
        <v>12.987012987012987</v>
      </c>
      <c r="U47" s="18">
        <v>7.6999999999999999E-2</v>
      </c>
    </row>
    <row r="48" spans="1:21" ht="16.5" x14ac:dyDescent="0.3">
      <c r="B48" s="22"/>
      <c r="H48" s="373" t="s">
        <v>57</v>
      </c>
      <c r="I48" s="375">
        <v>3</v>
      </c>
      <c r="J48" s="433" t="s">
        <v>256</v>
      </c>
      <c r="K48" s="433"/>
      <c r="L48" s="381" t="s">
        <v>63</v>
      </c>
      <c r="M48" s="382">
        <v>12</v>
      </c>
      <c r="N48" s="379"/>
      <c r="Q48" s="364">
        <v>678</v>
      </c>
      <c r="R48" s="401">
        <v>71.52000000000001</v>
      </c>
      <c r="S48" s="401">
        <v>59.52</v>
      </c>
      <c r="T48" s="354">
        <v>11.494252873563219</v>
      </c>
      <c r="U48" s="18">
        <v>8.6999999999999994E-2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39" t="s">
        <v>58</v>
      </c>
      <c r="I49" s="432" t="str">
        <f>I45</f>
        <v>개화지구</v>
      </c>
      <c r="J49" s="432"/>
      <c r="K49" s="432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40"/>
      <c r="I50" s="432"/>
      <c r="J50" s="432"/>
      <c r="K50" s="432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1"/>
      <c r="I51" s="442" t="s">
        <v>113</v>
      </c>
      <c r="J51" s="443"/>
      <c r="K51" s="444"/>
      <c r="L51" s="384" t="s">
        <v>106</v>
      </c>
      <c r="M51" s="404">
        <v>520</v>
      </c>
      <c r="N51" s="379"/>
      <c r="Q51" s="18">
        <v>324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413</v>
      </c>
    </row>
    <row r="53" spans="1:17" ht="16.5" x14ac:dyDescent="0.3">
      <c r="H53" s="379"/>
      <c r="I53" s="438" t="s">
        <v>120</v>
      </c>
      <c r="J53" s="438"/>
      <c r="K53" s="438"/>
      <c r="L53" s="438"/>
      <c r="M53" s="389">
        <v>88</v>
      </c>
      <c r="N53" s="379"/>
      <c r="Q53" s="18">
        <v>502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590</v>
      </c>
    </row>
    <row r="55" spans="1:17" x14ac:dyDescent="0.15">
      <c r="A55" s="25"/>
      <c r="Q55" s="18">
        <v>678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20" t="s">
        <v>76</v>
      </c>
      <c r="E57" s="420"/>
      <c r="F57" s="420" t="s">
        <v>53</v>
      </c>
      <c r="G57" s="421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30" t="s">
        <v>73</v>
      </c>
      <c r="M57" s="430"/>
      <c r="Q57" s="18">
        <v>33.97</v>
      </c>
    </row>
    <row r="58" spans="1:17" x14ac:dyDescent="0.15">
      <c r="A58" s="38" t="s">
        <v>47</v>
      </c>
      <c r="B58" s="39">
        <v>2</v>
      </c>
      <c r="C58" s="38"/>
      <c r="D58" s="420">
        <v>0.22439999999999999</v>
      </c>
      <c r="E58" s="420"/>
      <c r="F58" s="420"/>
      <c r="G58" s="421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41.3</v>
      </c>
    </row>
    <row r="59" spans="1:17" x14ac:dyDescent="0.15">
      <c r="A59" s="38" t="s">
        <v>48</v>
      </c>
      <c r="B59" s="39">
        <v>4.7770000000000001</v>
      </c>
      <c r="C59" s="428">
        <f>B59</f>
        <v>4.7770000000000001</v>
      </c>
      <c r="D59" s="418">
        <v>3.366E-4</v>
      </c>
      <c r="E59" s="419"/>
      <c r="F59" s="424">
        <f>INT((D59+D60)/1*10000000)/10000000</f>
        <v>3.366E-4</v>
      </c>
      <c r="G59" s="425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49.54</v>
      </c>
    </row>
    <row r="60" spans="1:17" x14ac:dyDescent="0.15">
      <c r="A60" s="38" t="s">
        <v>49</v>
      </c>
      <c r="B60" s="39"/>
      <c r="C60" s="428"/>
      <c r="D60" s="418"/>
      <c r="E60" s="419"/>
      <c r="F60" s="426"/>
      <c r="G60" s="427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57.79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20"/>
      <c r="E61" s="420"/>
      <c r="F61" s="420"/>
      <c r="G61" s="421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71.52000000000001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29"/>
      <c r="E62" s="429"/>
      <c r="F62" s="423">
        <f>F59</f>
        <v>3.366E-4</v>
      </c>
      <c r="G62" s="423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21.97</v>
      </c>
    </row>
    <row r="64" spans="1:17" x14ac:dyDescent="0.15">
      <c r="Q64" s="18">
        <v>29.3</v>
      </c>
    </row>
    <row r="65" spans="17:17" x14ac:dyDescent="0.15">
      <c r="Q65" s="18">
        <v>37.54</v>
      </c>
    </row>
    <row r="66" spans="17:17" x14ac:dyDescent="0.15">
      <c r="Q66" s="18">
        <v>45.79</v>
      </c>
    </row>
    <row r="67" spans="17:17" x14ac:dyDescent="0.15">
      <c r="Q67" s="18">
        <v>59.52</v>
      </c>
    </row>
    <row r="69" spans="17:17" x14ac:dyDescent="0.15">
      <c r="Q69" s="354">
        <v>14.925373134328357</v>
      </c>
    </row>
    <row r="70" spans="17:17" x14ac:dyDescent="0.15">
      <c r="Q70" s="354">
        <v>14.285714285714285</v>
      </c>
    </row>
    <row r="71" spans="17:17" x14ac:dyDescent="0.15">
      <c r="Q71" s="354">
        <v>13.513513513513514</v>
      </c>
    </row>
    <row r="72" spans="17:17" x14ac:dyDescent="0.15">
      <c r="Q72" s="354">
        <v>12.987012987012987</v>
      </c>
    </row>
    <row r="73" spans="17:17" x14ac:dyDescent="0.15">
      <c r="Q73" s="354">
        <v>11.494252873563219</v>
      </c>
    </row>
    <row r="75" spans="17:17" x14ac:dyDescent="0.15">
      <c r="Q75" s="18">
        <v>6.7000000000000004E-2</v>
      </c>
    </row>
    <row r="76" spans="17:17" x14ac:dyDescent="0.15">
      <c r="Q76" s="18">
        <v>7.0000000000000007E-2</v>
      </c>
    </row>
    <row r="77" spans="17:17" x14ac:dyDescent="0.15">
      <c r="Q77" s="18">
        <v>7.3999999999999996E-2</v>
      </c>
    </row>
    <row r="78" spans="17:17" x14ac:dyDescent="0.15">
      <c r="Q78" s="18">
        <v>7.6999999999999999E-2</v>
      </c>
    </row>
    <row r="79" spans="17:17" x14ac:dyDescent="0.15">
      <c r="Q79" s="18">
        <v>8.6999999999999994E-2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tabSelected="1" topLeftCell="A7" zoomScaleNormal="100" workbookViewId="0">
      <selection activeCell="M11" sqref="M11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7.3538478347576444</v>
      </c>
      <c r="C5" s="294">
        <f>장기양수시험!B10</f>
        <v>520</v>
      </c>
      <c r="D5" s="360">
        <v>4.5172999999999996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0.40139328016068898</v>
      </c>
      <c r="D7" s="304" t="s">
        <v>202</v>
      </c>
      <c r="E7" s="303">
        <f>1.15*LOG((2.25*D5*(1/1440))/(F5*E5^2))</f>
        <v>3.3992952686568318</v>
      </c>
      <c r="F7" s="304" t="s">
        <v>197</v>
      </c>
      <c r="G7" s="412">
        <f>C7-E7</f>
        <v>-2.9979019884961429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2.5054301761923048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121.9</v>
      </c>
      <c r="D14" s="311"/>
      <c r="E14" s="312" t="s">
        <v>205</v>
      </c>
      <c r="F14" s="313">
        <f>D5</f>
        <v>4.5172999999999996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3.4976500000000001</v>
      </c>
      <c r="E17" s="317">
        <f>INT(D17/C17*100000)/100000</f>
        <v>4.3720000000000002E-2</v>
      </c>
      <c r="F17" s="318">
        <v>1440</v>
      </c>
      <c r="G17" s="319">
        <v>1020</v>
      </c>
      <c r="H17" s="318">
        <f>INT(G17/F17*10000)/10000</f>
        <v>0.70830000000000004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149.19999999999999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3.4976500000000001</v>
      </c>
      <c r="E22" s="353">
        <f t="shared" si="0"/>
        <v>4.3720000000000002E-2</v>
      </c>
      <c r="F22" s="330">
        <f t="shared" si="0"/>
        <v>1440</v>
      </c>
      <c r="G22" s="330">
        <f>G17</f>
        <v>1020</v>
      </c>
      <c r="H22" s="351">
        <f t="shared" si="0"/>
        <v>0.70830000000000004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93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3.4976500000000001</v>
      </c>
      <c r="E27" s="317">
        <f t="shared" si="1"/>
        <v>4.3720000000000002E-2</v>
      </c>
      <c r="F27" s="318">
        <f t="shared" si="1"/>
        <v>1440</v>
      </c>
      <c r="G27" s="318">
        <f t="shared" si="1"/>
        <v>1020</v>
      </c>
      <c r="H27" s="318">
        <f t="shared" si="1"/>
        <v>0.70830000000000004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3.4976500000000001</v>
      </c>
      <c r="D29" s="343">
        <f>(C29/C17)*(100/86400)</f>
        <v>5.0602575231481481E-5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5.0602575231481481E-5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121.36666666666667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48" t="s">
        <v>192</v>
      </c>
      <c r="B4" s="448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48" t="s">
        <v>45</v>
      </c>
      <c r="B5" s="448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48" t="s">
        <v>46</v>
      </c>
      <c r="B6" s="448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48" t="s">
        <v>165</v>
      </c>
      <c r="B7" s="448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49">
        <f>입력표!I48</f>
        <v>3</v>
      </c>
      <c r="D8" s="450"/>
      <c r="E8" s="451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2">
        <f>입력표!M44</f>
        <v>250</v>
      </c>
      <c r="E9" s="452"/>
      <c r="F9" s="210" t="s">
        <v>8</v>
      </c>
      <c r="G9" s="454">
        <f>입력표!M45</f>
        <v>100</v>
      </c>
      <c r="H9" s="454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45">
        <f>입력표!M48</f>
        <v>12</v>
      </c>
      <c r="E10" s="446"/>
      <c r="F10" s="230" t="s">
        <v>0</v>
      </c>
      <c r="G10" s="455" t="s">
        <v>0</v>
      </c>
      <c r="H10" s="455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47" t="s">
        <v>172</v>
      </c>
      <c r="E11" s="447"/>
      <c r="F11" s="231" t="s">
        <v>173</v>
      </c>
      <c r="G11" s="456" t="s">
        <v>174</v>
      </c>
      <c r="H11" s="456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53">
        <v>1</v>
      </c>
      <c r="E12" s="453"/>
      <c r="F12" s="208">
        <f>G12+$D$10</f>
        <v>14.08</v>
      </c>
      <c r="G12" s="457">
        <f>AD4</f>
        <v>2.08</v>
      </c>
      <c r="H12" s="457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53">
        <v>2</v>
      </c>
      <c r="E13" s="453"/>
      <c r="F13" s="208">
        <f t="shared" ref="F13:F28" si="13">G13+$D$10</f>
        <v>16.04</v>
      </c>
      <c r="G13" s="457">
        <f t="shared" ref="G13:G51" si="14">AD5</f>
        <v>4.04</v>
      </c>
      <c r="H13" s="457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53">
        <v>3</v>
      </c>
      <c r="E14" s="453"/>
      <c r="F14" s="208">
        <f t="shared" si="13"/>
        <v>17.809999999999999</v>
      </c>
      <c r="G14" s="457">
        <f t="shared" si="14"/>
        <v>5.81</v>
      </c>
      <c r="H14" s="457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53">
        <v>4</v>
      </c>
      <c r="E15" s="453"/>
      <c r="F15" s="208">
        <f t="shared" si="13"/>
        <v>19.07</v>
      </c>
      <c r="G15" s="457">
        <f t="shared" si="14"/>
        <v>7.07</v>
      </c>
      <c r="H15" s="457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53">
        <v>5</v>
      </c>
      <c r="E16" s="453"/>
      <c r="F16" s="208">
        <f t="shared" si="13"/>
        <v>20.05</v>
      </c>
      <c r="G16" s="457">
        <f t="shared" si="14"/>
        <v>8.0500000000000007</v>
      </c>
      <c r="H16" s="457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53">
        <v>10</v>
      </c>
      <c r="E17" s="453"/>
      <c r="F17" s="208">
        <f t="shared" si="13"/>
        <v>23.08</v>
      </c>
      <c r="G17" s="457">
        <f t="shared" si="14"/>
        <v>11.08</v>
      </c>
      <c r="H17" s="457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53">
        <v>15</v>
      </c>
      <c r="E18" s="453"/>
      <c r="F18" s="208">
        <f t="shared" si="13"/>
        <v>24.86</v>
      </c>
      <c r="G18" s="457">
        <f t="shared" si="14"/>
        <v>12.86</v>
      </c>
      <c r="H18" s="457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53">
        <v>20</v>
      </c>
      <c r="E19" s="453"/>
      <c r="F19" s="208">
        <f t="shared" si="13"/>
        <v>26.119999999999997</v>
      </c>
      <c r="G19" s="457">
        <f t="shared" si="14"/>
        <v>14.12</v>
      </c>
      <c r="H19" s="457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53">
        <v>25</v>
      </c>
      <c r="E20" s="453"/>
      <c r="F20" s="208">
        <f t="shared" si="13"/>
        <v>27.1</v>
      </c>
      <c r="G20" s="457">
        <f t="shared" si="14"/>
        <v>15.1</v>
      </c>
      <c r="H20" s="457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53">
        <v>30</v>
      </c>
      <c r="E21" s="453"/>
      <c r="F21" s="208">
        <f t="shared" si="13"/>
        <v>27.89</v>
      </c>
      <c r="G21" s="457">
        <f t="shared" si="14"/>
        <v>15.89</v>
      </c>
      <c r="H21" s="457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53">
        <v>35</v>
      </c>
      <c r="E22" s="453"/>
      <c r="F22" s="208">
        <f t="shared" si="13"/>
        <v>28.57</v>
      </c>
      <c r="G22" s="457">
        <f t="shared" si="14"/>
        <v>16.57</v>
      </c>
      <c r="H22" s="457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53">
        <v>40</v>
      </c>
      <c r="E23" s="453"/>
      <c r="F23" s="208">
        <f t="shared" si="13"/>
        <v>29.15</v>
      </c>
      <c r="G23" s="457">
        <f t="shared" si="14"/>
        <v>17.149999999999999</v>
      </c>
      <c r="H23" s="457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53">
        <v>45</v>
      </c>
      <c r="E24" s="453"/>
      <c r="F24" s="208">
        <f t="shared" si="13"/>
        <v>29.67</v>
      </c>
      <c r="G24" s="457">
        <f t="shared" si="14"/>
        <v>17.670000000000002</v>
      </c>
      <c r="H24" s="457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53">
        <v>50</v>
      </c>
      <c r="E25" s="453"/>
      <c r="F25" s="208">
        <f t="shared" si="13"/>
        <v>30.13</v>
      </c>
      <c r="G25" s="457">
        <f t="shared" si="14"/>
        <v>18.13</v>
      </c>
      <c r="H25" s="457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53">
        <v>55</v>
      </c>
      <c r="E26" s="453"/>
      <c r="F26" s="208">
        <f t="shared" si="13"/>
        <v>30.55</v>
      </c>
      <c r="G26" s="457">
        <f t="shared" si="14"/>
        <v>18.55</v>
      </c>
      <c r="H26" s="457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53">
        <v>60</v>
      </c>
      <c r="E27" s="453"/>
      <c r="F27" s="208">
        <f t="shared" si="13"/>
        <v>30.93</v>
      </c>
      <c r="G27" s="457">
        <f t="shared" si="14"/>
        <v>18.93</v>
      </c>
      <c r="H27" s="457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53">
        <v>75</v>
      </c>
      <c r="E28" s="453"/>
      <c r="F28" s="208">
        <f t="shared" si="13"/>
        <v>31.91</v>
      </c>
      <c r="G28" s="457">
        <f t="shared" si="14"/>
        <v>19.91</v>
      </c>
      <c r="H28" s="457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53">
        <v>90</v>
      </c>
      <c r="E29" s="453"/>
      <c r="F29" s="208">
        <f t="shared" ref="F29:F44" si="24">G29+$D$10</f>
        <v>32.71</v>
      </c>
      <c r="G29" s="457">
        <f t="shared" si="14"/>
        <v>20.71</v>
      </c>
      <c r="H29" s="457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53">
        <v>105</v>
      </c>
      <c r="E30" s="453"/>
      <c r="F30" s="208">
        <f t="shared" si="24"/>
        <v>33.379999999999995</v>
      </c>
      <c r="G30" s="457">
        <f t="shared" si="14"/>
        <v>21.38</v>
      </c>
      <c r="H30" s="457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53">
        <v>120</v>
      </c>
      <c r="E31" s="453"/>
      <c r="F31" s="208">
        <f t="shared" si="24"/>
        <v>33.97</v>
      </c>
      <c r="G31" s="457">
        <f t="shared" si="14"/>
        <v>21.97</v>
      </c>
      <c r="H31" s="457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53">
        <v>130</v>
      </c>
      <c r="E32" s="453"/>
      <c r="F32" s="208">
        <f t="shared" si="24"/>
        <v>38.36</v>
      </c>
      <c r="G32" s="457">
        <f t="shared" si="14"/>
        <v>26.36</v>
      </c>
      <c r="H32" s="457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53">
        <v>140</v>
      </c>
      <c r="E33" s="453"/>
      <c r="F33" s="208">
        <f t="shared" si="24"/>
        <v>39.1</v>
      </c>
      <c r="G33" s="457">
        <f t="shared" si="14"/>
        <v>27.1</v>
      </c>
      <c r="H33" s="457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53">
        <v>150</v>
      </c>
      <c r="E34" s="453"/>
      <c r="F34" s="208">
        <f t="shared" si="24"/>
        <v>39.83</v>
      </c>
      <c r="G34" s="457">
        <f t="shared" si="14"/>
        <v>27.83</v>
      </c>
      <c r="H34" s="457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53">
        <v>180</v>
      </c>
      <c r="E35" s="453"/>
      <c r="F35" s="208">
        <f t="shared" si="24"/>
        <v>40.56</v>
      </c>
      <c r="G35" s="457">
        <f t="shared" si="14"/>
        <v>28.56</v>
      </c>
      <c r="H35" s="457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53">
        <v>240</v>
      </c>
      <c r="E36" s="453"/>
      <c r="F36" s="208">
        <f t="shared" si="24"/>
        <v>41.3</v>
      </c>
      <c r="G36" s="457">
        <f t="shared" si="14"/>
        <v>29.3</v>
      </c>
      <c r="H36" s="457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53">
        <v>250</v>
      </c>
      <c r="E37" s="453"/>
      <c r="F37" s="208">
        <f t="shared" si="24"/>
        <v>46.24</v>
      </c>
      <c r="G37" s="457">
        <f t="shared" si="14"/>
        <v>34.24</v>
      </c>
      <c r="H37" s="457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53">
        <v>260</v>
      </c>
      <c r="E38" s="453"/>
      <c r="F38" s="208">
        <f t="shared" si="24"/>
        <v>47.06</v>
      </c>
      <c r="G38" s="457">
        <f t="shared" si="14"/>
        <v>35.06</v>
      </c>
      <c r="H38" s="457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53">
        <v>270</v>
      </c>
      <c r="E39" s="453"/>
      <c r="F39" s="208">
        <f t="shared" si="24"/>
        <v>47.89</v>
      </c>
      <c r="G39" s="457">
        <f t="shared" si="14"/>
        <v>35.89</v>
      </c>
      <c r="H39" s="457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53">
        <v>300</v>
      </c>
      <c r="E40" s="453"/>
      <c r="F40" s="208">
        <f t="shared" si="24"/>
        <v>48.71</v>
      </c>
      <c r="G40" s="457">
        <f t="shared" si="14"/>
        <v>36.71</v>
      </c>
      <c r="H40" s="457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53">
        <v>360</v>
      </c>
      <c r="E41" s="453"/>
      <c r="F41" s="208">
        <f t="shared" si="24"/>
        <v>49.54</v>
      </c>
      <c r="G41" s="457">
        <f t="shared" si="14"/>
        <v>37.54</v>
      </c>
      <c r="H41" s="457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53">
        <v>370</v>
      </c>
      <c r="E42" s="453"/>
      <c r="F42" s="208">
        <f t="shared" si="24"/>
        <v>54.49</v>
      </c>
      <c r="G42" s="457">
        <f t="shared" si="14"/>
        <v>42.49</v>
      </c>
      <c r="H42" s="457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53">
        <v>380</v>
      </c>
      <c r="E43" s="453"/>
      <c r="F43" s="208">
        <f t="shared" si="24"/>
        <v>55.31</v>
      </c>
      <c r="G43" s="457">
        <f t="shared" si="14"/>
        <v>43.31</v>
      </c>
      <c r="H43" s="457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53">
        <v>390</v>
      </c>
      <c r="E44" s="453"/>
      <c r="F44" s="208">
        <f t="shared" si="24"/>
        <v>56.14</v>
      </c>
      <c r="G44" s="457">
        <f t="shared" si="14"/>
        <v>44.14</v>
      </c>
      <c r="H44" s="457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53">
        <v>420</v>
      </c>
      <c r="E45" s="453"/>
      <c r="F45" s="208">
        <f t="shared" ref="F45:F51" si="25">G45+$D$10</f>
        <v>56.96</v>
      </c>
      <c r="G45" s="457">
        <f t="shared" si="14"/>
        <v>44.96</v>
      </c>
      <c r="H45" s="457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53">
        <v>480</v>
      </c>
      <c r="E46" s="453"/>
      <c r="F46" s="208">
        <f t="shared" si="25"/>
        <v>57.79</v>
      </c>
      <c r="G46" s="457">
        <f t="shared" si="14"/>
        <v>45.79</v>
      </c>
      <c r="H46" s="457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53">
        <v>490</v>
      </c>
      <c r="E47" s="453"/>
      <c r="F47" s="208">
        <f t="shared" si="25"/>
        <v>63.28</v>
      </c>
      <c r="G47" s="457">
        <f t="shared" si="14"/>
        <v>51.28</v>
      </c>
      <c r="H47" s="457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53">
        <v>500</v>
      </c>
      <c r="E48" s="453"/>
      <c r="F48" s="208">
        <f t="shared" si="25"/>
        <v>65.34</v>
      </c>
      <c r="G48" s="457">
        <f t="shared" si="14"/>
        <v>53.34</v>
      </c>
      <c r="H48" s="457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53">
        <v>510</v>
      </c>
      <c r="E49" s="453"/>
      <c r="F49" s="208">
        <f t="shared" si="25"/>
        <v>67.400000000000006</v>
      </c>
      <c r="G49" s="457">
        <f t="shared" si="14"/>
        <v>55.4</v>
      </c>
      <c r="H49" s="457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53">
        <v>540</v>
      </c>
      <c r="E50" s="453"/>
      <c r="F50" s="208">
        <f t="shared" si="25"/>
        <v>69.460000000000008</v>
      </c>
      <c r="G50" s="457">
        <f t="shared" si="14"/>
        <v>57.46</v>
      </c>
      <c r="H50" s="457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53">
        <v>600</v>
      </c>
      <c r="E51" s="453"/>
      <c r="F51" s="208">
        <f t="shared" si="25"/>
        <v>71.52000000000001</v>
      </c>
      <c r="G51" s="457">
        <f t="shared" si="14"/>
        <v>59.52</v>
      </c>
      <c r="H51" s="457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topLeftCell="A7" zoomScaleNormal="100" workbookViewId="0">
      <selection activeCell="K8" sqref="K8"/>
    </sheetView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-7.2808084206869168</v>
      </c>
      <c r="M1" s="458" t="s">
        <v>136</v>
      </c>
      <c r="N1" s="458"/>
      <c r="O1" s="272">
        <f>단계양수시험!G41</f>
        <v>37.54</v>
      </c>
      <c r="P1" s="273" t="s">
        <v>125</v>
      </c>
      <c r="Q1" s="274">
        <f>G35</f>
        <v>44.820808420686916</v>
      </c>
      <c r="R1" s="275" t="s">
        <v>52</v>
      </c>
      <c r="S1" s="276">
        <v>4.5172824224829418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4.5172824224829418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43.323847627335709</v>
      </c>
      <c r="AB2" s="10">
        <f>1.6*U2/(4*PI()*V2)*LOG10((2.25*V2*Y2)/(W2*W2*X2))</f>
        <v>43.323847627335709</v>
      </c>
      <c r="AC2" s="15">
        <v>0</v>
      </c>
      <c r="AD2" s="12">
        <f>Z2</f>
        <v>1</v>
      </c>
      <c r="AE2" s="10">
        <f>AB2-$O$3-N3</f>
        <v>7.3538478347576444</v>
      </c>
      <c r="AF2" s="10">
        <f>AB2</f>
        <v>43.323847627335709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35.969999792578065</v>
      </c>
      <c r="U3" s="14">
        <f>U2</f>
        <v>520</v>
      </c>
      <c r="V3" s="3">
        <f>V$2</f>
        <v>4.5172824224829418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47.735954167676489</v>
      </c>
      <c r="AB3" s="10">
        <f t="shared" ref="AB3:AB40" si="4">1.6*U3/(4*PI()*V3)*LOG10((2.25*V3*Y3)/(W3*W3*X3))</f>
        <v>47.735954167676489</v>
      </c>
      <c r="AC3" s="10">
        <f>AA69</f>
        <v>87.419999792578068</v>
      </c>
      <c r="AD3" s="12">
        <f t="shared" ref="AD3:AD66" si="5">Z3</f>
        <v>2</v>
      </c>
      <c r="AE3" s="10">
        <f t="shared" ref="AE3:AE16" si="6">AB3-$O$3-N4</f>
        <v>11.765954375098424</v>
      </c>
      <c r="AF3" s="10">
        <f t="shared" ref="AF3:AF16" si="7">AB3</f>
        <v>47.735954167676489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-2.95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4.5172824224829418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50.316871042962397</v>
      </c>
      <c r="AB4" s="10">
        <f t="shared" si="4"/>
        <v>50.316871042962397</v>
      </c>
      <c r="AC4" s="10">
        <f>AB69</f>
        <v>87.419999792578068</v>
      </c>
      <c r="AD4" s="12">
        <f t="shared" si="5"/>
        <v>3</v>
      </c>
      <c r="AE4" s="10">
        <f t="shared" si="6"/>
        <v>14.346871250384332</v>
      </c>
      <c r="AF4" s="10">
        <f t="shared" si="7"/>
        <v>50.316871042962397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-7.73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4.5172824224829418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52.148060708017276</v>
      </c>
      <c r="AB5" s="10">
        <f t="shared" si="4"/>
        <v>52.148060708017276</v>
      </c>
      <c r="AC5" s="10">
        <f>AE69</f>
        <v>51.45</v>
      </c>
      <c r="AD5" s="12">
        <f t="shared" si="5"/>
        <v>4</v>
      </c>
      <c r="AE5" s="10">
        <f t="shared" si="6"/>
        <v>16.178060915439211</v>
      </c>
      <c r="AF5" s="10">
        <f t="shared" si="7"/>
        <v>52.148060708017276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62">
        <f>단계양수시험!C8</f>
        <v>3</v>
      </c>
      <c r="D6" s="462"/>
      <c r="E6" s="463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-13.25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4.5172824224829418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53.568441760989252</v>
      </c>
      <c r="AB6" s="10">
        <f t="shared" si="4"/>
        <v>53.568441760989252</v>
      </c>
      <c r="AD6" s="12">
        <f t="shared" si="5"/>
        <v>5</v>
      </c>
      <c r="AE6" s="10">
        <f t="shared" si="6"/>
        <v>17.598441968411187</v>
      </c>
      <c r="AF6" s="10">
        <f t="shared" si="7"/>
        <v>53.568441760989252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-19.190000000000001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4.5172824224829418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57.980548301330039</v>
      </c>
      <c r="AB7" s="10">
        <f t="shared" si="4"/>
        <v>57.980548301330039</v>
      </c>
      <c r="AD7" s="12">
        <f t="shared" si="5"/>
        <v>10</v>
      </c>
      <c r="AE7" s="10">
        <f t="shared" si="6"/>
        <v>22.010548508751974</v>
      </c>
      <c r="AF7" s="10">
        <f t="shared" si="7"/>
        <v>57.980548301330039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2.9417412944168646</v>
      </c>
      <c r="L8" s="13">
        <f t="shared" si="1"/>
        <v>-51.56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4.5172824224829418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60.561465176615947</v>
      </c>
      <c r="AB8" s="10">
        <f t="shared" si="4"/>
        <v>60.561465176615947</v>
      </c>
      <c r="AD8" s="12">
        <f t="shared" si="5"/>
        <v>15</v>
      </c>
      <c r="AE8" s="10">
        <f t="shared" si="6"/>
        <v>24.591465384037882</v>
      </c>
      <c r="AF8" s="10">
        <f t="shared" si="7"/>
        <v>60.561465176615947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0" t="s">
        <v>161</v>
      </c>
      <c r="E9" s="460"/>
      <c r="F9" s="186" t="s">
        <v>162</v>
      </c>
      <c r="G9" s="186" t="s">
        <v>163</v>
      </c>
      <c r="H9" s="461" t="s">
        <v>164</v>
      </c>
      <c r="I9" s="461"/>
      <c r="J9" s="9">
        <f>G8-D8</f>
        <v>51.45</v>
      </c>
      <c r="L9" s="13">
        <f t="shared" si="1"/>
        <v>-85.77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4.5172824224829418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62.392654841670819</v>
      </c>
      <c r="AB9" s="10">
        <f t="shared" si="4"/>
        <v>62.392654841670819</v>
      </c>
      <c r="AD9" s="12">
        <f t="shared" si="5"/>
        <v>20</v>
      </c>
      <c r="AE9" s="10">
        <f t="shared" si="6"/>
        <v>26.422655049092754</v>
      </c>
      <c r="AF9" s="10">
        <f t="shared" si="7"/>
        <v>62.392654841670819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43836.416666666664</v>
      </c>
      <c r="D10" s="187">
        <v>1</v>
      </c>
      <c r="E10" s="256">
        <f>D10/1440</f>
        <v>6.9444444444444447E-4</v>
      </c>
      <c r="F10" s="188">
        <f>G10+D$8</f>
        <v>19.353847834757644</v>
      </c>
      <c r="G10" s="285">
        <f>AE2</f>
        <v>7.3538478347576444</v>
      </c>
      <c r="H10" s="459">
        <v>43836.417361111111</v>
      </c>
      <c r="I10" s="459" t="s">
        <v>12</v>
      </c>
      <c r="J10" s="270">
        <f>J8-J9</f>
        <v>0</v>
      </c>
      <c r="K10" s="9">
        <f>J10+P17</f>
        <v>0</v>
      </c>
      <c r="L10" s="13">
        <f t="shared" si="1"/>
        <v>-120.72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4.5172824224829418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63.813035894642795</v>
      </c>
      <c r="AB10" s="10">
        <f t="shared" si="4"/>
        <v>63.813035894642795</v>
      </c>
      <c r="AD10" s="12">
        <f t="shared" si="5"/>
        <v>25</v>
      </c>
      <c r="AE10" s="10">
        <f t="shared" si="6"/>
        <v>27.84303610206473</v>
      </c>
      <c r="AF10" s="10">
        <f t="shared" si="7"/>
        <v>63.813035894642795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23.765954375098424</v>
      </c>
      <c r="G11" s="188">
        <f>AE3</f>
        <v>11.765954375098424</v>
      </c>
      <c r="H11" s="459"/>
      <c r="I11" s="459"/>
      <c r="J11" s="63">
        <f>G11-G10</f>
        <v>4.4121065403407798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4.5172824224829418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64.973571716956741</v>
      </c>
      <c r="AB11" s="10">
        <f t="shared" si="4"/>
        <v>64.973571716956741</v>
      </c>
      <c r="AD11" s="12">
        <f t="shared" si="5"/>
        <v>30</v>
      </c>
      <c r="AE11" s="10">
        <f t="shared" si="6"/>
        <v>29.003571924378676</v>
      </c>
      <c r="AF11" s="10">
        <f t="shared" si="7"/>
        <v>64.973571716956741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26.346871250384332</v>
      </c>
      <c r="G12" s="188">
        <f t="shared" ref="G12:G74" si="16">AE4</f>
        <v>14.346871250384332</v>
      </c>
      <c r="H12" s="459"/>
      <c r="I12" s="459"/>
      <c r="J12" s="63">
        <f t="shared" ref="J12:J47" si="17">G12-G11</f>
        <v>2.580916875285908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4.5172824224829418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65.954790773657493</v>
      </c>
      <c r="AB12" s="10">
        <f t="shared" si="4"/>
        <v>65.954790773657493</v>
      </c>
      <c r="AD12" s="12">
        <f t="shared" si="5"/>
        <v>35</v>
      </c>
      <c r="AE12" s="10">
        <f t="shared" si="6"/>
        <v>29.984790981079428</v>
      </c>
      <c r="AF12" s="10">
        <f t="shared" si="7"/>
        <v>65.954790773657493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28.178060915439211</v>
      </c>
      <c r="G13" s="188">
        <f t="shared" si="16"/>
        <v>16.178060915439211</v>
      </c>
      <c r="H13" s="459"/>
      <c r="I13" s="459"/>
      <c r="J13" s="63">
        <f t="shared" si="17"/>
        <v>1.8311896650548789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4.5172824224829418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66.804761382011606</v>
      </c>
      <c r="AB13" s="10">
        <f t="shared" si="4"/>
        <v>66.804761382011606</v>
      </c>
      <c r="AD13" s="12">
        <f t="shared" si="5"/>
        <v>40</v>
      </c>
      <c r="AE13" s="10">
        <f t="shared" si="6"/>
        <v>30.834761589433541</v>
      </c>
      <c r="AF13" s="10">
        <f t="shared" si="7"/>
        <v>66.804761382011606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29.598441968411187</v>
      </c>
      <c r="G14" s="188">
        <f t="shared" si="16"/>
        <v>17.598441968411187</v>
      </c>
      <c r="H14" s="459"/>
      <c r="I14" s="459"/>
      <c r="J14" s="63">
        <f t="shared" si="17"/>
        <v>1.420381052971976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4.5172824224829418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67.554488592242649</v>
      </c>
      <c r="AB14" s="10">
        <f t="shared" si="4"/>
        <v>67.554488592242649</v>
      </c>
      <c r="AD14" s="12">
        <f t="shared" si="5"/>
        <v>45</v>
      </c>
      <c r="AE14" s="10">
        <f t="shared" si="6"/>
        <v>31.584488799664584</v>
      </c>
      <c r="AF14" s="10">
        <f t="shared" si="7"/>
        <v>67.554488592242649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34.010548508751974</v>
      </c>
      <c r="G15" s="188">
        <f t="shared" si="16"/>
        <v>22.010548508751974</v>
      </c>
      <c r="H15" s="459"/>
      <c r="I15" s="459"/>
      <c r="J15" s="63">
        <f t="shared" si="17"/>
        <v>4.4121065403407869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4.5172824224829418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68.225142434983582</v>
      </c>
      <c r="AB15" s="10">
        <f t="shared" si="4"/>
        <v>68.225142434983582</v>
      </c>
      <c r="AD15" s="12">
        <f t="shared" si="5"/>
        <v>50</v>
      </c>
      <c r="AE15" s="10">
        <f t="shared" si="6"/>
        <v>32.255142642405517</v>
      </c>
      <c r="AF15" s="10">
        <f t="shared" si="7"/>
        <v>68.225142434983582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36.591465384037882</v>
      </c>
      <c r="G16" s="188">
        <f t="shared" si="16"/>
        <v>24.591465384037882</v>
      </c>
      <c r="H16" s="459"/>
      <c r="I16" s="459"/>
      <c r="J16" s="63">
        <f t="shared" si="17"/>
        <v>2.580916875285908</v>
      </c>
      <c r="K16" s="65"/>
      <c r="M16" s="66"/>
      <c r="N16" s="15"/>
      <c r="P16" s="13"/>
      <c r="U16" s="14">
        <f t="shared" si="9"/>
        <v>520</v>
      </c>
      <c r="V16" s="3">
        <f t="shared" si="10"/>
        <v>4.5172824224829418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68.831822631440573</v>
      </c>
      <c r="AB16" s="10">
        <f t="shared" si="4"/>
        <v>68.831822631440573</v>
      </c>
      <c r="AD16" s="12">
        <f t="shared" si="5"/>
        <v>55</v>
      </c>
      <c r="AE16" s="10">
        <f t="shared" si="6"/>
        <v>32.812742838862512</v>
      </c>
      <c r="AF16" s="10">
        <f t="shared" si="7"/>
        <v>68.831822631440573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38.422655049092754</v>
      </c>
      <c r="G17" s="188">
        <f t="shared" si="16"/>
        <v>26.422655049092754</v>
      </c>
      <c r="H17" s="459"/>
      <c r="I17" s="459"/>
      <c r="J17" s="63">
        <f t="shared" si="17"/>
        <v>1.8311896650548718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4.5172824224829418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69.385678257297513</v>
      </c>
      <c r="AB17" s="10">
        <f t="shared" si="4"/>
        <v>69.385678257297513</v>
      </c>
      <c r="AD17" s="12">
        <f t="shared" si="5"/>
        <v>60</v>
      </c>
      <c r="AE17" s="10">
        <f t="shared" ref="AE17:AE48" si="18">AB17-$O$3</f>
        <v>33.415678464719448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39.84303610206473</v>
      </c>
      <c r="G18" s="188">
        <f t="shared" si="16"/>
        <v>27.84303610206473</v>
      </c>
      <c r="H18" s="459"/>
      <c r="I18" s="459"/>
      <c r="J18" s="63">
        <f t="shared" si="17"/>
        <v>1.420381052971976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-2.95</v>
      </c>
      <c r="U18" s="14">
        <f t="shared" si="9"/>
        <v>520</v>
      </c>
      <c r="V18" s="3">
        <f t="shared" si="10"/>
        <v>4.5172824224829418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70.80605931026949</v>
      </c>
      <c r="AB18" s="10">
        <f t="shared" si="4"/>
        <v>70.80605931026949</v>
      </c>
      <c r="AD18" s="12">
        <f t="shared" si="5"/>
        <v>75</v>
      </c>
      <c r="AE18" s="10">
        <f t="shared" si="18"/>
        <v>34.836059517691425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41.003571924378676</v>
      </c>
      <c r="G19" s="188">
        <f t="shared" si="16"/>
        <v>29.003571924378676</v>
      </c>
      <c r="H19" s="459"/>
      <c r="I19" s="459"/>
      <c r="J19" s="63">
        <f t="shared" si="17"/>
        <v>1.1605358223139461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-7.73</v>
      </c>
      <c r="U19" s="14">
        <f t="shared" si="9"/>
        <v>520</v>
      </c>
      <c r="V19" s="3">
        <f t="shared" si="10"/>
        <v>4.5172824224829418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71.966595132583436</v>
      </c>
      <c r="AB19" s="10">
        <f t="shared" si="4"/>
        <v>71.966595132583436</v>
      </c>
      <c r="AD19" s="12">
        <f t="shared" si="5"/>
        <v>90</v>
      </c>
      <c r="AE19" s="10">
        <f t="shared" si="18"/>
        <v>35.996595340005371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41.984790981079428</v>
      </c>
      <c r="G20" s="188">
        <f t="shared" si="16"/>
        <v>29.984790981079428</v>
      </c>
      <c r="H20" s="459"/>
      <c r="I20" s="459"/>
      <c r="J20" s="63">
        <f t="shared" si="17"/>
        <v>0.98121905670075193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-13.25</v>
      </c>
      <c r="U20" s="14">
        <f t="shared" si="9"/>
        <v>520</v>
      </c>
      <c r="V20" s="3">
        <f t="shared" si="10"/>
        <v>4.5172824224829418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72.947814189284202</v>
      </c>
      <c r="AB20" s="10">
        <f t="shared" si="4"/>
        <v>72.947814189284202</v>
      </c>
      <c r="AD20" s="12">
        <f t="shared" si="5"/>
        <v>105</v>
      </c>
      <c r="AE20" s="10">
        <f t="shared" si="18"/>
        <v>36.977814396706137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42.834761589433541</v>
      </c>
      <c r="G21" s="188">
        <f t="shared" si="16"/>
        <v>30.834761589433541</v>
      </c>
      <c r="H21" s="459"/>
      <c r="I21" s="459"/>
      <c r="J21" s="63">
        <f t="shared" si="17"/>
        <v>0.84997060835411276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-19.190000000000001</v>
      </c>
      <c r="U21" s="14">
        <f t="shared" si="9"/>
        <v>520</v>
      </c>
      <c r="V21" s="3">
        <f t="shared" si="10"/>
        <v>4.5172824224829418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73.7977847976383</v>
      </c>
      <c r="AB21" s="10">
        <f t="shared" si="4"/>
        <v>73.7977847976383</v>
      </c>
      <c r="AD21" s="12">
        <f t="shared" si="5"/>
        <v>120</v>
      </c>
      <c r="AE21" s="10">
        <f t="shared" si="18"/>
        <v>37.827785005060235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43.584488799664584</v>
      </c>
      <c r="G22" s="188">
        <f t="shared" si="16"/>
        <v>31.584488799664584</v>
      </c>
      <c r="H22" s="459"/>
      <c r="I22" s="459"/>
      <c r="J22" s="63">
        <f t="shared" si="17"/>
        <v>0.74972721023104327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-51.56</v>
      </c>
      <c r="U22" s="14">
        <f t="shared" si="9"/>
        <v>520</v>
      </c>
      <c r="V22" s="3">
        <f t="shared" si="10"/>
        <v>4.5172824224829418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74.779003854339066</v>
      </c>
      <c r="AB22" s="10">
        <f t="shared" si="4"/>
        <v>74.779003854339066</v>
      </c>
      <c r="AD22" s="12">
        <f t="shared" si="5"/>
        <v>140</v>
      </c>
      <c r="AE22" s="10">
        <f t="shared" si="18"/>
        <v>38.809004061761001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44.255142642405517</v>
      </c>
      <c r="G23" s="188">
        <f t="shared" si="16"/>
        <v>32.255142642405517</v>
      </c>
      <c r="H23" s="459"/>
      <c r="I23" s="459"/>
      <c r="J23" s="63">
        <f t="shared" si="17"/>
        <v>0.67065384274093276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-85.77</v>
      </c>
      <c r="U23" s="14">
        <f t="shared" si="9"/>
        <v>520</v>
      </c>
      <c r="V23" s="3">
        <f t="shared" si="10"/>
        <v>4.5172824224829418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75.628974462693165</v>
      </c>
      <c r="AB23" s="10">
        <f t="shared" si="4"/>
        <v>75.628974462693165</v>
      </c>
      <c r="AD23" s="12">
        <f t="shared" si="5"/>
        <v>160</v>
      </c>
      <c r="AE23" s="10">
        <f t="shared" si="18"/>
        <v>39.6589746701151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44.812742838862512</v>
      </c>
      <c r="G24" s="188">
        <f t="shared" si="16"/>
        <v>32.812742838862512</v>
      </c>
      <c r="H24" s="459"/>
      <c r="I24" s="459"/>
      <c r="J24" s="63">
        <f t="shared" si="17"/>
        <v>0.55760019645699543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-120.72</v>
      </c>
      <c r="U24" s="14">
        <f t="shared" si="9"/>
        <v>520</v>
      </c>
      <c r="V24" s="3">
        <f t="shared" si="10"/>
        <v>4.5172824224829418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76.378701672924208</v>
      </c>
      <c r="AB24" s="10">
        <f t="shared" si="4"/>
        <v>76.378701672924208</v>
      </c>
      <c r="AD24" s="12">
        <f t="shared" si="5"/>
        <v>180</v>
      </c>
      <c r="AE24" s="10">
        <f t="shared" si="18"/>
        <v>40.408701880346143</v>
      </c>
    </row>
    <row r="25" spans="1:31" s="3" customFormat="1" ht="21" customHeight="1" x14ac:dyDescent="0.15">
      <c r="A25" s="54"/>
      <c r="B25" s="54"/>
      <c r="C25" s="55">
        <f>$C$10+D25/1440</f>
        <v>43836.458333333328</v>
      </c>
      <c r="D25" s="187">
        <v>60</v>
      </c>
      <c r="E25" s="256">
        <f t="shared" si="14"/>
        <v>4.1666666666666664E-2</v>
      </c>
      <c r="F25" s="188">
        <f t="shared" si="15"/>
        <v>45.415678464719448</v>
      </c>
      <c r="G25" s="188">
        <f t="shared" si="16"/>
        <v>33.415678464719448</v>
      </c>
      <c r="H25" s="459"/>
      <c r="I25" s="459"/>
      <c r="J25" s="63">
        <f t="shared" si="17"/>
        <v>0.6029356258569365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-156.09</v>
      </c>
      <c r="U25" s="14">
        <f t="shared" si="9"/>
        <v>520</v>
      </c>
      <c r="V25" s="3">
        <f t="shared" si="10"/>
        <v>4.5172824224829418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78.209891337979087</v>
      </c>
      <c r="AB25" s="10">
        <f t="shared" si="4"/>
        <v>78.209891337979087</v>
      </c>
      <c r="AD25" s="12">
        <f t="shared" si="5"/>
        <v>240</v>
      </c>
      <c r="AE25" s="10">
        <f t="shared" si="18"/>
        <v>42.239891545401022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46.836059517691425</v>
      </c>
      <c r="G26" s="188">
        <f t="shared" si="16"/>
        <v>34.836059517691425</v>
      </c>
      <c r="H26" s="459"/>
      <c r="I26" s="459"/>
      <c r="J26" s="63">
        <f t="shared" si="17"/>
        <v>1.420381052971976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-191.72</v>
      </c>
      <c r="U26" s="14">
        <f t="shared" si="9"/>
        <v>520</v>
      </c>
      <c r="V26" s="3">
        <f t="shared" si="10"/>
        <v>4.5172824224829418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79.630272390951063</v>
      </c>
      <c r="AB26" s="10">
        <f t="shared" si="4"/>
        <v>79.630272390951063</v>
      </c>
      <c r="AD26" s="12">
        <f t="shared" si="5"/>
        <v>300</v>
      </c>
      <c r="AE26" s="10">
        <f t="shared" si="18"/>
        <v>43.660272598372998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47.996595340005371</v>
      </c>
      <c r="G27" s="188">
        <f t="shared" si="16"/>
        <v>35.996595340005371</v>
      </c>
      <c r="H27" s="459"/>
      <c r="I27" s="459"/>
      <c r="J27" s="63">
        <f t="shared" si="17"/>
        <v>1.1605358223139461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-227.52</v>
      </c>
      <c r="U27" s="14">
        <f t="shared" si="9"/>
        <v>520</v>
      </c>
      <c r="V27" s="3">
        <f t="shared" si="10"/>
        <v>4.5172824224829418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80.790808213264981</v>
      </c>
      <c r="AB27" s="10">
        <f t="shared" si="4"/>
        <v>80.790808213264981</v>
      </c>
      <c r="AD27" s="12">
        <f t="shared" si="5"/>
        <v>360</v>
      </c>
      <c r="AE27" s="10">
        <f t="shared" si="18"/>
        <v>44.820808420686916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48.977814396706137</v>
      </c>
      <c r="G28" s="188">
        <f t="shared" si="16"/>
        <v>36.977814396706137</v>
      </c>
      <c r="H28" s="459"/>
      <c r="I28" s="459"/>
      <c r="J28" s="63">
        <f t="shared" si="17"/>
        <v>0.98121905670076615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-263.45999999999998</v>
      </c>
      <c r="U28" s="14">
        <f t="shared" si="9"/>
        <v>520</v>
      </c>
      <c r="V28" s="3">
        <f t="shared" si="10"/>
        <v>4.5172824224829418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81.772027269965761</v>
      </c>
      <c r="AB28" s="10">
        <f t="shared" si="4"/>
        <v>81.772027269965761</v>
      </c>
      <c r="AD28" s="12">
        <f t="shared" si="5"/>
        <v>420</v>
      </c>
      <c r="AE28" s="10">
        <f t="shared" si="18"/>
        <v>45.802027477387696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49.827785005060235</v>
      </c>
      <c r="G29" s="188">
        <f t="shared" si="16"/>
        <v>37.827785005060235</v>
      </c>
      <c r="H29" s="459"/>
      <c r="I29" s="459"/>
      <c r="J29" s="63">
        <f t="shared" si="17"/>
        <v>0.84997060835409854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-299.5</v>
      </c>
      <c r="U29" s="14">
        <f t="shared" si="9"/>
        <v>520</v>
      </c>
      <c r="V29" s="3">
        <f t="shared" si="10"/>
        <v>4.5172824224829418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82.62199787831986</v>
      </c>
      <c r="AB29" s="10">
        <f t="shared" si="4"/>
        <v>82.62199787831986</v>
      </c>
      <c r="AD29" s="12">
        <f t="shared" si="5"/>
        <v>480</v>
      </c>
      <c r="AE29" s="10">
        <f t="shared" si="18"/>
        <v>46.651998085741795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50.809004061761001</v>
      </c>
      <c r="G30" s="188">
        <f t="shared" si="16"/>
        <v>38.809004061761001</v>
      </c>
      <c r="H30" s="459"/>
      <c r="I30" s="459"/>
      <c r="J30" s="63">
        <f t="shared" si="17"/>
        <v>0.98121905670076615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-335.61</v>
      </c>
      <c r="U30" s="14">
        <f t="shared" si="9"/>
        <v>520</v>
      </c>
      <c r="V30" s="3">
        <f t="shared" si="10"/>
        <v>4.5172824224829418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83.371725088550903</v>
      </c>
      <c r="AB30" s="10">
        <f t="shared" si="4"/>
        <v>83.371725088550903</v>
      </c>
      <c r="AD30" s="12">
        <f t="shared" si="5"/>
        <v>540</v>
      </c>
      <c r="AE30" s="10">
        <f t="shared" si="18"/>
        <v>47.401725295972838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51.6589746701151</v>
      </c>
      <c r="G31" s="188">
        <f t="shared" si="16"/>
        <v>39.6589746701151</v>
      </c>
      <c r="H31" s="459"/>
      <c r="I31" s="459"/>
      <c r="J31" s="63">
        <f t="shared" si="17"/>
        <v>0.84997060835409854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-371.84</v>
      </c>
      <c r="U31" s="14">
        <f t="shared" si="9"/>
        <v>520</v>
      </c>
      <c r="V31" s="3">
        <f t="shared" si="10"/>
        <v>4.5172824224829418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84.04237893129185</v>
      </c>
      <c r="AB31" s="10">
        <f t="shared" si="4"/>
        <v>84.04237893129185</v>
      </c>
      <c r="AD31" s="12">
        <f t="shared" si="5"/>
        <v>600</v>
      </c>
      <c r="AE31" s="10">
        <f t="shared" si="18"/>
        <v>48.072379138713785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52.408701880346143</v>
      </c>
      <c r="G32" s="188">
        <f t="shared" si="16"/>
        <v>40.408701880346143</v>
      </c>
      <c r="H32" s="459"/>
      <c r="I32" s="459"/>
      <c r="J32" s="63">
        <f t="shared" si="17"/>
        <v>0.74972721023104327</v>
      </c>
      <c r="K32" s="65" t="s">
        <v>18</v>
      </c>
      <c r="N32" s="67"/>
      <c r="U32" s="14">
        <f t="shared" si="9"/>
        <v>520</v>
      </c>
      <c r="V32" s="3">
        <f t="shared" si="10"/>
        <v>4.5172824224829418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84.649059127748828</v>
      </c>
      <c r="AB32" s="10">
        <f t="shared" si="4"/>
        <v>84.649059127748828</v>
      </c>
      <c r="AD32" s="12">
        <f t="shared" si="5"/>
        <v>660</v>
      </c>
      <c r="AE32" s="10">
        <f t="shared" si="18"/>
        <v>48.679059335170763</v>
      </c>
    </row>
    <row r="33" spans="1:31" s="3" customFormat="1" ht="21" customHeight="1" x14ac:dyDescent="0.15">
      <c r="A33" s="54"/>
      <c r="B33" s="54"/>
      <c r="C33" s="55">
        <f>$C$10+D33/1440</f>
        <v>43836.583333333328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54.239891545401022</v>
      </c>
      <c r="G33" s="188">
        <f t="shared" si="16"/>
        <v>42.239891545401022</v>
      </c>
      <c r="H33" s="459"/>
      <c r="I33" s="459"/>
      <c r="J33" s="63">
        <f t="shared" si="17"/>
        <v>1.8311896650548789</v>
      </c>
      <c r="K33" s="9" t="s">
        <v>18</v>
      </c>
      <c r="N33" s="67"/>
      <c r="U33" s="14">
        <f t="shared" si="9"/>
        <v>520</v>
      </c>
      <c r="V33" s="3">
        <f t="shared" si="10"/>
        <v>4.5172824224829418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85.202914753605768</v>
      </c>
      <c r="AB33" s="10">
        <f t="shared" si="4"/>
        <v>85.202914753605768</v>
      </c>
      <c r="AD33" s="12">
        <f t="shared" si="5"/>
        <v>720</v>
      </c>
      <c r="AE33" s="10">
        <f t="shared" si="18"/>
        <v>49.232914961027703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55.660272598372998</v>
      </c>
      <c r="G34" s="188">
        <f t="shared" si="16"/>
        <v>43.660272598372998</v>
      </c>
      <c r="H34" s="459"/>
      <c r="I34" s="459"/>
      <c r="J34" s="63">
        <f t="shared" si="17"/>
        <v>1.420381052971976</v>
      </c>
      <c r="K34" s="9" t="s">
        <v>18</v>
      </c>
      <c r="O34" s="67"/>
      <c r="U34" s="14">
        <f t="shared" si="9"/>
        <v>520</v>
      </c>
      <c r="V34" s="3">
        <f t="shared" si="10"/>
        <v>4.5172824224829418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85.712412539844621</v>
      </c>
      <c r="AB34" s="10">
        <f t="shared" si="4"/>
        <v>85.712412539844621</v>
      </c>
      <c r="AD34" s="12">
        <f t="shared" si="5"/>
        <v>780</v>
      </c>
      <c r="AE34" s="10">
        <f t="shared" si="18"/>
        <v>49.742412747266556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56.820808420686916</v>
      </c>
      <c r="G35" s="188">
        <f t="shared" si="16"/>
        <v>44.820808420686916</v>
      </c>
      <c r="H35" s="459"/>
      <c r="I35" s="459"/>
      <c r="J35" s="63">
        <f t="shared" si="17"/>
        <v>1.1605358223139177</v>
      </c>
      <c r="K35" s="9" t="s">
        <v>18</v>
      </c>
      <c r="N35" s="67"/>
      <c r="U35" s="14">
        <f t="shared" si="9"/>
        <v>520</v>
      </c>
      <c r="V35" s="3">
        <f t="shared" si="10"/>
        <v>4.5172824224829418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86.184133810306548</v>
      </c>
      <c r="AB35" s="10">
        <f t="shared" si="4"/>
        <v>86.184133810306548</v>
      </c>
      <c r="AD35" s="12">
        <f t="shared" si="5"/>
        <v>840</v>
      </c>
      <c r="AE35" s="10">
        <f t="shared" si="18"/>
        <v>50.214134017728483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57.802027477387696</v>
      </c>
      <c r="G36" s="188">
        <f t="shared" si="16"/>
        <v>45.802027477387696</v>
      </c>
      <c r="H36" s="459"/>
      <c r="I36" s="459"/>
      <c r="J36" s="63">
        <f t="shared" si="17"/>
        <v>0.98121905670078036</v>
      </c>
      <c r="K36" s="9" t="s">
        <v>18</v>
      </c>
      <c r="U36" s="14">
        <f t="shared" si="9"/>
        <v>520</v>
      </c>
      <c r="V36" s="3">
        <f t="shared" si="10"/>
        <v>4.5172824224829418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86.623295806577758</v>
      </c>
      <c r="AB36" s="10">
        <f t="shared" si="4"/>
        <v>86.623295806577758</v>
      </c>
      <c r="AD36" s="12">
        <f t="shared" si="5"/>
        <v>900</v>
      </c>
      <c r="AE36" s="10">
        <f t="shared" si="18"/>
        <v>50.653296013999693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58.651998085741795</v>
      </c>
      <c r="G37" s="188">
        <f t="shared" si="16"/>
        <v>46.651998085741795</v>
      </c>
      <c r="H37" s="459"/>
      <c r="I37" s="459"/>
      <c r="J37" s="63">
        <f t="shared" si="17"/>
        <v>0.84997060835409854</v>
      </c>
      <c r="K37" s="9" t="s">
        <v>18</v>
      </c>
      <c r="U37" s="14">
        <f t="shared" si="9"/>
        <v>520</v>
      </c>
      <c r="V37" s="3">
        <f t="shared" si="10"/>
        <v>4.5172824224829418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87.034104418660633</v>
      </c>
      <c r="AB37" s="10">
        <f t="shared" si="4"/>
        <v>87.034104418660633</v>
      </c>
      <c r="AC37" s="3">
        <v>37</v>
      </c>
      <c r="AD37" s="12">
        <f t="shared" si="5"/>
        <v>960</v>
      </c>
      <c r="AE37" s="10">
        <f t="shared" si="18"/>
        <v>51.064104626082568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59.401725295972838</v>
      </c>
      <c r="G38" s="188">
        <f t="shared" si="16"/>
        <v>47.401725295972838</v>
      </c>
      <c r="H38" s="459"/>
      <c r="I38" s="459"/>
      <c r="J38" s="63">
        <f t="shared" si="17"/>
        <v>0.74972721023104327</v>
      </c>
      <c r="K38" s="9" t="s">
        <v>18</v>
      </c>
      <c r="U38" s="14">
        <f t="shared" si="9"/>
        <v>520</v>
      </c>
      <c r="V38" s="3">
        <f t="shared" si="10"/>
        <v>4.5172824224829418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87.419999792578068</v>
      </c>
      <c r="AB38" s="10">
        <f t="shared" si="4"/>
        <v>87.419999792578068</v>
      </c>
      <c r="AC38" s="29" t="s">
        <v>28</v>
      </c>
      <c r="AD38" s="12">
        <f t="shared" si="5"/>
        <v>1020</v>
      </c>
      <c r="AE38" s="10">
        <f t="shared" si="18"/>
        <v>51.45</v>
      </c>
    </row>
    <row r="39" spans="1:31" s="3" customFormat="1" ht="21" customHeight="1" x14ac:dyDescent="0.15">
      <c r="A39" s="54"/>
      <c r="B39" s="54"/>
      <c r="C39" s="55">
        <f>$C$10+D39/1440</f>
        <v>43836.833333333328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60.072379138713785</v>
      </c>
      <c r="G39" s="188">
        <f t="shared" si="16"/>
        <v>48.072379138713785</v>
      </c>
      <c r="H39" s="459"/>
      <c r="I39" s="459"/>
      <c r="J39" s="63">
        <f t="shared" si="17"/>
        <v>0.67065384274094697</v>
      </c>
      <c r="K39" s="9" t="s">
        <v>18</v>
      </c>
      <c r="U39" s="14">
        <f t="shared" si="9"/>
        <v>520</v>
      </c>
      <c r="V39" s="3">
        <f t="shared" si="10"/>
        <v>4.5172824224829418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87.419999792578068</v>
      </c>
      <c r="AB39" s="394">
        <f t="shared" ref="AB39:AB44" si="28">AB38</f>
        <v>87.419999792578068</v>
      </c>
      <c r="AC39" s="395">
        <v>39</v>
      </c>
      <c r="AD39" s="12">
        <f t="shared" si="5"/>
        <v>1080</v>
      </c>
      <c r="AE39" s="10">
        <f t="shared" si="18"/>
        <v>51.45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60.679059335170763</v>
      </c>
      <c r="G40" s="188">
        <f t="shared" si="16"/>
        <v>48.679059335170763</v>
      </c>
      <c r="H40" s="459"/>
      <c r="I40" s="459"/>
      <c r="J40" s="63">
        <f t="shared" si="17"/>
        <v>0.60668019645697768</v>
      </c>
      <c r="K40" s="9" t="s">
        <v>18</v>
      </c>
      <c r="U40" s="14">
        <f t="shared" si="9"/>
        <v>520</v>
      </c>
      <c r="V40" s="3">
        <f t="shared" si="10"/>
        <v>4.5172824224829418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87.419999792578068</v>
      </c>
      <c r="AB40" s="394">
        <f t="shared" si="28"/>
        <v>87.419999792578068</v>
      </c>
      <c r="AC40" s="395">
        <v>40</v>
      </c>
      <c r="AD40" s="12">
        <f t="shared" si="5"/>
        <v>1140</v>
      </c>
      <c r="AE40" s="10">
        <f t="shared" si="18"/>
        <v>51.45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61.232914961027703</v>
      </c>
      <c r="G41" s="188">
        <f t="shared" si="16"/>
        <v>49.232914961027703</v>
      </c>
      <c r="H41" s="459"/>
      <c r="I41" s="459"/>
      <c r="J41" s="63">
        <f t="shared" si="17"/>
        <v>0.55385562585694004</v>
      </c>
      <c r="K41" s="9" t="s">
        <v>18</v>
      </c>
      <c r="U41" s="391">
        <f t="shared" si="9"/>
        <v>520</v>
      </c>
      <c r="V41" s="390">
        <f t="shared" si="10"/>
        <v>4.5172824224829418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87.419999792578068</v>
      </c>
      <c r="AB41" s="394">
        <f t="shared" si="28"/>
        <v>87.419999792578068</v>
      </c>
      <c r="AC41" s="396">
        <v>41</v>
      </c>
      <c r="AD41" s="12">
        <f t="shared" si="5"/>
        <v>1200</v>
      </c>
      <c r="AE41" s="10">
        <f t="shared" si="18"/>
        <v>51.45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61.742412747266556</v>
      </c>
      <c r="G42" s="188">
        <f t="shared" si="16"/>
        <v>49.742412747266556</v>
      </c>
      <c r="H42" s="459"/>
      <c r="I42" s="459"/>
      <c r="J42" s="63">
        <f t="shared" si="17"/>
        <v>0.50949778623885322</v>
      </c>
      <c r="K42" s="9" t="s">
        <v>18</v>
      </c>
      <c r="U42" s="14">
        <f t="shared" si="9"/>
        <v>520</v>
      </c>
      <c r="V42" s="3">
        <f t="shared" si="10"/>
        <v>4.5172824224829418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9">D50</f>
        <v>1260</v>
      </c>
      <c r="AA42" s="263">
        <f t="shared" si="27"/>
        <v>87.419999792578068</v>
      </c>
      <c r="AB42" s="394">
        <f t="shared" si="28"/>
        <v>87.419999792578068</v>
      </c>
      <c r="AC42" s="395">
        <v>42</v>
      </c>
      <c r="AD42" s="12">
        <f t="shared" si="5"/>
        <v>1260</v>
      </c>
      <c r="AE42" s="10">
        <f t="shared" si="18"/>
        <v>51.45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30">D43/1440</f>
        <v>0.58333333333333337</v>
      </c>
      <c r="F43" s="188">
        <f t="shared" si="15"/>
        <v>62.214134017728483</v>
      </c>
      <c r="G43" s="188">
        <f t="shared" si="16"/>
        <v>50.214134017728483</v>
      </c>
      <c r="H43" s="459">
        <v>43837</v>
      </c>
      <c r="I43" s="459"/>
      <c r="J43" s="63">
        <f t="shared" si="17"/>
        <v>0.47172127046192713</v>
      </c>
      <c r="K43" s="9" t="s">
        <v>18</v>
      </c>
      <c r="U43" s="391">
        <f t="shared" si="9"/>
        <v>520</v>
      </c>
      <c r="V43" s="390">
        <f t="shared" si="10"/>
        <v>4.5172824224829418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9"/>
        <v>1320</v>
      </c>
      <c r="AA43" s="393">
        <f t="shared" si="27"/>
        <v>87.419999792578068</v>
      </c>
      <c r="AB43" s="394">
        <f t="shared" si="28"/>
        <v>87.419999792578068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30"/>
        <v>0.625</v>
      </c>
      <c r="F44" s="188">
        <f t="shared" si="15"/>
        <v>62.653296013999693</v>
      </c>
      <c r="G44" s="188">
        <f t="shared" si="16"/>
        <v>50.653296013999693</v>
      </c>
      <c r="H44" s="459"/>
      <c r="I44" s="459"/>
      <c r="J44" s="63">
        <f t="shared" si="17"/>
        <v>0.43916199627120989</v>
      </c>
      <c r="K44" s="9" t="s">
        <v>18</v>
      </c>
      <c r="U44" s="14">
        <f t="shared" si="9"/>
        <v>520</v>
      </c>
      <c r="V44" s="3">
        <f t="shared" si="10"/>
        <v>4.5172824224829418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9"/>
        <v>1380</v>
      </c>
      <c r="AA44" s="263">
        <f t="shared" si="27"/>
        <v>87.419999792578068</v>
      </c>
      <c r="AB44" s="394">
        <f t="shared" si="28"/>
        <v>87.419999792578068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43837.083333333328</v>
      </c>
      <c r="D45" s="187">
        <f t="shared" si="26"/>
        <v>960</v>
      </c>
      <c r="E45" s="256">
        <f t="shared" si="30"/>
        <v>0.66666666666666663</v>
      </c>
      <c r="F45" s="188">
        <f t="shared" si="15"/>
        <v>63.064104626082568</v>
      </c>
      <c r="G45" s="188">
        <f t="shared" si="16"/>
        <v>51.064104626082568</v>
      </c>
      <c r="H45" s="459"/>
      <c r="I45" s="459"/>
      <c r="J45" s="63">
        <f t="shared" si="17"/>
        <v>0.41080861208287445</v>
      </c>
      <c r="K45" s="9" t="s">
        <v>18</v>
      </c>
      <c r="U45" s="391">
        <f t="shared" si="9"/>
        <v>520</v>
      </c>
      <c r="V45" s="390">
        <f t="shared" si="10"/>
        <v>4.5172824224829418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9"/>
        <v>1440</v>
      </c>
      <c r="AA45" s="393">
        <f t="shared" si="27"/>
        <v>87.419999792578068</v>
      </c>
      <c r="AB45" s="394">
        <f t="shared" ref="AB45:AB47" si="31">AB44</f>
        <v>87.419999792578068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30"/>
        <v>0.70833333333333337</v>
      </c>
      <c r="F46" s="188">
        <f t="shared" si="15"/>
        <v>63.45</v>
      </c>
      <c r="G46" s="188">
        <f t="shared" si="16"/>
        <v>51.45</v>
      </c>
      <c r="H46" s="459"/>
      <c r="I46" s="459"/>
      <c r="J46" s="63">
        <f t="shared" si="17"/>
        <v>0.38589537391743534</v>
      </c>
      <c r="K46" s="9" t="s">
        <v>18</v>
      </c>
      <c r="U46" s="14">
        <f t="shared" si="9"/>
        <v>520</v>
      </c>
      <c r="V46" s="3">
        <f t="shared" si="10"/>
        <v>4.5172824224829418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9"/>
        <v>1500</v>
      </c>
      <c r="AA46" s="345">
        <f t="shared" si="27"/>
        <v>87.419999792578068</v>
      </c>
      <c r="AB46" s="10">
        <f t="shared" si="31"/>
        <v>87.419999792578068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30"/>
        <v>0.75</v>
      </c>
      <c r="F47" s="188">
        <f t="shared" si="15"/>
        <v>63.45</v>
      </c>
      <c r="G47" s="188">
        <f t="shared" si="16"/>
        <v>51.45</v>
      </c>
      <c r="H47" s="459"/>
      <c r="I47" s="459"/>
      <c r="J47" s="63">
        <f t="shared" si="17"/>
        <v>0</v>
      </c>
      <c r="K47" s="9" t="s">
        <v>18</v>
      </c>
      <c r="U47" s="14">
        <f t="shared" si="9"/>
        <v>520</v>
      </c>
      <c r="V47" s="3">
        <f t="shared" si="10"/>
        <v>4.5172824224829418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9"/>
        <v>1560</v>
      </c>
      <c r="AA47" s="263">
        <f t="shared" si="27"/>
        <v>87.419999792578068</v>
      </c>
      <c r="AB47" s="10">
        <f t="shared" si="31"/>
        <v>87.419999792578068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30"/>
        <v>0.79166666666666663</v>
      </c>
      <c r="F48" s="188">
        <f t="shared" si="15"/>
        <v>63.45</v>
      </c>
      <c r="G48" s="188">
        <f t="shared" si="16"/>
        <v>51.45</v>
      </c>
      <c r="H48" s="459"/>
      <c r="I48" s="459"/>
      <c r="J48" s="3" t="s">
        <v>18</v>
      </c>
      <c r="K48" s="9" t="s">
        <v>18</v>
      </c>
      <c r="U48" s="14">
        <f t="shared" si="9"/>
        <v>520</v>
      </c>
      <c r="V48" s="3">
        <f t="shared" si="10"/>
        <v>4.5172824224829418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9"/>
        <v>1620</v>
      </c>
      <c r="AA48" s="263">
        <f t="shared" si="27"/>
        <v>87.419999792578068</v>
      </c>
      <c r="AB48" s="10">
        <f t="shared" ref="AB48:AB52" si="33">AB47</f>
        <v>87.419999792578068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30"/>
        <v>0.83333333333333337</v>
      </c>
      <c r="F49" s="188">
        <f t="shared" si="15"/>
        <v>63.45</v>
      </c>
      <c r="G49" s="188">
        <f t="shared" si="16"/>
        <v>51.45</v>
      </c>
      <c r="H49" s="459"/>
      <c r="I49" s="459"/>
      <c r="J49" s="3" t="s">
        <v>18</v>
      </c>
      <c r="K49" s="9" t="s">
        <v>18</v>
      </c>
      <c r="U49" s="14">
        <f t="shared" si="9"/>
        <v>520</v>
      </c>
      <c r="V49" s="3">
        <f t="shared" si="10"/>
        <v>4.5172824224829418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9"/>
        <v>1680</v>
      </c>
      <c r="AA49" s="263">
        <f t="shared" si="27"/>
        <v>87.419999792578068</v>
      </c>
      <c r="AB49" s="10">
        <f t="shared" si="33"/>
        <v>87.419999792578068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30"/>
        <v>0.875</v>
      </c>
      <c r="F50" s="188">
        <f t="shared" si="15"/>
        <v>63.45</v>
      </c>
      <c r="G50" s="188">
        <f t="shared" si="16"/>
        <v>51.45</v>
      </c>
      <c r="H50" s="459"/>
      <c r="I50" s="459"/>
      <c r="J50" s="3" t="s">
        <v>18</v>
      </c>
      <c r="K50" s="9" t="s">
        <v>18</v>
      </c>
      <c r="U50" s="14">
        <f t="shared" si="9"/>
        <v>520</v>
      </c>
      <c r="V50" s="3">
        <f t="shared" si="10"/>
        <v>4.5172824224829418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9"/>
        <v>1740</v>
      </c>
      <c r="AA50" s="263">
        <f t="shared" si="27"/>
        <v>87.419999792578068</v>
      </c>
      <c r="AB50" s="10">
        <f t="shared" si="33"/>
        <v>87.419999792578068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43837.333333333328</v>
      </c>
      <c r="D51" s="187">
        <f t="shared" si="32"/>
        <v>1320</v>
      </c>
      <c r="E51" s="256">
        <f t="shared" si="30"/>
        <v>0.91666666666666663</v>
      </c>
      <c r="F51" s="188">
        <f t="shared" si="15"/>
        <v>63.45</v>
      </c>
      <c r="G51" s="188">
        <f t="shared" si="16"/>
        <v>51.45</v>
      </c>
      <c r="H51" s="459"/>
      <c r="I51" s="459"/>
      <c r="J51" s="3" t="s">
        <v>18</v>
      </c>
      <c r="K51" s="9" t="s">
        <v>18</v>
      </c>
      <c r="U51" s="14">
        <f t="shared" si="9"/>
        <v>520</v>
      </c>
      <c r="V51" s="3">
        <f t="shared" si="10"/>
        <v>4.5172824224829418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9"/>
        <v>1800</v>
      </c>
      <c r="AA51" s="263">
        <f t="shared" si="27"/>
        <v>87.419999792578068</v>
      </c>
      <c r="AB51" s="10">
        <f t="shared" si="33"/>
        <v>87.419999792578068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30"/>
        <v>0.95833333333333337</v>
      </c>
      <c r="F52" s="188">
        <f t="shared" si="15"/>
        <v>63.45</v>
      </c>
      <c r="G52" s="188">
        <f t="shared" si="16"/>
        <v>51.45</v>
      </c>
      <c r="H52" s="459"/>
      <c r="I52" s="459"/>
      <c r="J52" s="3" t="s">
        <v>18</v>
      </c>
      <c r="K52" s="9" t="s">
        <v>18</v>
      </c>
      <c r="U52" s="14">
        <f t="shared" si="9"/>
        <v>520</v>
      </c>
      <c r="V52" s="3">
        <f t="shared" si="10"/>
        <v>4.5172824224829418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9"/>
        <v>1860</v>
      </c>
      <c r="AA52" s="263">
        <f t="shared" si="27"/>
        <v>87.419999792578068</v>
      </c>
      <c r="AB52" s="10">
        <f t="shared" si="33"/>
        <v>87.419999792578068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30"/>
        <v>1</v>
      </c>
      <c r="F53" s="188">
        <f t="shared" si="15"/>
        <v>63.45</v>
      </c>
      <c r="G53" s="188">
        <f t="shared" si="16"/>
        <v>51.45</v>
      </c>
      <c r="H53" s="459"/>
      <c r="I53" s="459"/>
      <c r="J53" s="3" t="s">
        <v>18</v>
      </c>
      <c r="K53" s="9" t="s">
        <v>18</v>
      </c>
      <c r="U53" s="14">
        <f t="shared" si="9"/>
        <v>520</v>
      </c>
      <c r="V53" s="3">
        <f t="shared" si="10"/>
        <v>4.5172824224829418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9"/>
        <v>1920</v>
      </c>
      <c r="AA53" s="263">
        <f t="shared" si="27"/>
        <v>87.419999792578068</v>
      </c>
      <c r="AB53" s="10">
        <f t="shared" ref="AB53:AB69" si="35">AB52</f>
        <v>87.419999792578068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30"/>
        <v>1.0416666666666667</v>
      </c>
      <c r="F54" s="188">
        <f t="shared" si="15"/>
        <v>63.45</v>
      </c>
      <c r="G54" s="188">
        <f t="shared" si="16"/>
        <v>51.45</v>
      </c>
      <c r="H54" s="459"/>
      <c r="I54" s="459"/>
      <c r="J54" s="3" t="s">
        <v>18</v>
      </c>
      <c r="K54" s="9" t="s">
        <v>18</v>
      </c>
      <c r="U54" s="14">
        <f t="shared" si="9"/>
        <v>520</v>
      </c>
      <c r="V54" s="3">
        <f t="shared" si="10"/>
        <v>4.5172824224829418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9"/>
        <v>1980</v>
      </c>
      <c r="AA54" s="263">
        <f t="shared" si="27"/>
        <v>87.419999792578068</v>
      </c>
      <c r="AB54" s="10">
        <f t="shared" si="35"/>
        <v>87.419999792578068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30"/>
        <v>1.0833333333333333</v>
      </c>
      <c r="F55" s="188">
        <f t="shared" si="15"/>
        <v>63.45</v>
      </c>
      <c r="G55" s="188">
        <f t="shared" si="16"/>
        <v>51.45</v>
      </c>
      <c r="H55" s="459"/>
      <c r="I55" s="459"/>
      <c r="J55" s="3" t="s">
        <v>18</v>
      </c>
      <c r="K55" s="9" t="s">
        <v>18</v>
      </c>
      <c r="U55" s="14">
        <f t="shared" si="9"/>
        <v>520</v>
      </c>
      <c r="V55" s="3">
        <f t="shared" si="10"/>
        <v>4.5172824224829418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9"/>
        <v>2040</v>
      </c>
      <c r="AA55" s="263">
        <f t="shared" si="27"/>
        <v>87.419999792578068</v>
      </c>
      <c r="AB55" s="10">
        <f t="shared" si="35"/>
        <v>87.419999792578068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43837.541666666664</v>
      </c>
      <c r="D56" s="187">
        <f t="shared" si="32"/>
        <v>1620</v>
      </c>
      <c r="E56" s="256">
        <f t="shared" si="30"/>
        <v>1.125</v>
      </c>
      <c r="F56" s="188">
        <f t="shared" si="15"/>
        <v>63.45</v>
      </c>
      <c r="G56" s="188">
        <f t="shared" si="16"/>
        <v>51.45</v>
      </c>
      <c r="H56" s="459"/>
      <c r="I56" s="459"/>
      <c r="J56" s="3" t="s">
        <v>18</v>
      </c>
      <c r="K56" s="9" t="s">
        <v>18</v>
      </c>
      <c r="U56" s="14">
        <f t="shared" si="9"/>
        <v>520</v>
      </c>
      <c r="V56" s="3">
        <f t="shared" si="10"/>
        <v>4.5172824224829418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9"/>
        <v>2100</v>
      </c>
      <c r="AA56" s="263">
        <f t="shared" si="27"/>
        <v>87.419999792578068</v>
      </c>
      <c r="AB56" s="10">
        <f t="shared" si="35"/>
        <v>87.419999792578068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30"/>
        <v>1.1666666666666667</v>
      </c>
      <c r="F57" s="188">
        <f t="shared" si="15"/>
        <v>63.45</v>
      </c>
      <c r="G57" s="188">
        <f t="shared" si="16"/>
        <v>51.45</v>
      </c>
      <c r="H57" s="459"/>
      <c r="I57" s="459"/>
      <c r="J57" s="3" t="s">
        <v>18</v>
      </c>
      <c r="K57" s="9" t="s">
        <v>18</v>
      </c>
      <c r="U57" s="14">
        <f t="shared" si="9"/>
        <v>520</v>
      </c>
      <c r="V57" s="3">
        <f t="shared" si="10"/>
        <v>4.5172824224829418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9"/>
        <v>2160</v>
      </c>
      <c r="AA57" s="263">
        <f t="shared" si="27"/>
        <v>87.419999792578068</v>
      </c>
      <c r="AB57" s="10">
        <f t="shared" si="35"/>
        <v>87.419999792578068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30"/>
        <v>1.2083333333333333</v>
      </c>
      <c r="F58" s="188">
        <f t="shared" si="15"/>
        <v>63.45</v>
      </c>
      <c r="G58" s="188">
        <f t="shared" si="16"/>
        <v>51.45</v>
      </c>
      <c r="H58" s="459"/>
      <c r="I58" s="459"/>
      <c r="J58" s="3" t="s">
        <v>18</v>
      </c>
      <c r="K58" s="9" t="s">
        <v>18</v>
      </c>
      <c r="U58" s="14">
        <f t="shared" si="9"/>
        <v>520</v>
      </c>
      <c r="V58" s="3">
        <f t="shared" si="10"/>
        <v>4.5172824224829418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9"/>
        <v>2220</v>
      </c>
      <c r="AA58" s="263">
        <f t="shared" si="27"/>
        <v>87.419999792578068</v>
      </c>
      <c r="AB58" s="10">
        <f t="shared" si="35"/>
        <v>87.419999792578068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9"/>
      <c r="I59" s="459"/>
      <c r="J59" s="3" t="s">
        <v>18</v>
      </c>
      <c r="K59" s="9" t="s">
        <v>18</v>
      </c>
      <c r="U59" s="14">
        <f t="shared" si="9"/>
        <v>520</v>
      </c>
      <c r="V59" s="3">
        <f t="shared" si="10"/>
        <v>4.5172824224829418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9"/>
        <v>2280</v>
      </c>
      <c r="AA59" s="263">
        <f t="shared" si="27"/>
        <v>87.419999792578068</v>
      </c>
      <c r="AB59" s="10">
        <f t="shared" si="35"/>
        <v>87.419999792578068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9"/>
      <c r="I60" s="459"/>
      <c r="J60" s="3" t="s">
        <v>18</v>
      </c>
      <c r="K60" s="9" t="s">
        <v>18</v>
      </c>
      <c r="U60" s="14">
        <f t="shared" si="9"/>
        <v>520</v>
      </c>
      <c r="V60" s="3">
        <f t="shared" si="10"/>
        <v>4.5172824224829418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9"/>
        <v>2340</v>
      </c>
      <c r="AA60" s="263">
        <f t="shared" si="27"/>
        <v>87.419999792578068</v>
      </c>
      <c r="AB60" s="10">
        <f t="shared" si="35"/>
        <v>87.419999792578068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9"/>
      <c r="I61" s="459"/>
      <c r="J61" s="3" t="s">
        <v>18</v>
      </c>
      <c r="K61" s="9" t="s">
        <v>18</v>
      </c>
      <c r="U61" s="14">
        <f t="shared" si="9"/>
        <v>520</v>
      </c>
      <c r="V61" s="3">
        <f t="shared" si="10"/>
        <v>4.5172824224829418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9"/>
        <v>2400</v>
      </c>
      <c r="AA61" s="263">
        <f t="shared" si="27"/>
        <v>87.419999792578068</v>
      </c>
      <c r="AB61" s="10">
        <f t="shared" si="35"/>
        <v>87.419999792578068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9"/>
      <c r="I62" s="459"/>
      <c r="J62" s="3" t="s">
        <v>18</v>
      </c>
      <c r="K62" s="9" t="s">
        <v>18</v>
      </c>
      <c r="U62" s="14">
        <f t="shared" si="9"/>
        <v>520</v>
      </c>
      <c r="V62" s="3">
        <f t="shared" si="10"/>
        <v>4.5172824224829418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9"/>
        <v>2460</v>
      </c>
      <c r="AA62" s="263">
        <f t="shared" si="27"/>
        <v>87.419999792578068</v>
      </c>
      <c r="AB62" s="10">
        <f t="shared" si="35"/>
        <v>87.419999792578068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9"/>
      <c r="I63" s="459"/>
      <c r="J63" s="3" t="s">
        <v>18</v>
      </c>
      <c r="K63" s="9" t="s">
        <v>18</v>
      </c>
      <c r="U63" s="14">
        <f t="shared" si="9"/>
        <v>520</v>
      </c>
      <c r="V63" s="3">
        <f t="shared" si="10"/>
        <v>4.5172824224829418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9"/>
        <v>2520</v>
      </c>
      <c r="AA63" s="263">
        <f t="shared" si="27"/>
        <v>87.419999792578068</v>
      </c>
      <c r="AB63" s="10">
        <f t="shared" si="35"/>
        <v>87.419999792578068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9"/>
      <c r="I64" s="459"/>
      <c r="J64" s="3" t="s">
        <v>18</v>
      </c>
      <c r="K64" s="9" t="s">
        <v>18</v>
      </c>
      <c r="U64" s="14">
        <f t="shared" si="9"/>
        <v>520</v>
      </c>
      <c r="V64" s="3">
        <f t="shared" si="10"/>
        <v>4.5172824224829418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9"/>
        <v>2580</v>
      </c>
      <c r="AA64" s="263">
        <f t="shared" si="27"/>
        <v>87.419999792578068</v>
      </c>
      <c r="AB64" s="10">
        <f t="shared" si="35"/>
        <v>87.419999792578068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9"/>
      <c r="I65" s="459"/>
      <c r="J65" s="3" t="s">
        <v>18</v>
      </c>
      <c r="K65" s="9" t="s">
        <v>18</v>
      </c>
      <c r="U65" s="14">
        <f t="shared" si="9"/>
        <v>520</v>
      </c>
      <c r="V65" s="3">
        <f t="shared" si="10"/>
        <v>4.5172824224829418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9"/>
        <v>2640</v>
      </c>
      <c r="AA65" s="263">
        <f t="shared" si="27"/>
        <v>87.419999792578068</v>
      </c>
      <c r="AB65" s="10">
        <f t="shared" si="35"/>
        <v>87.419999792578068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43837.958333333328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9"/>
      <c r="I66" s="459"/>
      <c r="J66" s="3" t="s">
        <v>18</v>
      </c>
      <c r="K66" s="9" t="s">
        <v>18</v>
      </c>
      <c r="U66" s="14">
        <f t="shared" si="9"/>
        <v>520</v>
      </c>
      <c r="V66" s="3">
        <f t="shared" si="10"/>
        <v>4.5172824224829418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9"/>
        <v>2700</v>
      </c>
      <c r="AA66" s="263">
        <f>AB66+AC$2</f>
        <v>87.419999792578068</v>
      </c>
      <c r="AB66" s="10">
        <f t="shared" si="35"/>
        <v>87.419999792578068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9">
        <v>43838</v>
      </c>
      <c r="I67" s="459"/>
      <c r="J67" s="3" t="s">
        <v>18</v>
      </c>
      <c r="K67" s="9" t="s">
        <v>18</v>
      </c>
      <c r="U67" s="14">
        <f t="shared" si="9"/>
        <v>520</v>
      </c>
      <c r="V67" s="3">
        <f t="shared" si="10"/>
        <v>4.5172824224829418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9"/>
        <v>2760</v>
      </c>
      <c r="AA67" s="263">
        <f>AB67+AC$2</f>
        <v>87.419999792578068</v>
      </c>
      <c r="AB67" s="10">
        <f t="shared" si="35"/>
        <v>87.419999792578068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9"/>
      <c r="I68" s="459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4.5172824224829418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9"/>
        <v>2820</v>
      </c>
      <c r="AA68" s="263">
        <f>AB68+AC$2</f>
        <v>87.419999792578068</v>
      </c>
      <c r="AB68" s="10">
        <f t="shared" si="35"/>
        <v>87.419999792578068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9"/>
      <c r="I69" s="459"/>
      <c r="J69" s="3" t="s">
        <v>18</v>
      </c>
      <c r="K69" s="9" t="s">
        <v>18</v>
      </c>
      <c r="U69" s="14">
        <f>U68</f>
        <v>520</v>
      </c>
      <c r="V69" s="3">
        <f t="shared" si="40"/>
        <v>4.5172824224829418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9"/>
        <v>2880</v>
      </c>
      <c r="AA69" s="263">
        <f>AB69+AC$2</f>
        <v>87.419999792578068</v>
      </c>
      <c r="AB69" s="10">
        <f t="shared" si="35"/>
        <v>87.419999792578068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9"/>
      <c r="I70" s="459"/>
      <c r="J70" s="3" t="s">
        <v>18</v>
      </c>
      <c r="K70" s="9" t="s">
        <v>18</v>
      </c>
      <c r="U70" s="14"/>
      <c r="V70" s="3">
        <f t="shared" si="40"/>
        <v>4.5172824224829418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9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43838.166666666664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9"/>
      <c r="I71" s="459"/>
      <c r="J71" s="3" t="s">
        <v>18</v>
      </c>
      <c r="K71" s="9" t="s">
        <v>18</v>
      </c>
      <c r="U71" s="14"/>
      <c r="V71" s="3">
        <f t="shared" si="40"/>
        <v>4.5172824224829418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9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9"/>
      <c r="I72" s="459"/>
      <c r="J72" s="3" t="s">
        <v>18</v>
      </c>
      <c r="K72" s="9" t="s">
        <v>18</v>
      </c>
      <c r="U72" s="14"/>
      <c r="V72" s="3">
        <f t="shared" si="40"/>
        <v>4.5172824224829418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9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9"/>
      <c r="I73" s="459"/>
      <c r="J73" s="3" t="s">
        <v>18</v>
      </c>
      <c r="K73" s="9" t="s">
        <v>18</v>
      </c>
      <c r="U73" s="14"/>
      <c r="V73" s="3">
        <f t="shared" si="40"/>
        <v>4.5172824224829418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9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9"/>
      <c r="I74" s="459"/>
      <c r="J74" s="3" t="s">
        <v>18</v>
      </c>
      <c r="K74" s="9" t="s">
        <v>18</v>
      </c>
      <c r="U74" s="14"/>
      <c r="V74" s="3">
        <f t="shared" si="40"/>
        <v>4.5172824224829418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9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9"/>
      <c r="I75" s="459"/>
      <c r="J75" s="3" t="s">
        <v>18</v>
      </c>
      <c r="K75" s="9" t="s">
        <v>18</v>
      </c>
      <c r="U75" s="14"/>
      <c r="V75" s="3">
        <f t="shared" si="40"/>
        <v>4.5172824224829418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9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9"/>
      <c r="I76" s="459"/>
      <c r="J76" s="3" t="s">
        <v>18</v>
      </c>
      <c r="K76" s="9" t="s">
        <v>18</v>
      </c>
      <c r="U76" s="14"/>
      <c r="V76" s="3">
        <f t="shared" si="40"/>
        <v>4.5172824224829418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9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43838.416666666664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9" t="s">
        <v>13</v>
      </c>
      <c r="I77" s="459" t="s">
        <v>13</v>
      </c>
      <c r="J77" s="3" t="s">
        <v>18</v>
      </c>
      <c r="K77" s="9" t="s">
        <v>18</v>
      </c>
      <c r="U77" s="14"/>
      <c r="V77" s="3">
        <f t="shared" si="40"/>
        <v>4.5172824224829418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9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43838.417361111111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9" t="s">
        <v>254</v>
      </c>
      <c r="I78" s="459"/>
      <c r="J78" s="3" t="s">
        <v>18</v>
      </c>
      <c r="K78" s="9"/>
      <c r="U78" s="14"/>
      <c r="V78" s="3">
        <f t="shared" si="40"/>
        <v>4.5172824224829418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9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9"/>
      <c r="I79" s="459"/>
      <c r="J79" s="3" t="s">
        <v>18</v>
      </c>
      <c r="K79" s="9" t="s">
        <v>18</v>
      </c>
      <c r="U79" s="14"/>
      <c r="V79" s="3">
        <f t="shared" si="40"/>
        <v>4.5172824224829418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9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9"/>
      <c r="I80" s="459"/>
      <c r="J80" s="3" t="s">
        <v>18</v>
      </c>
      <c r="K80" s="9" t="s">
        <v>18</v>
      </c>
      <c r="U80" s="14"/>
      <c r="V80" s="3">
        <f t="shared" si="40"/>
        <v>4.5172824224829418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9"/>
      <c r="I81" s="459"/>
      <c r="J81" s="3" t="s">
        <v>18</v>
      </c>
      <c r="K81" s="9" t="s">
        <v>18</v>
      </c>
      <c r="U81" s="14"/>
      <c r="V81" s="3">
        <f t="shared" si="40"/>
        <v>4.5172824224829418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9"/>
      <c r="I82" s="459"/>
      <c r="J82" s="3" t="s">
        <v>18</v>
      </c>
      <c r="K82" s="9" t="s">
        <v>18</v>
      </c>
      <c r="U82" s="14"/>
      <c r="V82" s="3">
        <f t="shared" si="40"/>
        <v>4.5172824224829418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9"/>
      <c r="I83" s="459"/>
      <c r="J83" s="3" t="s">
        <v>18</v>
      </c>
      <c r="K83" s="9" t="s">
        <v>18</v>
      </c>
      <c r="U83" s="14"/>
      <c r="V83" s="3">
        <f t="shared" si="40"/>
        <v>4.5172824224829418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9"/>
      <c r="I84" s="459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9"/>
      <c r="I85" s="459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9"/>
      <c r="I86" s="459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9"/>
      <c r="I87" s="459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9"/>
      <c r="I88" s="459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9"/>
      <c r="I89" s="459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9"/>
      <c r="I90" s="459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9"/>
      <c r="I91" s="459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9"/>
      <c r="I92" s="459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43838.458333333328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9"/>
      <c r="I93" s="459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9"/>
      <c r="I94" s="459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9"/>
      <c r="I95" s="459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9"/>
      <c r="I96" s="459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9"/>
      <c r="I97" s="459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9"/>
      <c r="I98" s="459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43838.583333333328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9"/>
      <c r="I99" s="459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9"/>
      <c r="I100" s="459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43838.666666666664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9"/>
      <c r="I101" s="459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r:id="rId15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2.5054301761923048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7.3538478347576444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11.765954375098424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14.346871250384332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16.178060915439211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17.598441968411187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22.010548508751974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24.591465384037882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26.422655049092754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27.84303610206473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29.003571924378676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29.984790981079428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30.834761589433541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31.584488799664584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32.255142642405517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32.812742838862512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33.415678464719448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34.836059517691425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35.996595340005371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36.977814396706137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37.827785005060235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38.809004061761001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39.6589746701151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40.408701880346143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42.239891545401022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43.660272598372998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44.820808420686916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45.802027477387696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46.651998085741795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47.401725295972838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48.072379138713785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48.679059335170763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49.232914961027703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49.742412747266556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50.214134017728483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50.653296013999693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51.064104626082568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51.45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51.45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51.45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51.45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51.45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2.5054301761923048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2020-01-29T04:02:19Z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