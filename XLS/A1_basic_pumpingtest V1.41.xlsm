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4_ihanseol - 2019\17_한밭수목원 - 동해엔지니어링\01_Base Data\"/>
    </mc:Choice>
  </mc:AlternateContent>
  <xr:revisionPtr revIDLastSave="0" documentId="13_ncr:1_{A462A811-1CA6-4561-ADD4-45C901163A24}" xr6:coauthVersionLast="45" xr6:coauthVersionMax="45" xr10:uidLastSave="{00000000-0000-0000-0000-000000000000}"/>
  <bookViews>
    <workbookView xWindow="-120" yWindow="-120" windowWidth="29040" windowHeight="15840" tabRatio="569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Select" sheetId="20" r:id="rId10"/>
    <sheet name="JanggiSelect" sheetId="21" r:id="rId11"/>
    <sheet name="Recover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3" i="3" s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<sst xmlns="http://schemas.openxmlformats.org/spreadsheetml/2006/main" count="1098" uniqueCount="258">
  <si>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</si>
  <si>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</si>
  <si>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</si>
  <si>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</si>
  <si>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</si>
  <si>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</si>
  <si>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</si>
  <si>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</si>
  <si>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</si>
  <si>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</si>
  <si>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</si>
  <si>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</si>
  <si>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</si>
  <si>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</si>
  <si>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</si>
  <si>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</si>
  <si>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</si>
  <si>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</si>
  <si>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</si>
  <si>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</si>
  <si>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</si>
  <si>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</si>
  <si>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</si>
  <si>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</si>
  <si>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</si>
  <si>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</si>
  <si>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</si>
  <si>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</si>
  <si>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</si>
  <si>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</si>
  <si>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</si>
  <si>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</si>
  <si>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</si>
  <si>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</si>
  <si>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</si>
  <si>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</si>
  <si>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</si>
  <si>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</si>
  <si>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</si>
  <si>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</si>
  <si>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</si>
  <si>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</si>
  <si>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</si>
  <si>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</si>
  <si>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</si>
  <si>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</si>
  <si>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</si>
  <si>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</si>
  <si>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</si>
  <si>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</si>
  <si>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</si>
  <si>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</si>
  <si>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</si>
  <si>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</si>
  <si>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</si>
  <si>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</si>
  <si>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</si>
  <si>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</si>
  <si>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</si>
  <si>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</si>
  <si>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</si>
  <si>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</si>
  <si>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</si>
  <si>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</si>
  <si>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</si>
  <si>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</si>
  <si>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</si>
  <si>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</si>
  <si>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</si>
  <si>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</si>
  <si>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</si>
  <si>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</si>
  <si>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</si>
  <si>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</si>
  <si>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</si>
  <si>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</si>
  <si>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</si>
  <si>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</si>
  <si>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</si>
  <si>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</si>
  <si>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</si>
  <si>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</si>
  <si>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</si>
  <si>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</si>
  <si>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</si>
  <si>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</si>
  <si>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</si>
  <si>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</si>
  <si>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</si>
  <si>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</si>
  <si>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</si>
  <si>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</si>
  <si>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</si>
  <si>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</si>
  <si>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</si>
  <si>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</si>
  <si>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</si>
  <si>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</si>
  <si>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</si>
  <si>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</si>
  <si>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</si>
  <si>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</si>
  <si>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</si>
  <si>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</si>
  <si>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</si>
  <si>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</si>
  <si>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</si>
  <si>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</si>
  <si>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</si>
  <si>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</si>
  <si>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</si>
  <si>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</si>
  <si>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</si>
  <si>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</si>
  <si>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</si>
  <si>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</si>
  <si>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</si>
  <si>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</si>
  <si>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</si>
  <si>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</si>
  <si>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</si>
  <si>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</si>
  <si>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</si>
  <si>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</si>
  <si>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</si>
  <si>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</si>
  <si>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</si>
  <si>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</si>
  <si>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</si>
  <si>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</si>
  <si>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</si>
  <si>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</si>
  <si>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</si>
  <si>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</si>
  <si>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</si>
  <si>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</si>
  <si>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</si>
  <si>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</si>
  <si>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</si>
  <si>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</si>
  <si>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</si>
  <si>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</si>
  <si>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</si>
  <si>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</si>
  <si>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</si>
  <si>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</si>
  <si>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</si>
  <si>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</si>
  <si>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</si>
  <si>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</si>
  <si>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</si>
  <si>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</si>
  <si>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</si>
  <si>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</si>
  <si>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</si>
  <si>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</si>
  <si>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</si>
  <si>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</si>
  <si>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</si>
  <si>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</si>
  <si>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</si>
  <si>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</si>
  <si>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</si>
  <si>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</si>
  <si>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</si>
  <si>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</si>
  <si>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</si>
  <si>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</si>
  <si>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</si>
  <si>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</si>
  <si>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</si>
  <si>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</si>
  <si>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</si>
  <si>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</si>
  <si>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</si>
  <si>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</si>
  <si>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</si>
  <si>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</si>
  <si>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</si>
  <si>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</si>
  <si>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</si>
  <si>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</si>
  <si>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</si>
  <si>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</si>
  <si>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</si>
  <si>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</si>
  <si>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</si>
  <si>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</si>
  <si>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</si>
  <si>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</si>
  <si>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</si>
  <si>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</si>
  <si>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</si>
  <si>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</si>
  <si>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</si>
  <si>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</si>
  <si>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</si>
  <si>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</si>
  <si>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</si>
  <si>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</si>
  <si>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</si>
  <si>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</si>
  <si>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</si>
  <si>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</si>
  <si>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</si>
  <si>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</si>
  <si>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</si>
  <si>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</si>
  <si>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</si>
  <si>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</si>
  <si>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</si>
  <si>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</si>
  <si>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</si>
  <si>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</si>
  <si>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</si>
  <si>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</si>
  <si>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</si>
  <si>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</si>
  <si>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</si>
  <si>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</si>
  <si>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</si>
  <si>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</si>
  <si>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</si>
  <si>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</si>
  <si>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</si>
  <si>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</si>
  <si>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</si>
  <si>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</si>
  <si>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</si>
  <si>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</si>
  <si>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</si>
  <si>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</si>
  <si>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</si>
  <si>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</si>
  <si>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</si>
  <si>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</si>
  <si>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</si>
  <si>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</si>
  <si>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</si>
  <si>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</si>
  <si>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</si>
  <si>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</si>
  <si>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</si>
  <si>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</si>
  <si>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</si>
  <si>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</si>
  <si>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</si>
  <si>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</si>
  <si>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</si>
  <si>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</si>
  <si>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</si>
  <si>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</si>
  <si>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</si>
  <si>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</si>
  <si>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</si>
  <si>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공  번 : W - 2</t>
  </si>
  <si>
    <t>W-2</t>
    <phoneticPr fontId="5" type="noConversion"/>
  </si>
  <si>
    <t>안정수위=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</si>
</sst>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&quot;초기S:&quot;0.0000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97" fontId="1" fillId="0" borderId="0" applyFont="0" applyFill="0" applyBorder="0" applyAlignment="0" applyProtection="0"/>
    <xf numFmtId="206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09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vertical="center"/>
    </xf>
    <xf numFmtId="183" fontId="2" fillId="0" borderId="0" xfId="0" applyNumberFormat="1" applyFont="1" applyAlignment="1">
      <alignment vertical="center"/>
    </xf>
    <xf numFmtId="183" fontId="0" fillId="0" borderId="0" xfId="0" applyNumberFormat="1"/>
    <xf numFmtId="18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2" fontId="2" fillId="0" borderId="0" xfId="0" applyNumberFormat="1" applyFont="1" applyAlignment="1">
      <alignment vertical="center"/>
    </xf>
    <xf numFmtId="18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2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7" fontId="6" fillId="0" borderId="0" xfId="0" applyNumberFormat="1" applyFont="1"/>
    <xf numFmtId="0" fontId="6" fillId="0" borderId="0" xfId="0" applyFont="1" applyAlignment="1">
      <alignment horizontal="center"/>
    </xf>
    <xf numFmtId="176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1" fontId="2" fillId="0" borderId="0" xfId="0" applyNumberFormat="1" applyFont="1" applyAlignment="1">
      <alignment horizontal="center" vertical="center"/>
    </xf>
    <xf numFmtId="191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6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5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3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8" fontId="2" fillId="0" borderId="0" xfId="0" applyNumberFormat="1" applyFont="1" applyAlignment="1">
      <alignment vertical="center"/>
    </xf>
    <xf numFmtId="191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8" fontId="2" fillId="0" borderId="0" xfId="0" applyNumberFormat="1" applyFont="1" applyAlignment="1">
      <alignment horizontal="right"/>
    </xf>
    <xf numFmtId="201" fontId="2" fillId="0" borderId="0" xfId="0" applyNumberFormat="1" applyFont="1" applyAlignment="1">
      <alignment vertical="center"/>
    </xf>
    <xf numFmtId="202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3" fontId="0" fillId="0" borderId="0" xfId="0" applyNumberFormat="1" applyAlignment="1">
      <alignment horizontal="left"/>
    </xf>
    <xf numFmtId="177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7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7" fontId="0" fillId="0" borderId="0" xfId="0" applyNumberFormat="1"/>
    <xf numFmtId="193" fontId="2" fillId="2" borderId="0" xfId="0" applyNumberFormat="1" applyFont="1" applyFill="1" applyAlignment="1">
      <alignment vertical="center"/>
    </xf>
    <xf numFmtId="193" fontId="2" fillId="0" borderId="0" xfId="0" applyNumberFormat="1" applyFont="1"/>
    <xf numFmtId="193" fontId="2" fillId="2" borderId="0" xfId="0" applyNumberFormat="1" applyFont="1" applyFill="1"/>
    <xf numFmtId="193" fontId="2" fillId="0" borderId="0" xfId="0" applyNumberFormat="1" applyFont="1" applyAlignment="1">
      <alignment horizontal="center" vertical="center"/>
    </xf>
    <xf numFmtId="193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41" fontId="7" fillId="0" borderId="8" xfId="9" applyFont="1" applyBorder="1"/>
    <xf numFmtId="41" fontId="7" fillId="0" borderId="9" xfId="9" applyFont="1" applyBorder="1"/>
    <xf numFmtId="0" fontId="7" fillId="0" borderId="7" xfId="0" applyFont="1" applyBorder="1" applyAlignment="1">
      <alignment horizontal="right"/>
    </xf>
    <xf numFmtId="41" fontId="7" fillId="0" borderId="8" xfId="0" applyNumberFormat="1" applyFont="1" applyBorder="1"/>
    <xf numFmtId="205" fontId="7" fillId="0" borderId="8" xfId="0" applyNumberFormat="1" applyFont="1" applyBorder="1"/>
    <xf numFmtId="41" fontId="7" fillId="0" borderId="9" xfId="0" applyNumberFormat="1" applyFont="1" applyBorder="1"/>
    <xf numFmtId="0" fontId="7" fillId="2" borderId="10" xfId="0" applyFont="1" applyFill="1" applyBorder="1"/>
    <xf numFmtId="41" fontId="7" fillId="0" borderId="11" xfId="0" applyNumberFormat="1" applyFont="1" applyBorder="1"/>
    <xf numFmtId="206" fontId="7" fillId="0" borderId="11" xfId="0" applyNumberFormat="1" applyFont="1" applyBorder="1"/>
    <xf numFmtId="41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6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6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6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6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6" fontId="7" fillId="12" borderId="22" xfId="14" applyNumberFormat="1" applyFont="1" applyFill="1" applyBorder="1"/>
    <xf numFmtId="176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6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3" fontId="14" fillId="0" borderId="0" xfId="0" applyNumberFormat="1" applyFont="1" applyAlignment="1">
      <alignment horizontal="right"/>
    </xf>
    <xf numFmtId="187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8" fontId="2" fillId="0" borderId="4" xfId="0" applyNumberFormat="1" applyFont="1" applyBorder="1" applyAlignment="1">
      <alignment horizontal="right" vertical="center"/>
    </xf>
    <xf numFmtId="191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6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4" fontId="20" fillId="0" borderId="3" xfId="0" applyNumberFormat="1" applyFont="1" applyBorder="1" applyAlignment="1">
      <alignment horizontal="center" vertical="center"/>
    </xf>
    <xf numFmtId="178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5" fontId="20" fillId="0" borderId="3" xfId="0" applyNumberFormat="1" applyFont="1" applyBorder="1" applyAlignment="1">
      <alignment horizontal="center" vertical="center"/>
    </xf>
    <xf numFmtId="180" fontId="20" fillId="0" borderId="4" xfId="0" applyNumberFormat="1" applyFont="1" applyBorder="1" applyAlignment="1">
      <alignment horizontal="center" vertical="center"/>
    </xf>
    <xf numFmtId="180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5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3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3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6" fontId="23" fillId="0" borderId="2" xfId="0" applyNumberFormat="1" applyFont="1" applyBorder="1" applyAlignment="1">
      <alignment horizontal="centerContinuous" vertical="center"/>
    </xf>
    <xf numFmtId="183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3" fontId="23" fillId="0" borderId="36" xfId="0" applyNumberFormat="1" applyFont="1" applyBorder="1" applyAlignment="1">
      <alignment horizontal="centerContinuous"/>
    </xf>
    <xf numFmtId="185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89" fontId="22" fillId="0" borderId="3" xfId="0" applyNumberFormat="1" applyFont="1" applyBorder="1" applyAlignment="1">
      <alignment horizontal="center" vertical="center"/>
    </xf>
    <xf numFmtId="193" fontId="6" fillId="3" borderId="3" xfId="0" applyNumberFormat="1" applyFont="1" applyFill="1" applyBorder="1" applyAlignment="1">
      <alignment horizontal="right"/>
    </xf>
    <xf numFmtId="189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8" fontId="7" fillId="0" borderId="3" xfId="0" applyNumberFormat="1" applyFont="1" applyBorder="1" applyAlignment="1">
      <alignment horizontal="right"/>
    </xf>
    <xf numFmtId="176" fontId="7" fillId="2" borderId="3" xfId="0" applyNumberFormat="1" applyFont="1" applyFill="1" applyBorder="1"/>
    <xf numFmtId="190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2" fillId="16" borderId="3" xfId="0" applyNumberFormat="1" applyFont="1" applyFill="1" applyBorder="1" applyAlignment="1">
      <alignment horizontal="center" vertical="center"/>
    </xf>
    <xf numFmtId="182" fontId="28" fillId="0" borderId="0" xfId="0" applyNumberFormat="1" applyFont="1" applyAlignment="1">
      <alignment vertical="center"/>
    </xf>
    <xf numFmtId="194" fontId="0" fillId="0" borderId="0" xfId="0" applyNumberFormat="1" applyAlignment="1">
      <alignment horizontal="left"/>
    </xf>
    <xf numFmtId="191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79" fontId="20" fillId="0" borderId="3" xfId="0" applyNumberFormat="1" applyFont="1" applyBorder="1" applyAlignment="1">
      <alignment horizontal="right" vertical="center"/>
    </xf>
    <xf numFmtId="177" fontId="6" fillId="3" borderId="0" xfId="0" applyNumberFormat="1" applyFont="1" applyFill="1"/>
    <xf numFmtId="0" fontId="29" fillId="2" borderId="0" xfId="0" applyFont="1" applyFill="1"/>
    <xf numFmtId="208" fontId="7" fillId="0" borderId="3" xfId="0" applyNumberFormat="1" applyFont="1" applyBorder="1"/>
    <xf numFmtId="211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7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3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6" fontId="31" fillId="0" borderId="0" xfId="0" applyNumberFormat="1" applyFont="1"/>
    <xf numFmtId="187" fontId="2" fillId="17" borderId="0" xfId="0" applyNumberFormat="1" applyFont="1" applyFill="1" applyAlignment="1">
      <alignment vertical="center"/>
    </xf>
    <xf numFmtId="207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1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3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1" fontId="2" fillId="20" borderId="3" xfId="0" applyNumberFormat="1" applyFont="1" applyFill="1" applyBorder="1" applyAlignment="1">
      <alignment vertical="center"/>
    </xf>
    <xf numFmtId="188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4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3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0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3" fontId="35" fillId="4" borderId="54" xfId="15" applyNumberFormat="1" applyFont="1" applyFill="1" applyBorder="1">
      <alignment vertical="center"/>
    </xf>
    <xf numFmtId="216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3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8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2" fontId="42" fillId="23" borderId="0" xfId="16" applyNumberFormat="1">
      <alignment vertical="center"/>
    </xf>
    <xf numFmtId="187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4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4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3" fontId="37" fillId="0" borderId="63" xfId="15" applyNumberFormat="1" applyFont="1" applyBorder="1" applyAlignment="1">
      <alignment horizontal="center" vertical="center"/>
    </xf>
    <xf numFmtId="177" fontId="7" fillId="0" borderId="0" xfId="0" applyNumberFormat="1" applyFont="1"/>
    <xf numFmtId="204" fontId="0" fillId="0" borderId="0" xfId="0" applyNumberFormat="1"/>
    <xf numFmtId="0" fontId="44" fillId="0" borderId="0" xfId="0" applyFont="1" applyAlignment="1">
      <alignment horizontal="center" vertical="center" readingOrder="1"/>
    </xf>
    <xf numFmtId="194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1" fontId="37" fillId="0" borderId="0" xfId="15" applyNumberFormat="1" applyFont="1">
      <alignment vertical="center"/>
    </xf>
    <xf numFmtId="208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6" fontId="37" fillId="0" borderId="0" xfId="15" applyNumberFormat="1" applyFont="1">
      <alignment vertical="center"/>
    </xf>
    <xf numFmtId="203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4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2" fontId="35" fillId="2" borderId="3" xfId="0" applyNumberFormat="1" applyFont="1" applyFill="1" applyBorder="1"/>
    <xf numFmtId="183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3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7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2" fontId="2" fillId="20" borderId="0" xfId="0" applyNumberFormat="1" applyFont="1" applyFill="1" applyAlignment="1">
      <alignment vertical="center"/>
    </xf>
    <xf numFmtId="187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7" fontId="2" fillId="17" borderId="0" xfId="0" applyNumberFormat="1" applyFont="1" applyFill="1" applyAlignment="1">
      <alignment vertical="center"/>
    </xf>
    <xf numFmtId="177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4" fontId="58" fillId="27" borderId="0" xfId="0" applyNumberFormat="1" applyFont="1" applyFill="1" applyBorder="1" applyAlignment="1">
      <alignment horizontal="right" vertical="center"/>
    </xf>
    <xf numFmtId="194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3" fontId="37" fillId="22" borderId="43" xfId="15" applyNumberFormat="1" applyFont="1" applyFill="1" applyBorder="1" applyAlignment="1">
      <alignment horizontal="center" vertical="center"/>
    </xf>
    <xf numFmtId="193" fontId="37" fillId="22" borderId="45" xfId="15" applyNumberFormat="1" applyFont="1" applyFill="1" applyBorder="1">
      <alignment vertical="center"/>
    </xf>
    <xf numFmtId="215" fontId="37" fillId="22" borderId="54" xfId="15" applyNumberFormat="1" applyFont="1" applyFill="1" applyBorder="1">
      <alignment vertical="center"/>
    </xf>
    <xf numFmtId="215" fontId="37" fillId="22" borderId="57" xfId="15" applyNumberFormat="1" applyFont="1" applyFill="1" applyBorder="1">
      <alignment vertic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0" fontId="6" fillId="2" borderId="4" xfId="0" applyNumberFormat="1" applyFont="1" applyFill="1" applyBorder="1" applyAlignment="1">
      <alignment horizontal="center"/>
    </xf>
    <xf numFmtId="210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4" fontId="6" fillId="3" borderId="3" xfId="0" applyNumberFormat="1" applyFont="1" applyFill="1" applyBorder="1" applyAlignment="1">
      <alignment horizontal="center"/>
    </xf>
    <xf numFmtId="204" fontId="6" fillId="0" borderId="37" xfId="0" applyNumberFormat="1" applyFont="1" applyBorder="1" applyAlignment="1">
      <alignment horizontal="center" vertical="center"/>
    </xf>
    <xf numFmtId="204" fontId="6" fillId="0" borderId="5" xfId="0" applyNumberFormat="1" applyFont="1" applyBorder="1" applyAlignment="1">
      <alignment horizontal="center" vertical="center"/>
    </xf>
    <xf numFmtId="204" fontId="6" fillId="0" borderId="30" xfId="0" applyNumberFormat="1" applyFont="1" applyBorder="1" applyAlignment="1">
      <alignment horizontal="center" vertical="center"/>
    </xf>
    <xf numFmtId="204" fontId="6" fillId="0" borderId="14" xfId="0" applyNumberFormat="1" applyFont="1" applyBorder="1" applyAlignment="1">
      <alignment horizontal="center" vertical="center"/>
    </xf>
    <xf numFmtId="193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6" fontId="46" fillId="2" borderId="3" xfId="0" applyNumberFormat="1" applyFont="1" applyFill="1" applyBorder="1" applyAlignment="1">
      <alignment horizontal="center" vertical="center"/>
    </xf>
    <xf numFmtId="183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6" fontId="49" fillId="4" borderId="4" xfId="0" applyNumberFormat="1" applyFont="1" applyFill="1" applyBorder="1" applyAlignment="1">
      <alignment horizontal="right" vertical="center"/>
    </xf>
    <xf numFmtId="186" fontId="49" fillId="4" borderId="2" xfId="0" applyNumberFormat="1" applyFont="1" applyFill="1" applyBorder="1" applyAlignment="1">
      <alignment horizontal="right" vertical="center"/>
    </xf>
    <xf numFmtId="186" fontId="49" fillId="4" borderId="36" xfId="0" applyNumberFormat="1" applyFont="1" applyFill="1" applyBorder="1" applyAlignment="1">
      <alignment horizontal="right" vertical="center"/>
    </xf>
    <xf numFmtId="180" fontId="22" fillId="0" borderId="4" xfId="0" applyNumberFormat="1" applyFont="1" applyBorder="1" applyAlignment="1">
      <alignment horizontal="center" vertical="center"/>
    </xf>
    <xf numFmtId="180" fontId="22" fillId="0" borderId="2" xfId="0" applyNumberFormat="1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99" fontId="22" fillId="0" borderId="4" xfId="0" applyNumberFormat="1" applyFont="1" applyBorder="1" applyAlignment="1">
      <alignment horizontal="center" vertical="center"/>
    </xf>
    <xf numFmtId="199" fontId="22" fillId="0" borderId="2" xfId="0" applyNumberFormat="1" applyFont="1" applyBorder="1" applyAlignment="1">
      <alignment horizontal="center" vertical="center"/>
    </xf>
    <xf numFmtId="199" fontId="22" fillId="0" borderId="36" xfId="0" applyNumberFormat="1" applyFont="1" applyBorder="1" applyAlignment="1">
      <alignment horizontal="center" vertical="center"/>
    </xf>
    <xf numFmtId="178" fontId="22" fillId="0" borderId="3" xfId="0" applyNumberFormat="1" applyFont="1" applyBorder="1" applyAlignment="1">
      <alignment horizontal="center" vertical="center"/>
    </xf>
    <xf numFmtId="189" fontId="22" fillId="0" borderId="3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0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19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212" fontId="2" fillId="0" borderId="3" xfId="0" applyNumberFormat="1" applyFont="1" applyBorder="1" applyAlignment="1">
      <alignment horizontal="left" vertical="center"/>
    </xf>
    <xf numFmtId="212" fontId="2" fillId="0" borderId="4" xfId="0" applyNumberFormat="1" applyFont="1" applyBorder="1" applyAlignment="1">
      <alignment horizontal="left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양수량(Q)(W-1)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6.4652378575377464E-2"/>
                  <c:y val="-0.218254879712088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양수량(㎥/day)(W-1)</a:t>
                </a: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41613.861805555556</c:v>
                </c:pt>
                <c:pt idx="23">
                  <c:v>41614.027777777774</c:v>
                </c:pt>
                <c:pt idx="47">
                  <c:v>41615.027777777774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79"/>
  <sheetViews>
    <sheetView tabSelected="1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16" t="s">
        <v>124</v>
      </c>
      <c r="F8" s="416"/>
      <c r="G8" s="416"/>
    </row>
    <row r="9" spans="1:19" x14ac:dyDescent="0.15">
      <c r="A9" s="280" t="s">
        <v>194</v>
      </c>
      <c r="B9" s="280" t="s">
        <v>195</v>
      </c>
      <c r="E9" s="92">
        <v>1</v>
      </c>
      <c r="F9" s="417" t="s">
        <v>114</v>
      </c>
      <c r="G9" s="417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17" t="s">
        <v>115</v>
      </c>
      <c r="G10" s="417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17" t="s">
        <v>116</v>
      </c>
      <c r="G11" s="417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17" t="s">
        <v>117</v>
      </c>
      <c r="G12" s="417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16" t="s">
        <v>123</v>
      </c>
      <c r="F13" s="416"/>
      <c r="G13" s="416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17" t="s">
        <v>114</v>
      </c>
      <c r="G14" s="417"/>
    </row>
    <row r="15" spans="1:19" x14ac:dyDescent="0.15">
      <c r="E15" s="93">
        <v>1</v>
      </c>
      <c r="F15" s="417" t="s">
        <v>115</v>
      </c>
      <c r="G15" s="417"/>
    </row>
    <row r="16" spans="1:19" x14ac:dyDescent="0.15">
      <c r="B16" s="38" t="s">
        <v>121</v>
      </c>
      <c r="D16" s="82" t="s">
        <v>122</v>
      </c>
      <c r="E16" s="93">
        <v>1</v>
      </c>
      <c r="F16" s="417" t="s">
        <v>116</v>
      </c>
      <c r="G16" s="417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17" t="s">
        <v>117</v>
      </c>
      <c r="G17" s="417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31" t="s">
        <v>126</v>
      </c>
      <c r="P21" s="431"/>
      <c r="Q21" s="431" t="s">
        <v>129</v>
      </c>
      <c r="R21" s="431"/>
      <c r="S21" s="431" t="s">
        <v>131</v>
      </c>
      <c r="T21" s="431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37" t="s">
        <v>118</v>
      </c>
      <c r="B26" s="437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37" t="s">
        <v>119</v>
      </c>
      <c r="B27" s="437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34" t="s">
        <v>238</v>
      </c>
      <c r="J44" s="435"/>
      <c r="K44" s="436"/>
      <c r="L44" s="374" t="s">
        <v>59</v>
      </c>
      <c r="M44" s="375">
        <v>250</v>
      </c>
      <c r="N44" s="374" t="s">
        <v>185</v>
      </c>
      <c r="Q44" s="364">
        <v>124</v>
      </c>
      <c r="R44" s="401">
        <v>33.07</v>
      </c>
      <c r="S44" s="401">
        <v>20.07</v>
      </c>
      <c r="T44" s="354">
        <v>6.2111801242236027</v>
      </c>
      <c r="U44" s="18">
        <v>0.161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158</v>
      </c>
      <c r="R45" s="401">
        <v>39.769999999999996</v>
      </c>
      <c r="S45" s="401">
        <v>26.77</v>
      </c>
      <c r="T45" s="354">
        <v>5.9171597633136095</v>
      </c>
      <c r="U45" s="18">
        <v>0.16900000000000001</v>
      </c>
    </row>
    <row r="46" spans="1:21" ht="16.5" x14ac:dyDescent="0.3">
      <c r="A46" s="17">
        <f>B34</f>
        <v>5.5625399999999998E-2</v>
      </c>
      <c r="B46" s="22" t="s">
        <v>36</v>
      </c>
      <c r="C46" s="422" t="s">
        <v>29</v>
      </c>
      <c r="D46" s="422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193</v>
      </c>
      <c r="R46" s="401">
        <v>47.3</v>
      </c>
      <c r="S46" s="401">
        <v>34.299999999999997</v>
      </c>
      <c r="T46" s="354">
        <v>5.6497175141242941</v>
      </c>
      <c r="U46" s="18">
        <v>0.17699999999999999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22" t="s">
        <v>28</v>
      </c>
      <c r="D47" s="422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227</v>
      </c>
      <c r="R47" s="401">
        <v>54.83</v>
      </c>
      <c r="S47" s="401">
        <v>41.83</v>
      </c>
      <c r="T47" s="354">
        <v>5.4347826086956523</v>
      </c>
      <c r="U47" s="18">
        <v>0.184</v>
      </c>
    </row>
    <row r="48" spans="1:21" ht="16.5" x14ac:dyDescent="0.3">
      <c r="B48" s="22"/>
      <c r="H48" s="373" t="s">
        <v>57</v>
      </c>
      <c r="I48" s="375">
        <v>3</v>
      </c>
      <c r="J48" s="433" t="s">
        <v>255</v>
      </c>
      <c r="K48" s="433"/>
      <c r="L48" s="381" t="s">
        <v>63</v>
      </c>
      <c r="M48" s="382">
        <v>12</v>
      </c>
      <c r="N48" s="379"/>
      <c r="Q48" s="364">
        <v>261</v>
      </c>
      <c r="R48" s="401">
        <v>72.81</v>
      </c>
      <c r="S48" s="401">
        <v>59.81</v>
      </c>
      <c r="T48" s="354">
        <v>4.3668122270742353</v>
      </c>
      <c r="U48" s="18">
        <v>0.22900000000000001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39" t="s">
        <v>58</v>
      </c>
      <c r="I49" s="432" t="str">
        <f>I45</f>
        <v>개화지구</v>
      </c>
      <c r="J49" s="432"/>
      <c r="K49" s="432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40"/>
      <c r="I50" s="432"/>
      <c r="J50" s="432"/>
      <c r="K50" s="432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41"/>
      <c r="I51" s="442" t="s">
        <v>113</v>
      </c>
      <c r="J51" s="443"/>
      <c r="K51" s="444"/>
      <c r="L51" s="384" t="s">
        <v>106</v>
      </c>
      <c r="M51" s="404">
        <v>520</v>
      </c>
      <c r="N51" s="379"/>
      <c r="Q51" s="18">
        <v>124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158</v>
      </c>
    </row>
    <row r="53" spans="1:17" ht="16.5" x14ac:dyDescent="0.3">
      <c r="H53" s="379"/>
      <c r="I53" s="438" t="s">
        <v>120</v>
      </c>
      <c r="J53" s="438"/>
      <c r="K53" s="438"/>
      <c r="L53" s="438"/>
      <c r="M53" s="389">
        <v>88</v>
      </c>
      <c r="N53" s="379"/>
      <c r="Q53" s="18">
        <v>193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256</v>
      </c>
      <c r="Q54" s="18">
        <v>227</v>
      </c>
    </row>
    <row r="55" spans="1:17" x14ac:dyDescent="0.15">
      <c r="A55" s="25"/>
      <c r="Q55" s="18">
        <v>261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20" t="s">
        <v>76</v>
      </c>
      <c r="E57" s="420"/>
      <c r="F57" s="420" t="s">
        <v>53</v>
      </c>
      <c r="G57" s="421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30" t="s">
        <v>73</v>
      </c>
      <c r="M57" s="430"/>
      <c r="Q57" s="18">
        <v>33.07</v>
      </c>
    </row>
    <row r="58" spans="1:17" x14ac:dyDescent="0.15">
      <c r="A58" s="38" t="s">
        <v>47</v>
      </c>
      <c r="B58" s="39">
        <v>2</v>
      </c>
      <c r="C58" s="38"/>
      <c r="D58" s="420">
        <v>0.22439999999999999</v>
      </c>
      <c r="E58" s="420"/>
      <c r="F58" s="420"/>
      <c r="G58" s="421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39.769999999999996</v>
      </c>
    </row>
    <row r="59" spans="1:17" x14ac:dyDescent="0.15">
      <c r="A59" s="38" t="s">
        <v>48</v>
      </c>
      <c r="B59" s="39">
        <v>4.7770000000000001</v>
      </c>
      <c r="C59" s="428">
        <f>B59</f>
        <v>4.7770000000000001</v>
      </c>
      <c r="D59" s="418">
        <v>3.366E-4</v>
      </c>
      <c r="E59" s="419"/>
      <c r="F59" s="424">
        <f>INT((D59+D60)/1*10000000)/10000000</f>
        <v>3.366E-4</v>
      </c>
      <c r="G59" s="425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47.3</v>
      </c>
    </row>
    <row r="60" spans="1:17" x14ac:dyDescent="0.15">
      <c r="A60" s="38" t="s">
        <v>49</v>
      </c>
      <c r="B60" s="39"/>
      <c r="C60" s="428"/>
      <c r="D60" s="418"/>
      <c r="E60" s="419"/>
      <c r="F60" s="426"/>
      <c r="G60" s="427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54.83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20"/>
      <c r="E61" s="420"/>
      <c r="F61" s="420"/>
      <c r="G61" s="421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72.81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29"/>
      <c r="E62" s="429"/>
      <c r="F62" s="423">
        <f>F59</f>
        <v>3.366E-4</v>
      </c>
      <c r="G62" s="423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20.07</v>
      </c>
    </row>
    <row r="64" spans="1:17" x14ac:dyDescent="0.15">
      <c r="Q64" s="18">
        <v>26.77</v>
      </c>
    </row>
    <row r="65" spans="17:17" x14ac:dyDescent="0.15">
      <c r="Q65" s="18">
        <v>34.299999999999997</v>
      </c>
    </row>
    <row r="66" spans="17:17" x14ac:dyDescent="0.15">
      <c r="Q66" s="18">
        <v>41.83</v>
      </c>
    </row>
    <row r="67" spans="17:17" x14ac:dyDescent="0.15">
      <c r="Q67" s="18">
        <v>59.81</v>
      </c>
    </row>
    <row r="69" spans="17:17" x14ac:dyDescent="0.15">
      <c r="Q69" s="354">
        <v>6.2111801242236027</v>
      </c>
    </row>
    <row r="70" spans="17:17" x14ac:dyDescent="0.15">
      <c r="Q70" s="354">
        <v>5.9171597633136095</v>
      </c>
    </row>
    <row r="71" spans="17:17" x14ac:dyDescent="0.15">
      <c r="Q71" s="354">
        <v>5.6497175141242941</v>
      </c>
    </row>
    <row r="72" spans="17:17" x14ac:dyDescent="0.15">
      <c r="Q72" s="354">
        <v>5.4347826086956523</v>
      </c>
    </row>
    <row r="73" spans="17:17" x14ac:dyDescent="0.15">
      <c r="Q73" s="354">
        <v>4.3668122270742353</v>
      </c>
    </row>
    <row r="75" spans="17:17" x14ac:dyDescent="0.15">
      <c r="Q75" s="18">
        <v>0.161</v>
      </c>
    </row>
    <row r="76" spans="17:17" x14ac:dyDescent="0.15">
      <c r="Q76" s="18">
        <v>0.16900000000000001</v>
      </c>
    </row>
    <row r="77" spans="17:17" x14ac:dyDescent="0.15">
      <c r="Q77" s="18">
        <v>0.17699999999999999</v>
      </c>
    </row>
    <row r="78" spans="17:17" x14ac:dyDescent="0.15">
      <c r="Q78" s="18">
        <v>0.184</v>
      </c>
    </row>
    <row r="79" spans="17:17" x14ac:dyDescent="0.15">
      <c r="Q79" s="18">
        <v>0.22900000000000001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- 2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7.3536772940069994</v>
      </c>
      <c r="C5" s="294">
        <f>장기양수시험!B10</f>
        <v>520</v>
      </c>
      <c r="D5" s="360">
        <v>4.6853999999999996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0.41632047028640462</v>
      </c>
      <c r="D7" s="304" t="s">
        <v>202</v>
      </c>
      <c r="E7" s="303">
        <f>1.15*LOG((2.25*D5*(1/1440))/(F5*E5^2))</f>
        <v>3.4175431692080012</v>
      </c>
      <c r="F7" s="304" t="s">
        <v>197</v>
      </c>
      <c r="G7" s="412">
        <f>C7-E7</f>
        <v>-3.0012226989215964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2.5137638134386768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140.30000000000001</v>
      </c>
      <c r="D14" s="311"/>
      <c r="E14" s="312" t="s">
        <v>205</v>
      </c>
      <c r="F14" s="313">
        <f>D5</f>
        <v>4.6853999999999996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3.5816999999999997</v>
      </c>
      <c r="E17" s="317">
        <f>INT(D17/C17*100000)/100000</f>
        <v>4.4769999999999997E-2</v>
      </c>
      <c r="F17" s="318">
        <v>1440</v>
      </c>
      <c r="G17" s="319">
        <v>1320</v>
      </c>
      <c r="H17" s="318">
        <f>INT(G17/F17*10000)/10000</f>
        <v>0.91659999999999997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171.8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3.5816999999999997</v>
      </c>
      <c r="E22" s="353">
        <f t="shared" si="0"/>
        <v>4.4769999999999997E-2</v>
      </c>
      <c r="F22" s="330">
        <f t="shared" si="0"/>
        <v>1440</v>
      </c>
      <c r="G22" s="330">
        <f>G17</f>
        <v>1320</v>
      </c>
      <c r="H22" s="351">
        <f t="shared" si="0"/>
        <v>0.91659999999999997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107.1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3.5816999999999997</v>
      </c>
      <c r="E27" s="317">
        <f t="shared" si="1"/>
        <v>4.4769999999999997E-2</v>
      </c>
      <c r="F27" s="318">
        <f t="shared" si="1"/>
        <v>1440</v>
      </c>
      <c r="G27" s="318">
        <f t="shared" si="1"/>
        <v>1320</v>
      </c>
      <c r="H27" s="318">
        <f t="shared" si="1"/>
        <v>0.91659999999999997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3.5816999999999997</v>
      </c>
      <c r="D29" s="343">
        <f>(C29/C17)*(100/86400)</f>
        <v>5.1818576388888886E-5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5.1818576388888892E-5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139.73333333333335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48" t="s">
        <v>192</v>
      </c>
      <c r="B4" s="448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48" t="s">
        <v>45</v>
      </c>
      <c r="B5" s="448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- 2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48" t="s">
        <v>46</v>
      </c>
      <c r="B6" s="448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48" t="s">
        <v>165</v>
      </c>
      <c r="B7" s="448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49">
        <f>입력표!I48</f>
        <v>3</v>
      </c>
      <c r="D8" s="450"/>
      <c r="E8" s="451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2">
        <f>입력표!M44</f>
        <v>250</v>
      </c>
      <c r="E9" s="452"/>
      <c r="F9" s="210" t="s">
        <v>8</v>
      </c>
      <c r="G9" s="454">
        <f>입력표!M45</f>
        <v>100</v>
      </c>
      <c r="H9" s="454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45">
        <f>입력표!M48</f>
        <v>12</v>
      </c>
      <c r="E10" s="446"/>
      <c r="F10" s="230" t="s">
        <v>0</v>
      </c>
      <c r="G10" s="455" t="s">
        <v>0</v>
      </c>
      <c r="H10" s="455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47" t="s">
        <v>172</v>
      </c>
      <c r="E11" s="447"/>
      <c r="F11" s="231" t="s">
        <v>173</v>
      </c>
      <c r="G11" s="456" t="s">
        <v>174</v>
      </c>
      <c r="H11" s="456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53">
        <v>1</v>
      </c>
      <c r="E12" s="453"/>
      <c r="F12" s="208">
        <f>G12+$D$10</f>
        <v>14.08</v>
      </c>
      <c r="G12" s="457">
        <f>AD4</f>
        <v>2.08</v>
      </c>
      <c r="H12" s="457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53">
        <v>2</v>
      </c>
      <c r="E13" s="453"/>
      <c r="F13" s="208">
        <f t="shared" ref="F13:F28" si="13">G13+$D$10</f>
        <v>16.04</v>
      </c>
      <c r="G13" s="457">
        <f t="shared" ref="G13:G51" si="14">AD5</f>
        <v>4.04</v>
      </c>
      <c r="H13" s="457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53">
        <v>3</v>
      </c>
      <c r="E14" s="453"/>
      <c r="F14" s="208">
        <f t="shared" si="13"/>
        <v>17.809999999999999</v>
      </c>
      <c r="G14" s="457">
        <f t="shared" si="14"/>
        <v>5.81</v>
      </c>
      <c r="H14" s="457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53">
        <v>4</v>
      </c>
      <c r="E15" s="453"/>
      <c r="F15" s="208">
        <f t="shared" si="13"/>
        <v>19.07</v>
      </c>
      <c r="G15" s="457">
        <f t="shared" si="14"/>
        <v>7.07</v>
      </c>
      <c r="H15" s="457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53">
        <v>5</v>
      </c>
      <c r="E16" s="453"/>
      <c r="F16" s="208">
        <f t="shared" si="13"/>
        <v>20.05</v>
      </c>
      <c r="G16" s="457">
        <f t="shared" si="14"/>
        <v>8.0500000000000007</v>
      </c>
      <c r="H16" s="457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53">
        <v>10</v>
      </c>
      <c r="E17" s="453"/>
      <c r="F17" s="208">
        <f t="shared" si="13"/>
        <v>23.08</v>
      </c>
      <c r="G17" s="457">
        <f t="shared" si="14"/>
        <v>11.08</v>
      </c>
      <c r="H17" s="457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53">
        <v>15</v>
      </c>
      <c r="E18" s="453"/>
      <c r="F18" s="208">
        <f t="shared" si="13"/>
        <v>24.86</v>
      </c>
      <c r="G18" s="457">
        <f t="shared" si="14"/>
        <v>12.86</v>
      </c>
      <c r="H18" s="457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53">
        <v>20</v>
      </c>
      <c r="E19" s="453"/>
      <c r="F19" s="208">
        <f t="shared" si="13"/>
        <v>26.119999999999997</v>
      </c>
      <c r="G19" s="457">
        <f t="shared" si="14"/>
        <v>14.12</v>
      </c>
      <c r="H19" s="457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53">
        <v>25</v>
      </c>
      <c r="E20" s="453"/>
      <c r="F20" s="208">
        <f t="shared" si="13"/>
        <v>27.1</v>
      </c>
      <c r="G20" s="457">
        <f t="shared" si="14"/>
        <v>15.1</v>
      </c>
      <c r="H20" s="457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53">
        <v>30</v>
      </c>
      <c r="E21" s="453"/>
      <c r="F21" s="208">
        <f t="shared" si="13"/>
        <v>27.89</v>
      </c>
      <c r="G21" s="457">
        <f t="shared" si="14"/>
        <v>15.89</v>
      </c>
      <c r="H21" s="457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53">
        <v>35</v>
      </c>
      <c r="E22" s="453"/>
      <c r="F22" s="208">
        <f t="shared" si="13"/>
        <v>28.57</v>
      </c>
      <c r="G22" s="457">
        <f t="shared" si="14"/>
        <v>16.57</v>
      </c>
      <c r="H22" s="457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53">
        <v>40</v>
      </c>
      <c r="E23" s="453"/>
      <c r="F23" s="208">
        <f t="shared" si="13"/>
        <v>29.15</v>
      </c>
      <c r="G23" s="457">
        <f t="shared" si="14"/>
        <v>17.149999999999999</v>
      </c>
      <c r="H23" s="457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53">
        <v>45</v>
      </c>
      <c r="E24" s="453"/>
      <c r="F24" s="208">
        <f t="shared" si="13"/>
        <v>29.67</v>
      </c>
      <c r="G24" s="457">
        <f t="shared" si="14"/>
        <v>17.670000000000002</v>
      </c>
      <c r="H24" s="457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53">
        <v>50</v>
      </c>
      <c r="E25" s="453"/>
      <c r="F25" s="208">
        <f t="shared" si="13"/>
        <v>30.13</v>
      </c>
      <c r="G25" s="457">
        <f t="shared" si="14"/>
        <v>18.13</v>
      </c>
      <c r="H25" s="457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53">
        <v>55</v>
      </c>
      <c r="E26" s="453"/>
      <c r="F26" s="208">
        <f t="shared" si="13"/>
        <v>30.55</v>
      </c>
      <c r="G26" s="457">
        <f t="shared" si="14"/>
        <v>18.55</v>
      </c>
      <c r="H26" s="457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53">
        <v>60</v>
      </c>
      <c r="E27" s="453"/>
      <c r="F27" s="208">
        <f t="shared" si="13"/>
        <v>30.93</v>
      </c>
      <c r="G27" s="457">
        <f t="shared" si="14"/>
        <v>18.93</v>
      </c>
      <c r="H27" s="457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53">
        <v>75</v>
      </c>
      <c r="E28" s="453"/>
      <c r="F28" s="208">
        <f t="shared" si="13"/>
        <v>31.91</v>
      </c>
      <c r="G28" s="457">
        <f t="shared" si="14"/>
        <v>19.91</v>
      </c>
      <c r="H28" s="457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53">
        <v>90</v>
      </c>
      <c r="E29" s="453"/>
      <c r="F29" s="208">
        <f t="shared" ref="F29:F44" si="24">G29+$D$10</f>
        <v>32.71</v>
      </c>
      <c r="G29" s="457">
        <f t="shared" si="14"/>
        <v>20.71</v>
      </c>
      <c r="H29" s="457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53">
        <v>105</v>
      </c>
      <c r="E30" s="453"/>
      <c r="F30" s="208">
        <f t="shared" si="24"/>
        <v>33.379999999999995</v>
      </c>
      <c r="G30" s="457">
        <f t="shared" si="14"/>
        <v>21.38</v>
      </c>
      <c r="H30" s="457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53">
        <v>120</v>
      </c>
      <c r="E31" s="453"/>
      <c r="F31" s="208">
        <f t="shared" si="24"/>
        <v>33.97</v>
      </c>
      <c r="G31" s="457">
        <f t="shared" si="14"/>
        <v>21.97</v>
      </c>
      <c r="H31" s="457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53">
        <v>130</v>
      </c>
      <c r="E32" s="453"/>
      <c r="F32" s="208">
        <f t="shared" si="24"/>
        <v>38.36</v>
      </c>
      <c r="G32" s="457">
        <f t="shared" si="14"/>
        <v>26.36</v>
      </c>
      <c r="H32" s="457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53">
        <v>140</v>
      </c>
      <c r="E33" s="453"/>
      <c r="F33" s="208">
        <f t="shared" si="24"/>
        <v>39.1</v>
      </c>
      <c r="G33" s="457">
        <f t="shared" si="14"/>
        <v>27.1</v>
      </c>
      <c r="H33" s="457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53">
        <v>150</v>
      </c>
      <c r="E34" s="453"/>
      <c r="F34" s="208">
        <f t="shared" si="24"/>
        <v>39.83</v>
      </c>
      <c r="G34" s="457">
        <f t="shared" si="14"/>
        <v>27.83</v>
      </c>
      <c r="H34" s="457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53">
        <v>180</v>
      </c>
      <c r="E35" s="453"/>
      <c r="F35" s="208">
        <f t="shared" si="24"/>
        <v>40.56</v>
      </c>
      <c r="G35" s="457">
        <f t="shared" si="14"/>
        <v>28.56</v>
      </c>
      <c r="H35" s="457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53">
        <v>240</v>
      </c>
      <c r="E36" s="453"/>
      <c r="F36" s="208">
        <f t="shared" si="24"/>
        <v>41.3</v>
      </c>
      <c r="G36" s="457">
        <f t="shared" si="14"/>
        <v>29.3</v>
      </c>
      <c r="H36" s="457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53">
        <v>250</v>
      </c>
      <c r="E37" s="453"/>
      <c r="F37" s="208">
        <f t="shared" si="24"/>
        <v>46.24</v>
      </c>
      <c r="G37" s="457">
        <f t="shared" si="14"/>
        <v>34.24</v>
      </c>
      <c r="H37" s="457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53">
        <v>260</v>
      </c>
      <c r="E38" s="453"/>
      <c r="F38" s="208">
        <f t="shared" si="24"/>
        <v>47.06</v>
      </c>
      <c r="G38" s="457">
        <f t="shared" si="14"/>
        <v>35.06</v>
      </c>
      <c r="H38" s="457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53">
        <v>270</v>
      </c>
      <c r="E39" s="453"/>
      <c r="F39" s="208">
        <f t="shared" si="24"/>
        <v>47.89</v>
      </c>
      <c r="G39" s="457">
        <f t="shared" si="14"/>
        <v>35.89</v>
      </c>
      <c r="H39" s="457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53">
        <v>300</v>
      </c>
      <c r="E40" s="453"/>
      <c r="F40" s="208">
        <f t="shared" si="24"/>
        <v>48.71</v>
      </c>
      <c r="G40" s="457">
        <f t="shared" si="14"/>
        <v>36.71</v>
      </c>
      <c r="H40" s="457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53">
        <v>360</v>
      </c>
      <c r="E41" s="453"/>
      <c r="F41" s="208">
        <f t="shared" si="24"/>
        <v>49.54</v>
      </c>
      <c r="G41" s="457">
        <f t="shared" si="14"/>
        <v>37.54</v>
      </c>
      <c r="H41" s="457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53">
        <v>370</v>
      </c>
      <c r="E42" s="453"/>
      <c r="F42" s="208">
        <f t="shared" si="24"/>
        <v>54.49</v>
      </c>
      <c r="G42" s="457">
        <f t="shared" si="14"/>
        <v>42.49</v>
      </c>
      <c r="H42" s="457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53">
        <v>380</v>
      </c>
      <c r="E43" s="453"/>
      <c r="F43" s="208">
        <f t="shared" si="24"/>
        <v>55.31</v>
      </c>
      <c r="G43" s="457">
        <f t="shared" si="14"/>
        <v>43.31</v>
      </c>
      <c r="H43" s="457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53">
        <v>390</v>
      </c>
      <c r="E44" s="453"/>
      <c r="F44" s="208">
        <f t="shared" si="24"/>
        <v>56.14</v>
      </c>
      <c r="G44" s="457">
        <f t="shared" si="14"/>
        <v>44.14</v>
      </c>
      <c r="H44" s="457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53">
        <v>420</v>
      </c>
      <c r="E45" s="453"/>
      <c r="F45" s="208">
        <f t="shared" ref="F45:F51" si="25">G45+$D$10</f>
        <v>56.96</v>
      </c>
      <c r="G45" s="457">
        <f t="shared" si="14"/>
        <v>44.96</v>
      </c>
      <c r="H45" s="457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53">
        <v>480</v>
      </c>
      <c r="E46" s="453"/>
      <c r="F46" s="208">
        <f t="shared" si="25"/>
        <v>57.79</v>
      </c>
      <c r="G46" s="457">
        <f t="shared" si="14"/>
        <v>45.79</v>
      </c>
      <c r="H46" s="457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53">
        <v>490</v>
      </c>
      <c r="E47" s="453"/>
      <c r="F47" s="208">
        <f t="shared" si="25"/>
        <v>63.28</v>
      </c>
      <c r="G47" s="457">
        <f t="shared" si="14"/>
        <v>51.28</v>
      </c>
      <c r="H47" s="457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53">
        <v>500</v>
      </c>
      <c r="E48" s="453"/>
      <c r="F48" s="208">
        <f t="shared" si="25"/>
        <v>65.34</v>
      </c>
      <c r="G48" s="457">
        <f t="shared" si="14"/>
        <v>53.34</v>
      </c>
      <c r="H48" s="457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53">
        <v>510</v>
      </c>
      <c r="E49" s="453"/>
      <c r="F49" s="208">
        <f t="shared" si="25"/>
        <v>67.400000000000006</v>
      </c>
      <c r="G49" s="457">
        <f t="shared" si="14"/>
        <v>55.4</v>
      </c>
      <c r="H49" s="457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53">
        <v>540</v>
      </c>
      <c r="E50" s="453"/>
      <c r="F50" s="208">
        <f t="shared" si="25"/>
        <v>69.460000000000008</v>
      </c>
      <c r="G50" s="457">
        <f t="shared" si="14"/>
        <v>57.46</v>
      </c>
      <c r="H50" s="457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53">
        <v>600</v>
      </c>
      <c r="E51" s="453"/>
      <c r="F51" s="208">
        <f t="shared" si="25"/>
        <v>71.52000000000001</v>
      </c>
      <c r="G51" s="457">
        <f t="shared" si="14"/>
        <v>59.52</v>
      </c>
      <c r="H51" s="457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K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-5.9363721869982626</v>
      </c>
      <c r="M1" s="458" t="s">
        <v>136</v>
      </c>
      <c r="N1" s="458"/>
      <c r="O1" s="272">
        <f>단계양수시험!G41</f>
        <v>37.54</v>
      </c>
      <c r="P1" s="273" t="s">
        <v>125</v>
      </c>
      <c r="Q1" s="274">
        <f>G35</f>
        <v>43.476372186998262</v>
      </c>
      <c r="R1" s="275" t="s">
        <v>52</v>
      </c>
      <c r="S1" s="276">
        <v>4.6853880359717621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257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4.6853880359717621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41.993677121199681</v>
      </c>
      <c r="AB2" s="10">
        <f>1.6*U2/(4*PI()*V2)*LOG10((2.25*V2*Y2)/(W2*W2*X2))</f>
        <v>41.993677121199681</v>
      </c>
      <c r="AC2" s="15">
        <v>0</v>
      </c>
      <c r="AD2" s="12">
        <f>Z2</f>
        <v>1</v>
      </c>
      <c r="AE2" s="10">
        <f>AB2-$O$3-N3</f>
        <v>7.3536772940069994</v>
      </c>
      <c r="AF2" s="10">
        <f>AB2</f>
        <v>41.993677121199681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- 2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34.639999827192682</v>
      </c>
      <c r="U3" s="14">
        <f>U2</f>
        <v>520</v>
      </c>
      <c r="V3" s="3">
        <f>V$2</f>
        <v>4.6853880359717621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46.247483031785215</v>
      </c>
      <c r="AB3" s="10">
        <f t="shared" ref="AB3:AB43" si="4">1.6*U3/(4*PI()*V3)*LOG10((2.25*V3*Y3)/(W3*W3*X3))</f>
        <v>46.247483031785215</v>
      </c>
      <c r="AC3" s="10">
        <f>AA69</f>
        <v>86.089999827192685</v>
      </c>
      <c r="AD3" s="12">
        <f t="shared" ref="AD3:AD66" si="5">Z3</f>
        <v>2</v>
      </c>
      <c r="AE3" s="10">
        <f t="shared" ref="AE3:AE16" si="6">AB3-$O$3-N4</f>
        <v>11.607483204592533</v>
      </c>
      <c r="AF3" s="10">
        <f t="shared" ref="AF3:AF16" si="7">AB3</f>
        <v>46.247483031785215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-3.11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4.6853880359717621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48.73579997482377</v>
      </c>
      <c r="AB4" s="10">
        <f t="shared" si="4"/>
        <v>48.73579997482377</v>
      </c>
      <c r="AC4" s="10">
        <f>AB69</f>
        <v>86.089999827192685</v>
      </c>
      <c r="AD4" s="12">
        <f t="shared" si="5"/>
        <v>3</v>
      </c>
      <c r="AE4" s="10">
        <f t="shared" si="6"/>
        <v>14.095800147631088</v>
      </c>
      <c r="AF4" s="10">
        <f t="shared" si="7"/>
        <v>48.73579997482377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-7.98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4.6853880359717621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50.501288942370756</v>
      </c>
      <c r="AB5" s="10">
        <f t="shared" si="4"/>
        <v>50.501288942370756</v>
      </c>
      <c r="AC5" s="10">
        <f>AE69</f>
        <v>51.45</v>
      </c>
      <c r="AD5" s="12">
        <f t="shared" si="5"/>
        <v>4</v>
      </c>
      <c r="AE5" s="10">
        <f t="shared" si="6"/>
        <v>15.861289115178074</v>
      </c>
      <c r="AF5" s="10">
        <f t="shared" si="7"/>
        <v>50.501288942370756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62">
        <f>단계양수시험!C8</f>
        <v>3</v>
      </c>
      <c r="D6" s="462"/>
      <c r="E6" s="463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-13.56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4.6853880359717621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51.870708575186164</v>
      </c>
      <c r="AB6" s="10">
        <f t="shared" si="4"/>
        <v>51.870708575186164</v>
      </c>
      <c r="AD6" s="12">
        <f t="shared" si="5"/>
        <v>5</v>
      </c>
      <c r="AE6" s="10">
        <f t="shared" si="6"/>
        <v>17.230708747993482</v>
      </c>
      <c r="AF6" s="10">
        <f t="shared" si="7"/>
        <v>51.870708575186164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-19.55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4.6853880359717621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56.124514485771691</v>
      </c>
      <c r="AB7" s="10">
        <f t="shared" si="4"/>
        <v>56.124514485771691</v>
      </c>
      <c r="AD7" s="12">
        <f t="shared" si="5"/>
        <v>10</v>
      </c>
      <c r="AE7" s="10">
        <f t="shared" si="6"/>
        <v>21.484514658579009</v>
      </c>
      <c r="AF7" s="10">
        <f t="shared" si="7"/>
        <v>56.124514485771691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3.0998713834214655</v>
      </c>
      <c r="L8" s="13">
        <f t="shared" si="1"/>
        <v>-52.09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4.6853880359717621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58.612831428810246</v>
      </c>
      <c r="AB8" s="10">
        <f t="shared" si="4"/>
        <v>58.612831428810246</v>
      </c>
      <c r="AD8" s="12">
        <f t="shared" si="5"/>
        <v>15</v>
      </c>
      <c r="AE8" s="10">
        <f t="shared" si="6"/>
        <v>23.972831601617564</v>
      </c>
      <c r="AF8" s="10">
        <f t="shared" si="7"/>
        <v>58.612831428810246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0" t="s">
        <v>161</v>
      </c>
      <c r="E9" s="460"/>
      <c r="F9" s="186" t="s">
        <v>162</v>
      </c>
      <c r="G9" s="186" t="s">
        <v>163</v>
      </c>
      <c r="H9" s="461" t="s">
        <v>164</v>
      </c>
      <c r="I9" s="461"/>
      <c r="J9" s="9">
        <f>G8-D8</f>
        <v>51.45</v>
      </c>
      <c r="L9" s="13">
        <f t="shared" si="1"/>
        <v>-86.39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4.6853880359717621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60.378320396357232</v>
      </c>
      <c r="AB9" s="10">
        <f t="shared" si="4"/>
        <v>60.378320396357232</v>
      </c>
      <c r="AD9" s="12">
        <f t="shared" si="5"/>
        <v>20</v>
      </c>
      <c r="AE9" s="10">
        <f t="shared" si="6"/>
        <v>25.73832056916455</v>
      </c>
      <c r="AF9" s="10">
        <f t="shared" si="7"/>
        <v>60.378320396357232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41613.861111111109</v>
      </c>
      <c r="D10" s="187">
        <v>1</v>
      </c>
      <c r="E10" s="256">
        <f>D10/1440</f>
        <v>6.9444444444444447E-4</v>
      </c>
      <c r="F10" s="188">
        <f>G10+D$8</f>
        <v>19.353677294006999</v>
      </c>
      <c r="G10" s="285">
        <f>AE2</f>
        <v>7.3536772940069994</v>
      </c>
      <c r="H10" s="459">
        <v>41613.861805555556</v>
      </c>
      <c r="I10" s="459" t="s">
        <v>12</v>
      </c>
      <c r="J10" s="270">
        <f>J8-J9</f>
        <v>0</v>
      </c>
      <c r="K10" s="9">
        <f>J10+P17</f>
        <v>0</v>
      </c>
      <c r="L10" s="13">
        <f t="shared" si="1"/>
        <v>-121.41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4.6853880359717621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61.747740029172633</v>
      </c>
      <c r="AB10" s="10">
        <f t="shared" si="4"/>
        <v>61.747740029172633</v>
      </c>
      <c r="AD10" s="12">
        <f t="shared" si="5"/>
        <v>25</v>
      </c>
      <c r="AE10" s="10">
        <f t="shared" si="6"/>
        <v>27.107740201979951</v>
      </c>
      <c r="AF10" s="10">
        <f t="shared" si="7"/>
        <v>61.747740029172633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23.607483204592533</v>
      </c>
      <c r="G11" s="188">
        <f>AE3</f>
        <v>11.607483204592533</v>
      </c>
      <c r="H11" s="459"/>
      <c r="I11" s="459"/>
      <c r="J11" s="63">
        <f>G11-G10</f>
        <v>4.2538059105855339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4.6853880359717621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62.866637339395787</v>
      </c>
      <c r="AB11" s="10">
        <f t="shared" si="4"/>
        <v>62.866637339395787</v>
      </c>
      <c r="AD11" s="12">
        <f t="shared" si="5"/>
        <v>30</v>
      </c>
      <c r="AE11" s="10">
        <f t="shared" si="6"/>
        <v>28.226637512203105</v>
      </c>
      <c r="AF11" s="10">
        <f t="shared" si="7"/>
        <v>62.866637339395787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26.095800147631088</v>
      </c>
      <c r="G12" s="188">
        <f t="shared" ref="G12:G74" si="16">AE4</f>
        <v>14.095800147631088</v>
      </c>
      <c r="H12" s="459"/>
      <c r="I12" s="459"/>
      <c r="J12" s="63">
        <f t="shared" ref="J12:J47" si="17">G12-G11</f>
        <v>2.488316943038555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4.6853880359717621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63.812651535746191</v>
      </c>
      <c r="AB12" s="10">
        <f t="shared" si="4"/>
        <v>63.812651535746191</v>
      </c>
      <c r="AD12" s="12">
        <f t="shared" si="5"/>
        <v>35</v>
      </c>
      <c r="AE12" s="10">
        <f t="shared" si="6"/>
        <v>29.172651708553509</v>
      </c>
      <c r="AF12" s="10">
        <f t="shared" si="7"/>
        <v>63.812651535746191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27.861289115178074</v>
      </c>
      <c r="G13" s="188">
        <f t="shared" si="16"/>
        <v>15.861289115178074</v>
      </c>
      <c r="H13" s="459"/>
      <c r="I13" s="459"/>
      <c r="J13" s="63">
        <f t="shared" si="17"/>
        <v>1.765488967546986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4.6853880359717621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64.632126306942766</v>
      </c>
      <c r="AB13" s="10">
        <f t="shared" si="4"/>
        <v>64.632126306942766</v>
      </c>
      <c r="AD13" s="12">
        <f t="shared" si="5"/>
        <v>40</v>
      </c>
      <c r="AE13" s="10">
        <f t="shared" si="6"/>
        <v>29.992126479750084</v>
      </c>
      <c r="AF13" s="10">
        <f t="shared" si="7"/>
        <v>64.632126306942766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29.230708747993482</v>
      </c>
      <c r="G14" s="188">
        <f t="shared" si="16"/>
        <v>17.230708747993482</v>
      </c>
      <c r="H14" s="459"/>
      <c r="I14" s="459"/>
      <c r="J14" s="63">
        <f t="shared" si="17"/>
        <v>1.3694196328154078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4.6853880359717621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65.354954282434335</v>
      </c>
      <c r="AB14" s="10">
        <f t="shared" si="4"/>
        <v>65.354954282434335</v>
      </c>
      <c r="AD14" s="12">
        <f t="shared" si="5"/>
        <v>45</v>
      </c>
      <c r="AE14" s="10">
        <f t="shared" si="6"/>
        <v>30.714954455241653</v>
      </c>
      <c r="AF14" s="10">
        <f t="shared" si="7"/>
        <v>65.354954282434335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33.484514658579009</v>
      </c>
      <c r="G15" s="188">
        <f t="shared" si="16"/>
        <v>21.484514658579009</v>
      </c>
      <c r="H15" s="459"/>
      <c r="I15" s="459"/>
      <c r="J15" s="63">
        <f t="shared" si="17"/>
        <v>4.2538059105855268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4.6853880359717621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66.001545939758174</v>
      </c>
      <c r="AB15" s="10">
        <f t="shared" si="4"/>
        <v>66.001545939758174</v>
      </c>
      <c r="AD15" s="12">
        <f t="shared" si="5"/>
        <v>50</v>
      </c>
      <c r="AE15" s="10">
        <f t="shared" si="6"/>
        <v>31.361546112565492</v>
      </c>
      <c r="AF15" s="10">
        <f t="shared" si="7"/>
        <v>66.001545939758174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35.972831601617564</v>
      </c>
      <c r="G16" s="188">
        <f t="shared" si="16"/>
        <v>23.972831601617564</v>
      </c>
      <c r="H16" s="459"/>
      <c r="I16" s="459"/>
      <c r="J16" s="63">
        <f t="shared" si="17"/>
        <v>2.488316943038555</v>
      </c>
      <c r="K16" s="65"/>
      <c r="M16" s="66"/>
      <c r="N16" s="15"/>
      <c r="P16" s="13"/>
      <c r="U16" s="14">
        <f t="shared" si="9"/>
        <v>520</v>
      </c>
      <c r="V16" s="3">
        <f t="shared" si="10"/>
        <v>4.6853880359717621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66.58645924181198</v>
      </c>
      <c r="AB16" s="10">
        <f t="shared" si="4"/>
        <v>66.58645924181198</v>
      </c>
      <c r="AD16" s="12">
        <f t="shared" si="5"/>
        <v>55</v>
      </c>
      <c r="AE16" s="10">
        <f t="shared" si="6"/>
        <v>31.897379414619298</v>
      </c>
      <c r="AF16" s="10">
        <f t="shared" si="7"/>
        <v>66.58645924181198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37.73832056916455</v>
      </c>
      <c r="G17" s="188">
        <f t="shared" si="16"/>
        <v>25.73832056916455</v>
      </c>
      <c r="H17" s="459"/>
      <c r="I17" s="459"/>
      <c r="J17" s="63">
        <f t="shared" si="17"/>
        <v>1.765488967546986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4.6853880359717621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67.120443249981321</v>
      </c>
      <c r="AB17" s="10">
        <f t="shared" si="4"/>
        <v>67.120443249981321</v>
      </c>
      <c r="AD17" s="12">
        <f t="shared" si="5"/>
        <v>60</v>
      </c>
      <c r="AE17" s="10">
        <f t="shared" ref="AE17:AE48" si="18">AB17-$O$3</f>
        <v>32.480443422788639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39.107740201979951</v>
      </c>
      <c r="G18" s="188">
        <f t="shared" si="16"/>
        <v>27.107740201979951</v>
      </c>
      <c r="H18" s="459"/>
      <c r="I18" s="459"/>
      <c r="J18" s="63">
        <f t="shared" si="17"/>
        <v>1.3694196328154007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-3.11</v>
      </c>
      <c r="U18" s="14">
        <f t="shared" si="9"/>
        <v>520</v>
      </c>
      <c r="V18" s="3">
        <f t="shared" si="10"/>
        <v>4.6853880359717621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68.489862882796729</v>
      </c>
      <c r="AB18" s="10">
        <f t="shared" si="4"/>
        <v>68.489862882796729</v>
      </c>
      <c r="AD18" s="12">
        <f t="shared" si="5"/>
        <v>75</v>
      </c>
      <c r="AE18" s="10">
        <f t="shared" si="18"/>
        <v>33.849863055604047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40.226637512203105</v>
      </c>
      <c r="G19" s="188">
        <f t="shared" si="16"/>
        <v>28.226637512203105</v>
      </c>
      <c r="H19" s="459"/>
      <c r="I19" s="459"/>
      <c r="J19" s="63">
        <f t="shared" si="17"/>
        <v>1.1188973102231543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-7.98</v>
      </c>
      <c r="U19" s="14">
        <f t="shared" si="9"/>
        <v>520</v>
      </c>
      <c r="V19" s="3">
        <f t="shared" si="10"/>
        <v>4.6853880359717621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69.608760193019876</v>
      </c>
      <c r="AB19" s="10">
        <f t="shared" si="4"/>
        <v>69.608760193019876</v>
      </c>
      <c r="AD19" s="12">
        <f t="shared" si="5"/>
        <v>90</v>
      </c>
      <c r="AE19" s="10">
        <f t="shared" si="18"/>
        <v>34.968760365827194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41.172651708553509</v>
      </c>
      <c r="G20" s="188">
        <f t="shared" si="16"/>
        <v>29.172651708553509</v>
      </c>
      <c r="H20" s="459"/>
      <c r="I20" s="459"/>
      <c r="J20" s="63">
        <f t="shared" si="17"/>
        <v>0.94601419635040429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-13.56</v>
      </c>
      <c r="U20" s="14">
        <f t="shared" si="9"/>
        <v>520</v>
      </c>
      <c r="V20" s="3">
        <f t="shared" si="10"/>
        <v>4.6853880359717621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70.55477438937028</v>
      </c>
      <c r="AB20" s="10">
        <f t="shared" si="4"/>
        <v>70.55477438937028</v>
      </c>
      <c r="AD20" s="12">
        <f t="shared" si="5"/>
        <v>105</v>
      </c>
      <c r="AE20" s="10">
        <f t="shared" si="18"/>
        <v>35.914774562177598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41.992126479750084</v>
      </c>
      <c r="G21" s="188">
        <f t="shared" si="16"/>
        <v>29.992126479750084</v>
      </c>
      <c r="H21" s="459"/>
      <c r="I21" s="459"/>
      <c r="J21" s="63">
        <f t="shared" si="17"/>
        <v>0.81947477119657464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-19.55</v>
      </c>
      <c r="U21" s="14">
        <f t="shared" si="9"/>
        <v>520</v>
      </c>
      <c r="V21" s="3">
        <f t="shared" si="10"/>
        <v>4.6853880359717621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71.374249160566862</v>
      </c>
      <c r="AB21" s="10">
        <f t="shared" si="4"/>
        <v>71.374249160566862</v>
      </c>
      <c r="AD21" s="12">
        <f t="shared" si="5"/>
        <v>120</v>
      </c>
      <c r="AE21" s="10">
        <f t="shared" si="18"/>
        <v>36.73424933337418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42.714954455241653</v>
      </c>
      <c r="G22" s="188">
        <f t="shared" si="16"/>
        <v>30.714954455241653</v>
      </c>
      <c r="H22" s="459"/>
      <c r="I22" s="459"/>
      <c r="J22" s="63">
        <f t="shared" si="17"/>
        <v>0.72282797549156896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-52.09</v>
      </c>
      <c r="U22" s="14">
        <f t="shared" si="9"/>
        <v>520</v>
      </c>
      <c r="V22" s="3">
        <f t="shared" si="10"/>
        <v>4.6853880359717621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72.320263356917266</v>
      </c>
      <c r="AB22" s="10">
        <f t="shared" si="4"/>
        <v>72.320263356917266</v>
      </c>
      <c r="AD22" s="12">
        <f t="shared" si="5"/>
        <v>140</v>
      </c>
      <c r="AE22" s="10">
        <f t="shared" si="18"/>
        <v>37.680263529724584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43.361546112565492</v>
      </c>
      <c r="G23" s="188">
        <f t="shared" si="16"/>
        <v>31.361546112565492</v>
      </c>
      <c r="H23" s="459"/>
      <c r="I23" s="459"/>
      <c r="J23" s="63">
        <f t="shared" si="17"/>
        <v>0.64659165732383883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-86.39</v>
      </c>
      <c r="U23" s="14">
        <f t="shared" si="9"/>
        <v>520</v>
      </c>
      <c r="V23" s="3">
        <f t="shared" si="10"/>
        <v>4.6853880359717621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73.139738128113848</v>
      </c>
      <c r="AB23" s="10">
        <f t="shared" si="4"/>
        <v>73.139738128113848</v>
      </c>
      <c r="AD23" s="12">
        <f t="shared" si="5"/>
        <v>160</v>
      </c>
      <c r="AE23" s="10">
        <f t="shared" si="18"/>
        <v>38.499738300921166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43.897379414619294</v>
      </c>
      <c r="G24" s="188">
        <f t="shared" si="16"/>
        <v>31.897379414619298</v>
      </c>
      <c r="H24" s="459"/>
      <c r="I24" s="459"/>
      <c r="J24" s="63">
        <f t="shared" si="17"/>
        <v>0.53583330205380619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-121.41</v>
      </c>
      <c r="U24" s="14">
        <f t="shared" si="9"/>
        <v>520</v>
      </c>
      <c r="V24" s="3">
        <f t="shared" si="10"/>
        <v>4.6853880359717621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73.862566103605417</v>
      </c>
      <c r="AB24" s="10">
        <f t="shared" si="4"/>
        <v>73.862566103605417</v>
      </c>
      <c r="AD24" s="12">
        <f t="shared" si="5"/>
        <v>180</v>
      </c>
      <c r="AE24" s="10">
        <f t="shared" si="18"/>
        <v>39.222566276412735</v>
      </c>
    </row>
    <row r="25" spans="1:31" s="3" customFormat="1" ht="21" customHeight="1" x14ac:dyDescent="0.15">
      <c r="A25" s="54"/>
      <c r="B25" s="54"/>
      <c r="C25" s="55">
        <f>$C$10+D25/1440</f>
        <v>41613.902777777774</v>
      </c>
      <c r="D25" s="187">
        <v>60</v>
      </c>
      <c r="E25" s="256">
        <f t="shared" si="14"/>
        <v>4.1666666666666664E-2</v>
      </c>
      <c r="F25" s="188">
        <f t="shared" si="15"/>
        <v>44.480443422788639</v>
      </c>
      <c r="G25" s="188">
        <f t="shared" si="16"/>
        <v>32.480443422788639</v>
      </c>
      <c r="H25" s="459"/>
      <c r="I25" s="459"/>
      <c r="J25" s="63">
        <f t="shared" si="17"/>
        <v>0.58306400816934101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-156.83000000000001</v>
      </c>
      <c r="U25" s="14">
        <f t="shared" si="9"/>
        <v>520</v>
      </c>
      <c r="V25" s="3">
        <f t="shared" si="10"/>
        <v>4.6853880359717621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75.628055071152389</v>
      </c>
      <c r="AB25" s="10">
        <f t="shared" si="4"/>
        <v>75.628055071152389</v>
      </c>
      <c r="AD25" s="12">
        <f t="shared" si="5"/>
        <v>240</v>
      </c>
      <c r="AE25" s="10">
        <f t="shared" si="18"/>
        <v>40.988055243959707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45.849863055604047</v>
      </c>
      <c r="G26" s="188">
        <f t="shared" si="16"/>
        <v>33.849863055604047</v>
      </c>
      <c r="H26" s="459"/>
      <c r="I26" s="459"/>
      <c r="J26" s="63">
        <f t="shared" si="17"/>
        <v>1.3694196328154078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-192.5</v>
      </c>
      <c r="U26" s="14">
        <f t="shared" si="9"/>
        <v>520</v>
      </c>
      <c r="V26" s="3">
        <f t="shared" si="10"/>
        <v>4.6853880359717621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76.997474703967796</v>
      </c>
      <c r="AB26" s="10">
        <f t="shared" si="4"/>
        <v>76.997474703967796</v>
      </c>
      <c r="AD26" s="12">
        <f t="shared" si="5"/>
        <v>300</v>
      </c>
      <c r="AE26" s="10">
        <f t="shared" si="18"/>
        <v>42.357474876775115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46.968760365827194</v>
      </c>
      <c r="G27" s="188">
        <f t="shared" si="16"/>
        <v>34.968760365827194</v>
      </c>
      <c r="H27" s="459"/>
      <c r="I27" s="459"/>
      <c r="J27" s="63">
        <f t="shared" si="17"/>
        <v>1.1188973102231472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-228.33</v>
      </c>
      <c r="U27" s="14">
        <f t="shared" si="9"/>
        <v>520</v>
      </c>
      <c r="V27" s="3">
        <f t="shared" si="10"/>
        <v>4.6853880359717621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78.116372014190944</v>
      </c>
      <c r="AB27" s="10">
        <f t="shared" si="4"/>
        <v>78.116372014190944</v>
      </c>
      <c r="AD27" s="12">
        <f t="shared" si="5"/>
        <v>360</v>
      </c>
      <c r="AE27" s="10">
        <f t="shared" si="18"/>
        <v>43.476372186998262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47.914774562177598</v>
      </c>
      <c r="G28" s="188">
        <f t="shared" si="16"/>
        <v>35.914774562177598</v>
      </c>
      <c r="H28" s="459"/>
      <c r="I28" s="459"/>
      <c r="J28" s="63">
        <f t="shared" si="17"/>
        <v>0.94601419635040429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-264.3</v>
      </c>
      <c r="U28" s="14">
        <f t="shared" si="9"/>
        <v>520</v>
      </c>
      <c r="V28" s="3">
        <f t="shared" si="10"/>
        <v>4.6853880359717621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79.062386210541362</v>
      </c>
      <c r="AB28" s="10">
        <f t="shared" si="4"/>
        <v>79.062386210541362</v>
      </c>
      <c r="AD28" s="12">
        <f t="shared" si="5"/>
        <v>420</v>
      </c>
      <c r="AE28" s="10">
        <f t="shared" si="18"/>
        <v>44.42238638334868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48.73424933337418</v>
      </c>
      <c r="G29" s="188">
        <f t="shared" si="16"/>
        <v>36.73424933337418</v>
      </c>
      <c r="H29" s="459"/>
      <c r="I29" s="459"/>
      <c r="J29" s="63">
        <f t="shared" si="17"/>
        <v>0.81947477119658174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-300.37</v>
      </c>
      <c r="U29" s="14">
        <f t="shared" si="9"/>
        <v>520</v>
      </c>
      <c r="V29" s="3">
        <f t="shared" si="10"/>
        <v>4.6853880359717621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79.88186098173793</v>
      </c>
      <c r="AB29" s="10">
        <f t="shared" si="4"/>
        <v>79.88186098173793</v>
      </c>
      <c r="AD29" s="12">
        <f t="shared" si="5"/>
        <v>480</v>
      </c>
      <c r="AE29" s="10">
        <f t="shared" si="18"/>
        <v>45.241861154545248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49.680263529724584</v>
      </c>
      <c r="G30" s="188">
        <f t="shared" si="16"/>
        <v>37.680263529724584</v>
      </c>
      <c r="H30" s="459"/>
      <c r="I30" s="459"/>
      <c r="J30" s="63">
        <f t="shared" si="17"/>
        <v>0.94601419635040429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-336.5</v>
      </c>
      <c r="U30" s="14">
        <f t="shared" si="9"/>
        <v>520</v>
      </c>
      <c r="V30" s="3">
        <f t="shared" si="10"/>
        <v>4.6853880359717621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80.604688957229499</v>
      </c>
      <c r="AB30" s="10">
        <f t="shared" si="4"/>
        <v>80.604688957229499</v>
      </c>
      <c r="AD30" s="12">
        <f t="shared" si="5"/>
        <v>540</v>
      </c>
      <c r="AE30" s="10">
        <f t="shared" si="18"/>
        <v>45.964689130036817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50.499738300921166</v>
      </c>
      <c r="G31" s="188">
        <f t="shared" si="16"/>
        <v>38.499738300921166</v>
      </c>
      <c r="H31" s="459"/>
      <c r="I31" s="459"/>
      <c r="J31" s="63">
        <f t="shared" si="17"/>
        <v>0.81947477119658174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-372.76</v>
      </c>
      <c r="U31" s="14">
        <f t="shared" si="9"/>
        <v>520</v>
      </c>
      <c r="V31" s="3">
        <f t="shared" si="10"/>
        <v>4.6853880359717621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81.251280614553338</v>
      </c>
      <c r="AB31" s="10">
        <f t="shared" si="4"/>
        <v>81.251280614553338</v>
      </c>
      <c r="AD31" s="12">
        <f t="shared" si="5"/>
        <v>600</v>
      </c>
      <c r="AE31" s="10">
        <f t="shared" si="18"/>
        <v>46.611280787360656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51.222566276412735</v>
      </c>
      <c r="G32" s="188">
        <f t="shared" si="16"/>
        <v>39.222566276412735</v>
      </c>
      <c r="H32" s="459"/>
      <c r="I32" s="459"/>
      <c r="J32" s="63">
        <f t="shared" si="17"/>
        <v>0.72282797549156896</v>
      </c>
      <c r="K32" s="65" t="s">
        <v>18</v>
      </c>
      <c r="N32" s="67"/>
      <c r="U32" s="14">
        <f t="shared" si="9"/>
        <v>520</v>
      </c>
      <c r="V32" s="3">
        <f t="shared" si="10"/>
        <v>4.6853880359717621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81.836193916607144</v>
      </c>
      <c r="AB32" s="10">
        <f t="shared" si="4"/>
        <v>81.836193916607144</v>
      </c>
      <c r="AD32" s="12">
        <f t="shared" si="5"/>
        <v>660</v>
      </c>
      <c r="AE32" s="10">
        <f t="shared" si="18"/>
        <v>47.196194089414462</v>
      </c>
    </row>
    <row r="33" spans="1:31" s="3" customFormat="1" ht="21" customHeight="1" x14ac:dyDescent="0.15">
      <c r="A33" s="54"/>
      <c r="B33" s="54"/>
      <c r="C33" s="55">
        <f>$C$10+D33/1440</f>
        <v>41614.027777777774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52.988055243959707</v>
      </c>
      <c r="G33" s="188">
        <f t="shared" si="16"/>
        <v>40.988055243959707</v>
      </c>
      <c r="H33" s="459">
        <v>41614.027777777774</v>
      </c>
      <c r="I33" s="459"/>
      <c r="J33" s="63">
        <f t="shared" si="17"/>
        <v>1.7654889675469718</v>
      </c>
      <c r="K33" s="9" t="s">
        <v>18</v>
      </c>
      <c r="N33" s="67"/>
      <c r="U33" s="14">
        <f t="shared" si="9"/>
        <v>520</v>
      </c>
      <c r="V33" s="3">
        <f t="shared" si="10"/>
        <v>4.6853880359717621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82.370177924776485</v>
      </c>
      <c r="AB33" s="10">
        <f t="shared" si="4"/>
        <v>82.370177924776485</v>
      </c>
      <c r="AD33" s="12">
        <f t="shared" si="5"/>
        <v>720</v>
      </c>
      <c r="AE33" s="10">
        <f t="shared" si="18"/>
        <v>47.730178097583803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54.357474876775115</v>
      </c>
      <c r="G34" s="188">
        <f t="shared" si="16"/>
        <v>42.357474876775115</v>
      </c>
      <c r="H34" s="459"/>
      <c r="I34" s="459"/>
      <c r="J34" s="63">
        <f t="shared" si="17"/>
        <v>1.3694196328154078</v>
      </c>
      <c r="K34" s="9" t="s">
        <v>18</v>
      </c>
      <c r="O34" s="67"/>
      <c r="U34" s="14">
        <f t="shared" si="9"/>
        <v>520</v>
      </c>
      <c r="V34" s="3">
        <f t="shared" si="10"/>
        <v>4.6853880359717621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82.861395594775374</v>
      </c>
      <c r="AB34" s="10">
        <f t="shared" si="4"/>
        <v>82.861395594775374</v>
      </c>
      <c r="AD34" s="12">
        <f t="shared" si="5"/>
        <v>780</v>
      </c>
      <c r="AE34" s="10">
        <f t="shared" si="18"/>
        <v>48.221395767582692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55.476372186998262</v>
      </c>
      <c r="G35" s="188">
        <f t="shared" si="16"/>
        <v>43.476372186998262</v>
      </c>
      <c r="H35" s="459"/>
      <c r="I35" s="459"/>
      <c r="J35" s="63">
        <f t="shared" si="17"/>
        <v>1.1188973102231472</v>
      </c>
      <c r="K35" s="9" t="s">
        <v>18</v>
      </c>
      <c r="N35" s="67"/>
      <c r="U35" s="14">
        <f t="shared" si="9"/>
        <v>520</v>
      </c>
      <c r="V35" s="3">
        <f t="shared" si="10"/>
        <v>4.6853880359717621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83.316192121126889</v>
      </c>
      <c r="AB35" s="10">
        <f t="shared" si="4"/>
        <v>83.316192121126889</v>
      </c>
      <c r="AD35" s="12">
        <f t="shared" si="5"/>
        <v>840</v>
      </c>
      <c r="AE35" s="10">
        <f t="shared" si="18"/>
        <v>48.676192293934207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56.42238638334868</v>
      </c>
      <c r="G36" s="188">
        <f t="shared" si="16"/>
        <v>44.42238638334868</v>
      </c>
      <c r="H36" s="459"/>
      <c r="I36" s="459"/>
      <c r="J36" s="63">
        <f t="shared" si="17"/>
        <v>0.9460141963504185</v>
      </c>
      <c r="K36" s="9" t="s">
        <v>18</v>
      </c>
      <c r="U36" s="14">
        <f t="shared" si="9"/>
        <v>520</v>
      </c>
      <c r="V36" s="3">
        <f t="shared" si="10"/>
        <v>4.6853880359717621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83.739597557591892</v>
      </c>
      <c r="AB36" s="10">
        <f t="shared" si="4"/>
        <v>83.739597557591892</v>
      </c>
      <c r="AD36" s="12">
        <f t="shared" si="5"/>
        <v>900</v>
      </c>
      <c r="AE36" s="10">
        <f t="shared" si="18"/>
        <v>49.099597730399211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57.241861154545248</v>
      </c>
      <c r="G37" s="188">
        <f t="shared" si="16"/>
        <v>45.241861154545248</v>
      </c>
      <c r="H37" s="459"/>
      <c r="I37" s="459"/>
      <c r="J37" s="63">
        <f t="shared" si="17"/>
        <v>0.81947477119656753</v>
      </c>
      <c r="K37" s="9" t="s">
        <v>18</v>
      </c>
      <c r="U37" s="14">
        <f t="shared" si="9"/>
        <v>520</v>
      </c>
      <c r="V37" s="3">
        <f t="shared" si="10"/>
        <v>4.6853880359717621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84.135666892323471</v>
      </c>
      <c r="AB37" s="10">
        <f t="shared" si="4"/>
        <v>84.135666892323471</v>
      </c>
      <c r="AC37" s="3">
        <v>37</v>
      </c>
      <c r="AD37" s="12">
        <f t="shared" si="5"/>
        <v>960</v>
      </c>
      <c r="AE37" s="10">
        <f t="shared" si="18"/>
        <v>49.495667065130789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57.964689130036817</v>
      </c>
      <c r="G38" s="188">
        <f t="shared" si="16"/>
        <v>45.964689130036817</v>
      </c>
      <c r="H38" s="459"/>
      <c r="I38" s="459"/>
      <c r="J38" s="63">
        <f t="shared" si="17"/>
        <v>0.72282797549156896</v>
      </c>
      <c r="K38" s="9" t="s">
        <v>18</v>
      </c>
      <c r="U38" s="14">
        <f t="shared" si="9"/>
        <v>520</v>
      </c>
      <c r="V38" s="3">
        <f t="shared" si="10"/>
        <v>4.6853880359717621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84.507716843390767</v>
      </c>
      <c r="AB38" s="10">
        <f t="shared" si="4"/>
        <v>84.507716843390767</v>
      </c>
      <c r="AC38" s="29" t="s">
        <v>28</v>
      </c>
      <c r="AD38" s="12">
        <f t="shared" si="5"/>
        <v>1020</v>
      </c>
      <c r="AE38" s="10">
        <f t="shared" si="18"/>
        <v>49.867717016198085</v>
      </c>
    </row>
    <row r="39" spans="1:31" s="3" customFormat="1" ht="21" customHeight="1" x14ac:dyDescent="0.15">
      <c r="A39" s="54"/>
      <c r="B39" s="54"/>
      <c r="C39" s="55">
        <f>$C$10+D39/1440</f>
        <v>41614.277777777774</v>
      </c>
      <c r="D39" s="187">
        <f t="shared" si="26"/>
        <v>600</v>
      </c>
      <c r="E39" s="256">
        <f t="shared" si="25"/>
        <v>0.41666666666666669</v>
      </c>
      <c r="F39" s="188">
        <f t="shared" si="15"/>
        <v>58.611280787360656</v>
      </c>
      <c r="G39" s="188">
        <f t="shared" si="16"/>
        <v>46.611280787360656</v>
      </c>
      <c r="H39" s="459"/>
      <c r="I39" s="459"/>
      <c r="J39" s="63">
        <f t="shared" si="17"/>
        <v>0.64659165732383883</v>
      </c>
      <c r="K39" s="9" t="s">
        <v>18</v>
      </c>
      <c r="U39" s="14">
        <f t="shared" si="9"/>
        <v>520</v>
      </c>
      <c r="V39" s="3">
        <f t="shared" si="10"/>
        <v>4.6853880359717621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84.85849486781504</v>
      </c>
      <c r="AB39" s="10">
        <f t="shared" si="4"/>
        <v>84.85849486781504</v>
      </c>
      <c r="AC39" s="395">
        <v>39</v>
      </c>
      <c r="AD39" s="12">
        <f t="shared" si="5"/>
        <v>1080</v>
      </c>
      <c r="AE39" s="10">
        <f t="shared" si="18"/>
        <v>50.218495040622358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59.196194089414462</v>
      </c>
      <c r="G40" s="188">
        <f t="shared" si="16"/>
        <v>47.196194089414462</v>
      </c>
      <c r="H40" s="459"/>
      <c r="I40" s="459"/>
      <c r="J40" s="63">
        <f t="shared" si="17"/>
        <v>0.58491330205380621</v>
      </c>
      <c r="K40" s="9" t="s">
        <v>18</v>
      </c>
      <c r="U40" s="14">
        <f t="shared" si="9"/>
        <v>520</v>
      </c>
      <c r="V40" s="3">
        <f t="shared" si="10"/>
        <v>4.6853880359717621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85.19030241440656</v>
      </c>
      <c r="AB40" s="10">
        <f t="shared" si="4"/>
        <v>85.19030241440656</v>
      </c>
      <c r="AC40" s="395">
        <v>40</v>
      </c>
      <c r="AD40" s="12">
        <f t="shared" si="5"/>
        <v>1140</v>
      </c>
      <c r="AE40" s="10">
        <f t="shared" si="18"/>
        <v>50.550302587213878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59.730178097583803</v>
      </c>
      <c r="G41" s="188">
        <f t="shared" si="16"/>
        <v>47.730178097583803</v>
      </c>
      <c r="H41" s="459"/>
      <c r="I41" s="459"/>
      <c r="J41" s="63">
        <f t="shared" si="17"/>
        <v>0.533984008169341</v>
      </c>
      <c r="K41" s="9" t="s">
        <v>18</v>
      </c>
      <c r="U41" s="391">
        <f t="shared" si="9"/>
        <v>520</v>
      </c>
      <c r="V41" s="390">
        <f t="shared" si="10"/>
        <v>4.6853880359717621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85.505086525138864</v>
      </c>
      <c r="AB41" s="10">
        <f t="shared" si="4"/>
        <v>85.505086525138864</v>
      </c>
      <c r="AC41" s="396">
        <v>41</v>
      </c>
      <c r="AD41" s="12">
        <f t="shared" si="5"/>
        <v>1200</v>
      </c>
      <c r="AE41" s="10">
        <f t="shared" si="18"/>
        <v>50.865086697946182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60.221395767582692</v>
      </c>
      <c r="G42" s="188">
        <f t="shared" si="16"/>
        <v>48.221395767582692</v>
      </c>
      <c r="H42" s="459"/>
      <c r="I42" s="459"/>
      <c r="J42" s="63">
        <f t="shared" si="17"/>
        <v>0.49121766999888905</v>
      </c>
      <c r="K42" s="9" t="s">
        <v>18</v>
      </c>
      <c r="U42" s="14">
        <f t="shared" si="9"/>
        <v>520</v>
      </c>
      <c r="V42" s="3">
        <f t="shared" si="10"/>
        <v>4.6853880359717621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85.804509064165444</v>
      </c>
      <c r="AB42" s="10">
        <f t="shared" si="4"/>
        <v>85.804509064165444</v>
      </c>
      <c r="AC42" s="395">
        <v>42</v>
      </c>
      <c r="AD42" s="12">
        <f t="shared" si="5"/>
        <v>1260</v>
      </c>
      <c r="AE42" s="10">
        <f t="shared" si="18"/>
        <v>51.164509236972762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60.676192293934207</v>
      </c>
      <c r="G43" s="188">
        <f t="shared" si="16"/>
        <v>48.676192293934207</v>
      </c>
      <c r="H43" s="459"/>
      <c r="I43" s="459"/>
      <c r="J43" s="63">
        <f t="shared" si="17"/>
        <v>0.45479652635151524</v>
      </c>
      <c r="K43" s="9" t="s">
        <v>18</v>
      </c>
      <c r="U43" s="391">
        <f t="shared" si="9"/>
        <v>520</v>
      </c>
      <c r="V43" s="390">
        <f t="shared" si="10"/>
        <v>4.6853880359717621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86.089999827192685</v>
      </c>
      <c r="AB43" s="10">
        <f t="shared" si="4"/>
        <v>86.089999827192685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61.099597730399211</v>
      </c>
      <c r="G44" s="188">
        <f t="shared" si="16"/>
        <v>49.099597730399211</v>
      </c>
      <c r="H44" s="459"/>
      <c r="I44" s="459"/>
      <c r="J44" s="63">
        <f t="shared" si="17"/>
        <v>0.4234054364650035</v>
      </c>
      <c r="K44" s="9" t="s">
        <v>18</v>
      </c>
      <c r="U44" s="14">
        <f t="shared" si="9"/>
        <v>520</v>
      </c>
      <c r="V44" s="3">
        <f t="shared" si="10"/>
        <v>4.6853880359717621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86.089999827192685</v>
      </c>
      <c r="AB44" s="394">
        <f t="shared" ref="AB44" si="30">AB43</f>
        <v>86.089999827192685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41614.527777777774</v>
      </c>
      <c r="D45" s="187">
        <f t="shared" si="26"/>
        <v>960</v>
      </c>
      <c r="E45" s="256">
        <f t="shared" si="29"/>
        <v>0.66666666666666663</v>
      </c>
      <c r="F45" s="188">
        <f t="shared" si="15"/>
        <v>61.495667065130789</v>
      </c>
      <c r="G45" s="188">
        <f t="shared" si="16"/>
        <v>49.495667065130789</v>
      </c>
      <c r="H45" s="459"/>
      <c r="I45" s="459"/>
      <c r="J45" s="63">
        <f t="shared" si="17"/>
        <v>0.39606933473157824</v>
      </c>
      <c r="K45" s="9" t="s">
        <v>18</v>
      </c>
      <c r="U45" s="391">
        <f t="shared" si="9"/>
        <v>520</v>
      </c>
      <c r="V45" s="390">
        <f t="shared" si="10"/>
        <v>4.6853880359717621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86.089999827192685</v>
      </c>
      <c r="AB45" s="394">
        <f t="shared" ref="AB45:AB47" si="31">AB44</f>
        <v>86.089999827192685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61.867717016198085</v>
      </c>
      <c r="G46" s="188">
        <f t="shared" si="16"/>
        <v>49.867717016198085</v>
      </c>
      <c r="H46" s="459"/>
      <c r="I46" s="459"/>
      <c r="J46" s="63">
        <f t="shared" si="17"/>
        <v>0.37204995106729655</v>
      </c>
      <c r="K46" s="9" t="s">
        <v>18</v>
      </c>
      <c r="U46" s="14">
        <f t="shared" si="9"/>
        <v>520</v>
      </c>
      <c r="V46" s="3">
        <f t="shared" si="10"/>
        <v>4.6853880359717621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86.089999827192685</v>
      </c>
      <c r="AB46" s="10">
        <f t="shared" si="31"/>
        <v>86.089999827192685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29"/>
        <v>0.75</v>
      </c>
      <c r="F47" s="188">
        <f t="shared" si="15"/>
        <v>62.218495040622358</v>
      </c>
      <c r="G47" s="188">
        <f t="shared" si="16"/>
        <v>50.218495040622358</v>
      </c>
      <c r="H47" s="459"/>
      <c r="I47" s="459"/>
      <c r="J47" s="63">
        <f t="shared" si="17"/>
        <v>0.35077802442427242</v>
      </c>
      <c r="K47" s="9" t="s">
        <v>18</v>
      </c>
      <c r="U47" s="14">
        <f t="shared" si="9"/>
        <v>520</v>
      </c>
      <c r="V47" s="3">
        <f t="shared" si="10"/>
        <v>4.6853880359717621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86.089999827192685</v>
      </c>
      <c r="AB47" s="10">
        <f t="shared" si="31"/>
        <v>86.089999827192685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29"/>
        <v>0.79166666666666663</v>
      </c>
      <c r="F48" s="188">
        <f t="shared" si="15"/>
        <v>62.550302587213878</v>
      </c>
      <c r="G48" s="188">
        <f t="shared" si="16"/>
        <v>50.550302587213878</v>
      </c>
      <c r="H48" s="459"/>
      <c r="I48" s="459"/>
      <c r="J48" s="3" t="s">
        <v>18</v>
      </c>
      <c r="K48" s="9" t="s">
        <v>18</v>
      </c>
      <c r="U48" s="14">
        <f t="shared" si="9"/>
        <v>520</v>
      </c>
      <c r="V48" s="3">
        <f t="shared" si="10"/>
        <v>4.6853880359717621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86.089999827192685</v>
      </c>
      <c r="AB48" s="10">
        <f t="shared" ref="AB48:AB52" si="33">AB47</f>
        <v>86.089999827192685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29"/>
        <v>0.83333333333333337</v>
      </c>
      <c r="F49" s="188">
        <f t="shared" si="15"/>
        <v>62.865086697946182</v>
      </c>
      <c r="G49" s="188">
        <f t="shared" si="16"/>
        <v>50.865086697946182</v>
      </c>
      <c r="H49" s="459"/>
      <c r="I49" s="459"/>
      <c r="J49" s="3" t="s">
        <v>18</v>
      </c>
      <c r="K49" s="9" t="s">
        <v>18</v>
      </c>
      <c r="U49" s="14">
        <f t="shared" si="9"/>
        <v>520</v>
      </c>
      <c r="V49" s="3">
        <f t="shared" si="10"/>
        <v>4.6853880359717621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86.089999827192685</v>
      </c>
      <c r="AB49" s="10">
        <f t="shared" si="33"/>
        <v>86.089999827192685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29"/>
        <v>0.875</v>
      </c>
      <c r="F50" s="188">
        <f t="shared" si="15"/>
        <v>63.164509236972762</v>
      </c>
      <c r="G50" s="188">
        <f t="shared" si="16"/>
        <v>51.164509236972762</v>
      </c>
      <c r="H50" s="459"/>
      <c r="I50" s="459"/>
      <c r="J50" s="3" t="s">
        <v>18</v>
      </c>
      <c r="K50" s="9" t="s">
        <v>18</v>
      </c>
      <c r="U50" s="14">
        <f t="shared" si="9"/>
        <v>520</v>
      </c>
      <c r="V50" s="3">
        <f t="shared" si="10"/>
        <v>4.6853880359717621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86.089999827192685</v>
      </c>
      <c r="AB50" s="10">
        <f t="shared" si="33"/>
        <v>86.089999827192685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41614.777777777774</v>
      </c>
      <c r="D51" s="187">
        <f t="shared" si="32"/>
        <v>1320</v>
      </c>
      <c r="E51" s="256">
        <f t="shared" si="29"/>
        <v>0.91666666666666663</v>
      </c>
      <c r="F51" s="188">
        <f t="shared" si="15"/>
        <v>63.45</v>
      </c>
      <c r="G51" s="188">
        <f t="shared" si="16"/>
        <v>51.45</v>
      </c>
      <c r="H51" s="459"/>
      <c r="I51" s="459"/>
      <c r="J51" s="3" t="s">
        <v>18</v>
      </c>
      <c r="K51" s="9" t="s">
        <v>18</v>
      </c>
      <c r="U51" s="14">
        <f t="shared" si="9"/>
        <v>520</v>
      </c>
      <c r="V51" s="3">
        <f t="shared" si="10"/>
        <v>4.6853880359717621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86.089999827192685</v>
      </c>
      <c r="AB51" s="10">
        <f t="shared" si="33"/>
        <v>86.089999827192685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29"/>
        <v>0.95833333333333337</v>
      </c>
      <c r="F52" s="188">
        <f t="shared" si="15"/>
        <v>63.45</v>
      </c>
      <c r="G52" s="188">
        <f t="shared" si="16"/>
        <v>51.45</v>
      </c>
      <c r="H52" s="459"/>
      <c r="I52" s="459"/>
      <c r="J52" s="3" t="s">
        <v>18</v>
      </c>
      <c r="K52" s="9" t="s">
        <v>18</v>
      </c>
      <c r="U52" s="14">
        <f t="shared" si="9"/>
        <v>520</v>
      </c>
      <c r="V52" s="3">
        <f t="shared" si="10"/>
        <v>4.6853880359717621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86.089999827192685</v>
      </c>
      <c r="AB52" s="10">
        <f t="shared" si="33"/>
        <v>86.089999827192685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29"/>
        <v>1</v>
      </c>
      <c r="F53" s="188">
        <f t="shared" si="15"/>
        <v>63.45</v>
      </c>
      <c r="G53" s="188">
        <f t="shared" si="16"/>
        <v>51.45</v>
      </c>
      <c r="H53" s="459"/>
      <c r="I53" s="459"/>
      <c r="J53" s="3" t="s">
        <v>18</v>
      </c>
      <c r="K53" s="9" t="s">
        <v>18</v>
      </c>
      <c r="U53" s="14">
        <f t="shared" si="9"/>
        <v>520</v>
      </c>
      <c r="V53" s="3">
        <f t="shared" si="10"/>
        <v>4.6853880359717621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86.089999827192685</v>
      </c>
      <c r="AB53" s="10">
        <f t="shared" ref="AB53:AB69" si="35">AB52</f>
        <v>86.089999827192685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29"/>
        <v>1.0416666666666667</v>
      </c>
      <c r="F54" s="188">
        <f t="shared" si="15"/>
        <v>63.45</v>
      </c>
      <c r="G54" s="188">
        <f t="shared" si="16"/>
        <v>51.45</v>
      </c>
      <c r="H54" s="459"/>
      <c r="I54" s="459"/>
      <c r="J54" s="3" t="s">
        <v>18</v>
      </c>
      <c r="K54" s="9" t="s">
        <v>18</v>
      </c>
      <c r="U54" s="14">
        <f t="shared" si="9"/>
        <v>520</v>
      </c>
      <c r="V54" s="3">
        <f t="shared" si="10"/>
        <v>4.6853880359717621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86.089999827192685</v>
      </c>
      <c r="AB54" s="10">
        <f t="shared" si="35"/>
        <v>86.089999827192685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29"/>
        <v>1.0833333333333333</v>
      </c>
      <c r="F55" s="188">
        <f t="shared" si="15"/>
        <v>63.45</v>
      </c>
      <c r="G55" s="188">
        <f t="shared" si="16"/>
        <v>51.45</v>
      </c>
      <c r="H55" s="459"/>
      <c r="I55" s="459"/>
      <c r="J55" s="3" t="s">
        <v>18</v>
      </c>
      <c r="K55" s="9" t="s">
        <v>18</v>
      </c>
      <c r="U55" s="14">
        <f t="shared" si="9"/>
        <v>520</v>
      </c>
      <c r="V55" s="3">
        <f t="shared" si="10"/>
        <v>4.6853880359717621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86.089999827192685</v>
      </c>
      <c r="AB55" s="10">
        <f t="shared" si="35"/>
        <v>86.089999827192685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41614.986111111109</v>
      </c>
      <c r="D56" s="187">
        <f t="shared" si="32"/>
        <v>1620</v>
      </c>
      <c r="E56" s="256">
        <f t="shared" si="29"/>
        <v>1.125</v>
      </c>
      <c r="F56" s="188">
        <f t="shared" si="15"/>
        <v>63.45</v>
      </c>
      <c r="G56" s="188">
        <f t="shared" si="16"/>
        <v>51.45</v>
      </c>
      <c r="H56" s="459"/>
      <c r="I56" s="459"/>
      <c r="J56" s="3" t="s">
        <v>18</v>
      </c>
      <c r="K56" s="9" t="s">
        <v>18</v>
      </c>
      <c r="U56" s="14">
        <f t="shared" si="9"/>
        <v>520</v>
      </c>
      <c r="V56" s="3">
        <f t="shared" si="10"/>
        <v>4.6853880359717621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86.089999827192685</v>
      </c>
      <c r="AB56" s="10">
        <f t="shared" si="35"/>
        <v>86.089999827192685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29"/>
        <v>1.1666666666666667</v>
      </c>
      <c r="F57" s="188">
        <f t="shared" si="15"/>
        <v>63.45</v>
      </c>
      <c r="G57" s="188">
        <f t="shared" si="16"/>
        <v>51.45</v>
      </c>
      <c r="H57" s="459">
        <v>41615.027777777774</v>
      </c>
      <c r="I57" s="459"/>
      <c r="J57" s="3" t="s">
        <v>18</v>
      </c>
      <c r="K57" s="9" t="s">
        <v>18</v>
      </c>
      <c r="U57" s="14">
        <f t="shared" si="9"/>
        <v>520</v>
      </c>
      <c r="V57" s="3">
        <f t="shared" si="10"/>
        <v>4.6853880359717621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86.089999827192685</v>
      </c>
      <c r="AB57" s="10">
        <f t="shared" si="35"/>
        <v>86.089999827192685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29"/>
        <v>1.2083333333333333</v>
      </c>
      <c r="F58" s="188">
        <f t="shared" si="15"/>
        <v>63.45</v>
      </c>
      <c r="G58" s="188">
        <f t="shared" si="16"/>
        <v>51.45</v>
      </c>
      <c r="H58" s="459"/>
      <c r="I58" s="459"/>
      <c r="J58" s="3" t="s">
        <v>18</v>
      </c>
      <c r="K58" s="9" t="s">
        <v>18</v>
      </c>
      <c r="U58" s="14">
        <f t="shared" si="9"/>
        <v>520</v>
      </c>
      <c r="V58" s="3">
        <f t="shared" si="10"/>
        <v>4.6853880359717621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86.089999827192685</v>
      </c>
      <c r="AB58" s="10">
        <f t="shared" si="35"/>
        <v>86.089999827192685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9"/>
      <c r="I59" s="459"/>
      <c r="J59" s="3" t="s">
        <v>18</v>
      </c>
      <c r="K59" s="9" t="s">
        <v>18</v>
      </c>
      <c r="U59" s="14">
        <f t="shared" si="9"/>
        <v>520</v>
      </c>
      <c r="V59" s="3">
        <f t="shared" si="10"/>
        <v>4.6853880359717621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86.089999827192685</v>
      </c>
      <c r="AB59" s="10">
        <f t="shared" si="35"/>
        <v>86.089999827192685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9"/>
      <c r="I60" s="459"/>
      <c r="J60" s="3" t="s">
        <v>18</v>
      </c>
      <c r="K60" s="9" t="s">
        <v>18</v>
      </c>
      <c r="U60" s="14">
        <f t="shared" si="9"/>
        <v>520</v>
      </c>
      <c r="V60" s="3">
        <f t="shared" si="10"/>
        <v>4.6853880359717621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86.089999827192685</v>
      </c>
      <c r="AB60" s="10">
        <f t="shared" si="35"/>
        <v>86.089999827192685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41615.194444444445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9"/>
      <c r="I61" s="459"/>
      <c r="J61" s="3" t="s">
        <v>18</v>
      </c>
      <c r="K61" s="9" t="s">
        <v>18</v>
      </c>
      <c r="U61" s="14">
        <f t="shared" si="9"/>
        <v>520</v>
      </c>
      <c r="V61" s="3">
        <f t="shared" si="10"/>
        <v>4.6853880359717621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86.089999827192685</v>
      </c>
      <c r="AB61" s="10">
        <f t="shared" si="35"/>
        <v>86.089999827192685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9"/>
      <c r="I62" s="459"/>
      <c r="J62" s="3" t="s">
        <v>18</v>
      </c>
      <c r="K62" s="9" t="s">
        <v>18</v>
      </c>
      <c r="U62" s="14">
        <f t="shared" si="9"/>
        <v>520</v>
      </c>
      <c r="V62" s="3">
        <f t="shared" si="10"/>
        <v>4.6853880359717621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86.089999827192685</v>
      </c>
      <c r="AB62" s="10">
        <f t="shared" si="35"/>
        <v>86.089999827192685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9"/>
      <c r="I63" s="459"/>
      <c r="J63" s="3" t="s">
        <v>18</v>
      </c>
      <c r="K63" s="9" t="s">
        <v>18</v>
      </c>
      <c r="U63" s="14">
        <f t="shared" si="9"/>
        <v>520</v>
      </c>
      <c r="V63" s="3">
        <f t="shared" si="10"/>
        <v>4.6853880359717621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86.089999827192685</v>
      </c>
      <c r="AB63" s="10">
        <f t="shared" si="35"/>
        <v>86.089999827192685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9"/>
      <c r="I64" s="459"/>
      <c r="J64" s="3" t="s">
        <v>18</v>
      </c>
      <c r="K64" s="9" t="s">
        <v>18</v>
      </c>
      <c r="U64" s="14">
        <f t="shared" si="9"/>
        <v>520</v>
      </c>
      <c r="V64" s="3">
        <f t="shared" si="10"/>
        <v>4.6853880359717621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86.089999827192685</v>
      </c>
      <c r="AB64" s="10">
        <f t="shared" si="35"/>
        <v>86.089999827192685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9"/>
      <c r="I65" s="459"/>
      <c r="J65" s="3" t="s">
        <v>18</v>
      </c>
      <c r="K65" s="9" t="s">
        <v>18</v>
      </c>
      <c r="U65" s="14">
        <f t="shared" si="9"/>
        <v>520</v>
      </c>
      <c r="V65" s="3">
        <f t="shared" si="10"/>
        <v>4.6853880359717621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86.089999827192685</v>
      </c>
      <c r="AB65" s="10">
        <f t="shared" si="35"/>
        <v>86.089999827192685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41615.402777777774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9"/>
      <c r="I66" s="459"/>
      <c r="J66" s="3" t="s">
        <v>18</v>
      </c>
      <c r="K66" s="9" t="s">
        <v>18</v>
      </c>
      <c r="U66" s="14">
        <f t="shared" si="9"/>
        <v>520</v>
      </c>
      <c r="V66" s="3">
        <f t="shared" si="10"/>
        <v>4.6853880359717621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86.089999827192685</v>
      </c>
      <c r="AB66" s="10">
        <f t="shared" si="35"/>
        <v>86.089999827192685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9"/>
      <c r="I67" s="459"/>
      <c r="J67" s="3" t="s">
        <v>18</v>
      </c>
      <c r="K67" s="9" t="s">
        <v>18</v>
      </c>
      <c r="U67" s="14">
        <f t="shared" si="9"/>
        <v>520</v>
      </c>
      <c r="V67" s="3">
        <f t="shared" si="10"/>
        <v>4.6853880359717621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8"/>
        <v>2760</v>
      </c>
      <c r="AA67" s="263">
        <f>AB67+AC$2</f>
        <v>86.089999827192685</v>
      </c>
      <c r="AB67" s="10">
        <f t="shared" si="35"/>
        <v>86.089999827192685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9"/>
      <c r="I68" s="459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4.6853880359717621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8"/>
        <v>2820</v>
      </c>
      <c r="AA68" s="263">
        <f>AB68+AC$2</f>
        <v>86.089999827192685</v>
      </c>
      <c r="AB68" s="10">
        <f t="shared" si="35"/>
        <v>86.089999827192685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9"/>
      <c r="I69" s="459"/>
      <c r="J69" s="3" t="s">
        <v>18</v>
      </c>
      <c r="K69" s="9" t="s">
        <v>18</v>
      </c>
      <c r="U69" s="14">
        <f>U68</f>
        <v>520</v>
      </c>
      <c r="V69" s="3">
        <f t="shared" si="40"/>
        <v>4.6853880359717621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8"/>
        <v>2880</v>
      </c>
      <c r="AA69" s="263">
        <f>AB69+AC$2</f>
        <v>86.089999827192685</v>
      </c>
      <c r="AB69" s="10">
        <f t="shared" si="35"/>
        <v>86.089999827192685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9"/>
      <c r="I70" s="459"/>
      <c r="J70" s="3" t="s">
        <v>18</v>
      </c>
      <c r="K70" s="9" t="s">
        <v>18</v>
      </c>
      <c r="U70" s="14"/>
      <c r="V70" s="3">
        <f t="shared" si="40"/>
        <v>4.6853880359717621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41615.611111111109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9"/>
      <c r="I71" s="459"/>
      <c r="J71" s="3" t="s">
        <v>18</v>
      </c>
      <c r="K71" s="9" t="s">
        <v>18</v>
      </c>
      <c r="U71" s="14"/>
      <c r="V71" s="3">
        <f t="shared" si="40"/>
        <v>4.6853880359717621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9"/>
      <c r="I72" s="459"/>
      <c r="J72" s="3" t="s">
        <v>18</v>
      </c>
      <c r="K72" s="9" t="s">
        <v>18</v>
      </c>
      <c r="U72" s="14"/>
      <c r="V72" s="3">
        <f t="shared" si="40"/>
        <v>4.6853880359717621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9"/>
      <c r="I73" s="459"/>
      <c r="J73" s="3" t="s">
        <v>18</v>
      </c>
      <c r="K73" s="9" t="s">
        <v>18</v>
      </c>
      <c r="U73" s="14"/>
      <c r="V73" s="3">
        <f t="shared" si="40"/>
        <v>4.6853880359717621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9"/>
      <c r="I74" s="459"/>
      <c r="J74" s="3" t="s">
        <v>18</v>
      </c>
      <c r="K74" s="9" t="s">
        <v>18</v>
      </c>
      <c r="U74" s="14"/>
      <c r="V74" s="3">
        <f t="shared" si="40"/>
        <v>4.6853880359717621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9"/>
      <c r="I75" s="459"/>
      <c r="J75" s="3" t="s">
        <v>18</v>
      </c>
      <c r="K75" s="9" t="s">
        <v>18</v>
      </c>
      <c r="U75" s="14"/>
      <c r="V75" s="3">
        <f t="shared" si="40"/>
        <v>4.6853880359717621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9"/>
      <c r="I76" s="459"/>
      <c r="J76" s="3" t="s">
        <v>18</v>
      </c>
      <c r="K76" s="9" t="s">
        <v>18</v>
      </c>
      <c r="U76" s="14"/>
      <c r="V76" s="3">
        <f t="shared" si="40"/>
        <v>4.6853880359717621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41615.861111111109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9" t="s">
        <v>13</v>
      </c>
      <c r="I77" s="459" t="s">
        <v>13</v>
      </c>
      <c r="J77" s="3" t="s">
        <v>18</v>
      </c>
      <c r="K77" s="9" t="s">
        <v>18</v>
      </c>
      <c r="U77" s="14"/>
      <c r="V77" s="3">
        <f t="shared" si="40"/>
        <v>4.6853880359717621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41615.861805555556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9" t="s">
        <v>254</v>
      </c>
      <c r="I78" s="459"/>
      <c r="J78" s="3" t="s">
        <v>18</v>
      </c>
      <c r="K78" s="9"/>
      <c r="U78" s="14"/>
      <c r="V78" s="3">
        <f t="shared" si="40"/>
        <v>4.6853880359717621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9"/>
      <c r="I79" s="459"/>
      <c r="J79" s="3" t="s">
        <v>18</v>
      </c>
      <c r="K79" s="9" t="s">
        <v>18</v>
      </c>
      <c r="U79" s="14"/>
      <c r="V79" s="3">
        <f t="shared" si="40"/>
        <v>4.6853880359717621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9"/>
      <c r="I80" s="459"/>
      <c r="J80" s="3" t="s">
        <v>18</v>
      </c>
      <c r="K80" s="9" t="s">
        <v>18</v>
      </c>
      <c r="U80" s="14"/>
      <c r="V80" s="3">
        <f t="shared" si="40"/>
        <v>4.6853880359717621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9"/>
      <c r="I81" s="459"/>
      <c r="J81" s="3" t="s">
        <v>18</v>
      </c>
      <c r="K81" s="9" t="s">
        <v>18</v>
      </c>
      <c r="U81" s="14"/>
      <c r="V81" s="3">
        <f t="shared" si="40"/>
        <v>4.6853880359717621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9"/>
      <c r="I82" s="459"/>
      <c r="J82" s="3" t="s">
        <v>18</v>
      </c>
      <c r="K82" s="9" t="s">
        <v>18</v>
      </c>
      <c r="U82" s="14"/>
      <c r="V82" s="3">
        <f t="shared" si="40"/>
        <v>4.6853880359717621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9"/>
      <c r="I83" s="459"/>
      <c r="J83" s="3" t="s">
        <v>18</v>
      </c>
      <c r="K83" s="9" t="s">
        <v>18</v>
      </c>
      <c r="U83" s="14"/>
      <c r="V83" s="3">
        <f t="shared" si="40"/>
        <v>4.6853880359717621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9"/>
      <c r="I84" s="459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9"/>
      <c r="I85" s="459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9"/>
      <c r="I86" s="459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9"/>
      <c r="I87" s="459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9"/>
      <c r="I88" s="459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9"/>
      <c r="I89" s="459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9"/>
      <c r="I90" s="459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9"/>
      <c r="I91" s="459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9"/>
      <c r="I92" s="459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41615.902777777774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9"/>
      <c r="I93" s="459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9"/>
      <c r="I94" s="459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9"/>
      <c r="I95" s="459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9"/>
      <c r="I96" s="459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41615.944444444445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9"/>
      <c r="I97" s="459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9"/>
      <c r="I98" s="459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41616.027777777774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9">
        <v>41616.027777777774</v>
      </c>
      <c r="I99" s="459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9"/>
      <c r="I100" s="459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41616.111111111109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9"/>
      <c r="I101" s="459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  <mergeCell ref="H70:I70"/>
    <mergeCell ref="H60:I60"/>
    <mergeCell ref="H61:I61"/>
    <mergeCell ref="H62:I62"/>
    <mergeCell ref="H63:I63"/>
    <mergeCell ref="H58:I58"/>
    <mergeCell ref="H59:I59"/>
    <mergeCell ref="H54:I54"/>
    <mergeCell ref="H55:I55"/>
    <mergeCell ref="H67:I6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r:id="rId15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W-2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StepSelect!A18</f>
        <v>0.125</v>
      </c>
      <c r="B18" s="77"/>
    </row>
    <row r="19" spans="1:3" x14ac:dyDescent="0.15">
      <c r="A19" s="77">
        <f>StepSelect!A19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W-2</v>
      </c>
      <c r="B26" s="77"/>
    </row>
    <row r="27" spans="1:3" x14ac:dyDescent="0.15">
      <c r="A27" s="81">
        <f>스킨팩터!C9</f>
        <v>2.5137638134386768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7.3536772940069994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11.607483204592533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14.095800147631088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15.861289115178074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17.230708747993482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21.484514658579009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23.972831601617564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25.73832056916455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27.107740201979951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28.226637512203105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29.172651708553509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29.992126479750084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30.714954455241653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31.361546112565492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31.897379414619298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32.480443422788639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33.849863055604047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34.968760365827194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35.914774562177598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36.73424933337418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37.680263529724584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38.499738300921166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39.222566276412735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40.988055243959707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42.357474876775115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43.476372186998262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44.42238638334868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45.241861154545248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45.964689130036817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46.611280787360656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47.196194089414462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47.730178097583803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48.221395767582692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48.676192293934207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49.099597730399211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49.495667065130789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49.867717016198085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50.218495040622358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50.550302587213878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50.865086697946182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51.164509236972762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0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W-2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StepSelect!A18</f>
        <v>0.125</v>
      </c>
      <c r="B18" s="77"/>
    </row>
    <row r="19" spans="1:3" x14ac:dyDescent="0.15">
      <c r="A19" s="77">
        <f>StepSelect!A19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W-2</v>
      </c>
      <c r="B27" s="77"/>
    </row>
    <row r="28" spans="1:3" x14ac:dyDescent="0.15">
      <c r="A28" s="81">
        <f>스킨팩터!C9</f>
        <v>2.5137638134386768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StepSelect</vt:lpstr>
      <vt:lpstr>JanggiSelect</vt:lpstr>
      <vt:lpstr>RecoverSelect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2019-12-06T07:12:51Z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