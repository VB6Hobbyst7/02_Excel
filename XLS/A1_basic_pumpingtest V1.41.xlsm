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4_ihanseol - 2019\17_한밭수목원 - 동해엔지니어링\01_Base Data\"/>
    </mc:Choice>
  </mc:AlternateContent>
  <xr:revisionPtr revIDLastSave="0" documentId="13_ncr:1_{21720E85-EA58-488A-A411-62FB6BA772D2}" xr6:coauthVersionLast="45" xr6:coauthVersionMax="45" xr10:uidLastSave="{00000000-0000-0000-0000-000000000000}"/>
  <bookViews>
    <workbookView xWindow="-120" yWindow="-120" windowWidth="29040" windowHeight="1584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<sst xmlns="http://schemas.openxmlformats.org/spreadsheetml/2006/main" count="1098" uniqueCount="257">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</sst>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&quot;초기S:&quot;0.0000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97" fontId="1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0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vertical="center"/>
    </xf>
    <xf numFmtId="183" fontId="2" fillId="0" borderId="0" xfId="0" applyNumberFormat="1" applyFont="1" applyAlignment="1">
      <alignment vertical="center"/>
    </xf>
    <xf numFmtId="183" fontId="0" fillId="0" borderId="0" xfId="0" applyNumberFormat="1"/>
    <xf numFmtId="18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2" fontId="2" fillId="0" borderId="0" xfId="0" applyNumberFormat="1" applyFont="1" applyAlignment="1">
      <alignment vertical="center"/>
    </xf>
    <xf numFmtId="18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7" fontId="6" fillId="0" borderId="0" xfId="0" applyNumberFormat="1" applyFont="1"/>
    <xf numFmtId="0" fontId="6" fillId="0" borderId="0" xfId="0" applyFont="1" applyAlignment="1">
      <alignment horizontal="center"/>
    </xf>
    <xf numFmtId="17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1" fontId="2" fillId="0" borderId="0" xfId="0" applyNumberFormat="1" applyFont="1" applyAlignment="1">
      <alignment horizontal="center" vertical="center"/>
    </xf>
    <xf numFmtId="19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8" fontId="2" fillId="0" borderId="0" xfId="0" applyNumberFormat="1" applyFont="1" applyAlignment="1">
      <alignment vertical="center"/>
    </xf>
    <xf numFmtId="19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8" fontId="2" fillId="0" borderId="0" xfId="0" applyNumberFormat="1" applyFont="1" applyAlignment="1">
      <alignment horizontal="right"/>
    </xf>
    <xf numFmtId="201" fontId="2" fillId="0" borderId="0" xfId="0" applyNumberFormat="1" applyFont="1" applyAlignment="1">
      <alignment vertical="center"/>
    </xf>
    <xf numFmtId="202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3" fontId="0" fillId="0" borderId="0" xfId="0" applyNumberFormat="1" applyAlignment="1">
      <alignment horizontal="left"/>
    </xf>
    <xf numFmtId="177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7" fontId="0" fillId="0" borderId="0" xfId="0" applyNumberFormat="1"/>
    <xf numFmtId="193" fontId="2" fillId="2" borderId="0" xfId="0" applyNumberFormat="1" applyFont="1" applyFill="1" applyAlignment="1">
      <alignment vertical="center"/>
    </xf>
    <xf numFmtId="193" fontId="2" fillId="0" borderId="0" xfId="0" applyNumberFormat="1" applyFont="1"/>
    <xf numFmtId="193" fontId="2" fillId="2" borderId="0" xfId="0" applyNumberFormat="1" applyFont="1" applyFill="1"/>
    <xf numFmtId="193" fontId="2" fillId="0" borderId="0" xfId="0" applyNumberFormat="1" applyFont="1" applyAlignment="1">
      <alignment horizontal="center" vertical="center"/>
    </xf>
    <xf numFmtId="19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41" fontId="7" fillId="0" borderId="8" xfId="9" applyFont="1" applyBorder="1"/>
    <xf numFmtId="41" fontId="7" fillId="0" borderId="9" xfId="9" applyFont="1" applyBorder="1"/>
    <xf numFmtId="0" fontId="7" fillId="0" borderId="7" xfId="0" applyFont="1" applyBorder="1" applyAlignment="1">
      <alignment horizontal="right"/>
    </xf>
    <xf numFmtId="41" fontId="7" fillId="0" borderId="8" xfId="0" applyNumberFormat="1" applyFont="1" applyBorder="1"/>
    <xf numFmtId="205" fontId="7" fillId="0" borderId="8" xfId="0" applyNumberFormat="1" applyFont="1" applyBorder="1"/>
    <xf numFmtId="41" fontId="7" fillId="0" borderId="9" xfId="0" applyNumberFormat="1" applyFont="1" applyBorder="1"/>
    <xf numFmtId="0" fontId="7" fillId="2" borderId="10" xfId="0" applyFont="1" applyFill="1" applyBorder="1"/>
    <xf numFmtId="41" fontId="7" fillId="0" borderId="11" xfId="0" applyNumberFormat="1" applyFont="1" applyBorder="1"/>
    <xf numFmtId="206" fontId="7" fillId="0" borderId="11" xfId="0" applyNumberFormat="1" applyFont="1" applyBorder="1"/>
    <xf numFmtId="41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6" fontId="7" fillId="12" borderId="22" xfId="14" applyNumberFormat="1" applyFont="1" applyFill="1" applyBorder="1"/>
    <xf numFmtId="17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3" fontId="14" fillId="0" borderId="0" xfId="0" applyNumberFormat="1" applyFont="1" applyAlignment="1">
      <alignment horizontal="right"/>
    </xf>
    <xf numFmtId="18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8" fontId="2" fillId="0" borderId="4" xfId="0" applyNumberFormat="1" applyFont="1" applyBorder="1" applyAlignment="1">
      <alignment horizontal="right" vertical="center"/>
    </xf>
    <xf numFmtId="19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4" fontId="20" fillId="0" borderId="3" xfId="0" applyNumberFormat="1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5" fontId="20" fillId="0" borderId="3" xfId="0" applyNumberFormat="1" applyFont="1" applyBorder="1" applyAlignment="1">
      <alignment horizontal="center" vertical="center"/>
    </xf>
    <xf numFmtId="180" fontId="20" fillId="0" borderId="4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5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6" fontId="23" fillId="0" borderId="2" xfId="0" applyNumberFormat="1" applyFont="1" applyBorder="1" applyAlignment="1">
      <alignment horizontal="centerContinuous" vertical="center"/>
    </xf>
    <xf numFmtId="18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3" fontId="23" fillId="0" borderId="36" xfId="0" applyNumberFormat="1" applyFont="1" applyBorder="1" applyAlignment="1">
      <alignment horizontal="centerContinuous"/>
    </xf>
    <xf numFmtId="18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89" fontId="22" fillId="0" borderId="3" xfId="0" applyNumberFormat="1" applyFont="1" applyBorder="1" applyAlignment="1">
      <alignment horizontal="center" vertical="center"/>
    </xf>
    <xf numFmtId="193" fontId="6" fillId="3" borderId="3" xfId="0" applyNumberFormat="1" applyFont="1" applyFill="1" applyBorder="1" applyAlignment="1">
      <alignment horizontal="right"/>
    </xf>
    <xf numFmtId="18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8" fontId="7" fillId="0" borderId="3" xfId="0" applyNumberFormat="1" applyFont="1" applyBorder="1" applyAlignment="1">
      <alignment horizontal="right"/>
    </xf>
    <xf numFmtId="176" fontId="7" fillId="2" borderId="3" xfId="0" applyNumberFormat="1" applyFont="1" applyFill="1" applyBorder="1"/>
    <xf numFmtId="19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2" fillId="16" borderId="3" xfId="0" applyNumberFormat="1" applyFont="1" applyFill="1" applyBorder="1" applyAlignment="1">
      <alignment horizontal="center" vertical="center"/>
    </xf>
    <xf numFmtId="182" fontId="28" fillId="0" borderId="0" xfId="0" applyNumberFormat="1" applyFont="1" applyAlignment="1">
      <alignment vertical="center"/>
    </xf>
    <xf numFmtId="194" fontId="0" fillId="0" borderId="0" xfId="0" applyNumberFormat="1" applyAlignment="1">
      <alignment horizontal="left"/>
    </xf>
    <xf numFmtId="19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79" fontId="20" fillId="0" borderId="3" xfId="0" applyNumberFormat="1" applyFont="1" applyBorder="1" applyAlignment="1">
      <alignment horizontal="right" vertical="center"/>
    </xf>
    <xf numFmtId="177" fontId="6" fillId="3" borderId="0" xfId="0" applyNumberFormat="1" applyFont="1" applyFill="1"/>
    <xf numFmtId="0" fontId="29" fillId="2" borderId="0" xfId="0" applyFont="1" applyFill="1"/>
    <xf numFmtId="208" fontId="7" fillId="0" borderId="3" xfId="0" applyNumberFormat="1" applyFont="1" applyBorder="1"/>
    <xf numFmtId="21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6" fontId="31" fillId="0" borderId="0" xfId="0" applyNumberFormat="1" applyFont="1"/>
    <xf numFmtId="187" fontId="2" fillId="17" borderId="0" xfId="0" applyNumberFormat="1" applyFont="1" applyFill="1" applyAlignment="1">
      <alignment vertical="center"/>
    </xf>
    <xf numFmtId="20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1" fontId="2" fillId="20" borderId="3" xfId="0" applyNumberFormat="1" applyFont="1" applyFill="1" applyBorder="1" applyAlignment="1">
      <alignment vertical="center"/>
    </xf>
    <xf numFmtId="18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3" fontId="35" fillId="4" borderId="54" xfId="15" applyNumberFormat="1" applyFont="1" applyFill="1" applyBorder="1">
      <alignment vertical="center"/>
    </xf>
    <xf numFmtId="21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2" fontId="42" fillId="23" borderId="0" xfId="16" applyNumberFormat="1">
      <alignment vertical="center"/>
    </xf>
    <xf numFmtId="18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3" fontId="37" fillId="0" borderId="63" xfId="15" applyNumberFormat="1" applyFont="1" applyBorder="1" applyAlignment="1">
      <alignment horizontal="center" vertical="center"/>
    </xf>
    <xf numFmtId="177" fontId="7" fillId="0" borderId="0" xfId="0" applyNumberFormat="1" applyFont="1"/>
    <xf numFmtId="204" fontId="0" fillId="0" borderId="0" xfId="0" applyNumberFormat="1"/>
    <xf numFmtId="0" fontId="44" fillId="0" borderId="0" xfId="0" applyFont="1" applyAlignment="1">
      <alignment horizontal="center" vertical="center" readingOrder="1"/>
    </xf>
    <xf numFmtId="19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1" fontId="37" fillId="0" borderId="0" xfId="15" applyNumberFormat="1" applyFont="1">
      <alignment vertical="center"/>
    </xf>
    <xf numFmtId="20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6" fontId="37" fillId="0" borderId="0" xfId="15" applyNumberFormat="1" applyFont="1">
      <alignment vertical="center"/>
    </xf>
    <xf numFmtId="20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2" fontId="35" fillId="2" borderId="3" xfId="0" applyNumberFormat="1" applyFont="1" applyFill="1" applyBorder="1"/>
    <xf numFmtId="18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2" fontId="2" fillId="20" borderId="0" xfId="0" applyNumberFormat="1" applyFont="1" applyFill="1" applyAlignment="1">
      <alignment vertical="center"/>
    </xf>
    <xf numFmtId="187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7" fontId="2" fillId="17" borderId="0" xfId="0" applyNumberFormat="1" applyFont="1" applyFill="1" applyAlignment="1">
      <alignment vertical="center"/>
    </xf>
    <xf numFmtId="17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4" fontId="58" fillId="27" borderId="0" xfId="0" applyNumberFormat="1" applyFont="1" applyFill="1" applyBorder="1" applyAlignment="1">
      <alignment horizontal="right" vertical="center"/>
    </xf>
    <xf numFmtId="19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3" fontId="37" fillId="22" borderId="43" xfId="15" applyNumberFormat="1" applyFont="1" applyFill="1" applyBorder="1" applyAlignment="1">
      <alignment horizontal="center" vertical="center"/>
    </xf>
    <xf numFmtId="193" fontId="37" fillId="22" borderId="45" xfId="15" applyNumberFormat="1" applyFont="1" applyFill="1" applyBorder="1">
      <alignment vertical="center"/>
    </xf>
    <xf numFmtId="215" fontId="37" fillId="22" borderId="54" xfId="15" applyNumberFormat="1" applyFont="1" applyFill="1" applyBorder="1">
      <alignment vertical="center"/>
    </xf>
    <xf numFmtId="215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6" fontId="49" fillId="4" borderId="4" xfId="0" applyNumberFormat="1" applyFont="1" applyFill="1" applyBorder="1" applyAlignment="1">
      <alignment horizontal="right" vertical="center"/>
    </xf>
    <xf numFmtId="186" fontId="49" fillId="4" borderId="2" xfId="0" applyNumberFormat="1" applyFont="1" applyFill="1" applyBorder="1" applyAlignment="1">
      <alignment horizontal="right" vertical="center"/>
    </xf>
    <xf numFmtId="186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6" fontId="46" fillId="2" borderId="3" xfId="0" applyNumberFormat="1" applyFont="1" applyFill="1" applyBorder="1" applyAlignment="1">
      <alignment horizontal="center" vertical="center"/>
    </xf>
    <xf numFmtId="18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4" fontId="6" fillId="3" borderId="3" xfId="0" applyNumberFormat="1" applyFont="1" applyFill="1" applyBorder="1" applyAlignment="1">
      <alignment horizontal="center"/>
    </xf>
    <xf numFmtId="204" fontId="6" fillId="0" borderId="37" xfId="0" applyNumberFormat="1" applyFont="1" applyBorder="1" applyAlignment="1">
      <alignment horizontal="center" vertical="center"/>
    </xf>
    <xf numFmtId="204" fontId="6" fillId="0" borderId="5" xfId="0" applyNumberFormat="1" applyFont="1" applyBorder="1" applyAlignment="1">
      <alignment horizontal="center" vertical="center"/>
    </xf>
    <xf numFmtId="204" fontId="6" fillId="0" borderId="30" xfId="0" applyNumberFormat="1" applyFont="1" applyBorder="1" applyAlignment="1">
      <alignment horizontal="center" vertical="center"/>
    </xf>
    <xf numFmtId="204" fontId="6" fillId="0" borderId="14" xfId="0" applyNumberFormat="1" applyFont="1" applyBorder="1" applyAlignment="1">
      <alignment horizontal="center" vertical="center"/>
    </xf>
    <xf numFmtId="193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0" fontId="6" fillId="2" borderId="4" xfId="0" applyNumberFormat="1" applyFont="1" applyFill="1" applyBorder="1" applyAlignment="1">
      <alignment horizontal="center"/>
    </xf>
    <xf numFmtId="210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0" fontId="22" fillId="0" borderId="3" xfId="0" applyNumberFormat="1" applyFont="1" applyBorder="1" applyAlignment="1">
      <alignment horizontal="center" vertical="center"/>
    </xf>
    <xf numFmtId="189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0" fontId="22" fillId="0" borderId="4" xfId="0" applyNumberFormat="1" applyFont="1" applyBorder="1" applyAlignment="1">
      <alignment horizontal="center" vertical="center"/>
    </xf>
    <xf numFmtId="180" fontId="22" fillId="0" borderId="2" xfId="0" applyNumberFormat="1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99" fontId="22" fillId="0" borderId="4" xfId="0" applyNumberFormat="1" applyFont="1" applyBorder="1" applyAlignment="1">
      <alignment horizontal="center" vertical="center"/>
    </xf>
    <xf numFmtId="199" fontId="22" fillId="0" borderId="2" xfId="0" applyNumberFormat="1" applyFont="1" applyBorder="1" applyAlignment="1">
      <alignment horizontal="center" vertical="center"/>
    </xf>
    <xf numFmtId="199" fontId="22" fillId="0" borderId="36" xfId="0" applyNumberFormat="1" applyFont="1" applyBorder="1" applyAlignment="1">
      <alignment horizontal="center" vertical="center"/>
    </xf>
    <xf numFmtId="178" fontId="22" fillId="0" borderId="3" xfId="0" applyNumberFormat="1" applyFont="1" applyBorder="1" applyAlignment="1">
      <alignment horizontal="center" vertical="center"/>
    </xf>
    <xf numFmtId="219" fontId="2" fillId="0" borderId="3" xfId="0" applyNumberFormat="1" applyFont="1" applyBorder="1" applyAlignment="1">
      <alignment horizontal="center" vertical="center"/>
    </xf>
    <xf numFmtId="212" fontId="2" fillId="0" borderId="3" xfId="0" applyNumberFormat="1" applyFont="1" applyBorder="1" applyAlignment="1">
      <alignment horizontal="left" vertical="center"/>
    </xf>
    <xf numFmtId="212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2.13</c:v>
                </c:pt>
                <c:pt idx="1">
                  <c:v>4.03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0.17699999999999999</c:v>
                </c:pt>
                <c:pt idx="1">
                  <c:v>0.185</c:v>
                </c:pt>
                <c:pt idx="2">
                  <c:v>0.19400000000000001</c:v>
                </c:pt>
                <c:pt idx="3">
                  <c:v>0.20100000000000001</c:v>
                </c:pt>
                <c:pt idx="4">
                  <c:v>0.22800000000000001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0.253"/>
          <c:min val="0.15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525000000000000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83.176627814524721</c:v>
                </c:pt>
                <c:pt idx="2">
                  <c:v>79.508989356369199</c:v>
                </c:pt>
                <c:pt idx="3">
                  <c:v>76.061382870386623</c:v>
                </c:pt>
                <c:pt idx="4">
                  <c:v>72.978436657681939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양수량(Q)(W-1)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652378575377464E-2"/>
                  <c:y val="-0.218254879712088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0.17717741935483869</c:v>
                </c:pt>
                <c:pt idx="2">
                  <c:v>0.18544303797468356</c:v>
                </c:pt>
                <c:pt idx="3">
                  <c:v>0.19455817569318476</c:v>
                </c:pt>
                <c:pt idx="4">
                  <c:v>0.2017180616740088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0.253"/>
          <c:min val="0.15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525000000000000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2.13</c:v>
                </c:pt>
                <c:pt idx="1">
                  <c:v>4.03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1.0029004637838312</c:v>
                </c:pt>
                <c:pt idx="1">
                  <c:v>4.0385790004537618</c:v>
                </c:pt>
                <c:pt idx="2">
                  <c:v>5.8143371086497453</c:v>
                </c:pt>
                <c:pt idx="3">
                  <c:v>7.0742575371236924</c:v>
                </c:pt>
                <c:pt idx="4">
                  <c:v>8.0515277451242966</c:v>
                </c:pt>
                <c:pt idx="5">
                  <c:v>11.087206281794224</c:v>
                </c:pt>
                <c:pt idx="6">
                  <c:v>12.862964389990211</c:v>
                </c:pt>
                <c:pt idx="7">
                  <c:v>14.122884818464158</c:v>
                </c:pt>
                <c:pt idx="8">
                  <c:v>15.100155026464762</c:v>
                </c:pt>
                <c:pt idx="9">
                  <c:v>15.898642926660138</c:v>
                </c:pt>
                <c:pt idx="10">
                  <c:v>16.573754826829251</c:v>
                </c:pt>
                <c:pt idx="11">
                  <c:v>17.158563355134085</c:v>
                </c:pt>
                <c:pt idx="12">
                  <c:v>17.674401034856125</c:v>
                </c:pt>
                <c:pt idx="13">
                  <c:v>18.135833563134689</c:v>
                </c:pt>
                <c:pt idx="14">
                  <c:v>18.553250058898854</c:v>
                </c:pt>
                <c:pt idx="15">
                  <c:v>18.934321463330072</c:v>
                </c:pt>
                <c:pt idx="16">
                  <c:v>19.911591671330676</c:v>
                </c:pt>
                <c:pt idx="17">
                  <c:v>20.710079571526052</c:v>
                </c:pt>
                <c:pt idx="18">
                  <c:v>21.385191471695158</c:v>
                </c:pt>
                <c:pt idx="19">
                  <c:v>21.97</c:v>
                </c:pt>
                <c:pt idx="20">
                  <c:v>25.87862872136072</c:v>
                </c:pt>
                <c:pt idx="21">
                  <c:v>26.292181221232823</c:v>
                </c:pt>
                <c:pt idx="22">
                  <c:v>26.677189387663276</c:v>
                </c:pt>
                <c:pt idx="23">
                  <c:v>27.694617518557394</c:v>
                </c:pt>
                <c:pt idx="24">
                  <c:v>29.299999999999997</c:v>
                </c:pt>
                <c:pt idx="25">
                  <c:v>35.055028381569393</c:v>
                </c:pt>
                <c:pt idx="26">
                  <c:v>35.322309883423436</c:v>
                </c:pt>
                <c:pt idx="27">
                  <c:v>35.57950284940285</c:v>
                </c:pt>
                <c:pt idx="28">
                  <c:v>36.297514190784703</c:v>
                </c:pt>
                <c:pt idx="29">
                  <c:v>37.54</c:v>
                </c:pt>
                <c:pt idx="30">
                  <c:v>43.703201774749211</c:v>
                </c:pt>
                <c:pt idx="31">
                  <c:v>43.917012241325217</c:v>
                </c:pt>
                <c:pt idx="32">
                  <c:v>44.12526855642195</c:v>
                </c:pt>
                <c:pt idx="33">
                  <c:v>44.719423097377437</c:v>
                </c:pt>
                <c:pt idx="34">
                  <c:v>45.79</c:v>
                </c:pt>
                <c:pt idx="35">
                  <c:v>57.652720221182342</c:v>
                </c:pt>
                <c:pt idx="36">
                  <c:v>57.838989787532235</c:v>
                </c:pt>
                <c:pt idx="37">
                  <c:v>58.021570604106721</c:v>
                </c:pt>
                <c:pt idx="38">
                  <c:v>58.548572891071608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2.13</c:v>
                </c:pt>
                <c:pt idx="1">
                  <c:v>4.03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3.8561268939685953</c:v>
                </c:pt>
                <c:pt idx="1">
                  <c:v>7.5122537879371905</c:v>
                </c:pt>
                <c:pt idx="2">
                  <c:v>10.256333407701725</c:v>
                </c:pt>
                <c:pt idx="3">
                  <c:v>12.203288882292071</c:v>
                </c:pt>
                <c:pt idx="4">
                  <c:v>13.71346487326749</c:v>
                </c:pt>
                <c:pt idx="5">
                  <c:v>18.404499967622371</c:v>
                </c:pt>
                <c:pt idx="6">
                  <c:v>21.148579587386905</c:v>
                </c:pt>
                <c:pt idx="7">
                  <c:v>23.095535061977252</c:v>
                </c:pt>
                <c:pt idx="8">
                  <c:v>24.605711052952671</c:v>
                </c:pt>
                <c:pt idx="9">
                  <c:v>25.839614681741786</c:v>
                </c:pt>
                <c:pt idx="10">
                  <c:v>26.882865334949614</c:v>
                </c:pt>
                <c:pt idx="11">
                  <c:v>27.786570156332118</c:v>
                </c:pt>
                <c:pt idx="12">
                  <c:v>28.583694301506313</c:v>
                </c:pt>
                <c:pt idx="13">
                  <c:v>29.296746147307559</c:v>
                </c:pt>
                <c:pt idx="14">
                  <c:v>29.892700002815946</c:v>
                </c:pt>
                <c:pt idx="15">
                  <c:v>30.530649776096652</c:v>
                </c:pt>
                <c:pt idx="16">
                  <c:v>32.040825767072079</c:v>
                </c:pt>
                <c:pt idx="17">
                  <c:v>33.2747293958612</c:v>
                </c:pt>
                <c:pt idx="18">
                  <c:v>34.317980049069021</c:v>
                </c:pt>
                <c:pt idx="19">
                  <c:v>35.22168487045154</c:v>
                </c:pt>
                <c:pt idx="20">
                  <c:v>36.264935523659375</c:v>
                </c:pt>
                <c:pt idx="21">
                  <c:v>37.168640345041879</c:v>
                </c:pt>
                <c:pt idx="22">
                  <c:v>37.965764490216074</c:v>
                </c:pt>
                <c:pt idx="23">
                  <c:v>39.912719964806413</c:v>
                </c:pt>
                <c:pt idx="24">
                  <c:v>41.42289595578184</c:v>
                </c:pt>
                <c:pt idx="25">
                  <c:v>42.656799584570948</c:v>
                </c:pt>
                <c:pt idx="26">
                  <c:v>43.700050237778783</c:v>
                </c:pt>
                <c:pt idx="27">
                  <c:v>44.603755059161301</c:v>
                </c:pt>
                <c:pt idx="28">
                  <c:v>45.400879204335496</c:v>
                </c:pt>
                <c:pt idx="29">
                  <c:v>46.113931050136713</c:v>
                </c:pt>
                <c:pt idx="30">
                  <c:v>46.758964905645129</c:v>
                </c:pt>
                <c:pt idx="31">
                  <c:v>47.347834678925835</c:v>
                </c:pt>
                <c:pt idx="32">
                  <c:v>47.889542358441204</c:v>
                </c:pt>
                <c:pt idx="33">
                  <c:v>48.39108533213367</c:v>
                </c:pt>
                <c:pt idx="34">
                  <c:v>48.858010669901248</c:v>
                </c:pt>
                <c:pt idx="35">
                  <c:v>49.294790153516175</c:v>
                </c:pt>
                <c:pt idx="36">
                  <c:v>49.705081411273511</c:v>
                </c:pt>
                <c:pt idx="37">
                  <c:v>50.091914298690369</c:v>
                </c:pt>
                <c:pt idx="38">
                  <c:v>50.457826819936173</c:v>
                </c:pt>
                <c:pt idx="39">
                  <c:v>50.804966144491601</c:v>
                </c:pt>
                <c:pt idx="40">
                  <c:v>51.135164951898204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41613.861805555556</c:v>
                </c:pt>
                <c:pt idx="23">
                  <c:v>41614.027777777774</c:v>
                </c:pt>
                <c:pt idx="47">
                  <c:v>41615.027777777774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3.8561268939685953</c:v>
                </c:pt>
                <c:pt idx="1">
                  <c:v>7.5122537879371905</c:v>
                </c:pt>
                <c:pt idx="2">
                  <c:v>10.256333407701725</c:v>
                </c:pt>
                <c:pt idx="3">
                  <c:v>12.203288882292071</c:v>
                </c:pt>
                <c:pt idx="4">
                  <c:v>13.71346487326749</c:v>
                </c:pt>
                <c:pt idx="5">
                  <c:v>18.404499967622371</c:v>
                </c:pt>
                <c:pt idx="6">
                  <c:v>21.148579587386905</c:v>
                </c:pt>
                <c:pt idx="7">
                  <c:v>23.095535061977252</c:v>
                </c:pt>
                <c:pt idx="8">
                  <c:v>24.605711052952671</c:v>
                </c:pt>
                <c:pt idx="9">
                  <c:v>25.839614681741786</c:v>
                </c:pt>
                <c:pt idx="10">
                  <c:v>26.882865334949614</c:v>
                </c:pt>
                <c:pt idx="11">
                  <c:v>27.786570156332118</c:v>
                </c:pt>
                <c:pt idx="12">
                  <c:v>28.583694301506313</c:v>
                </c:pt>
                <c:pt idx="13">
                  <c:v>29.296746147307559</c:v>
                </c:pt>
                <c:pt idx="14">
                  <c:v>29.892700002815946</c:v>
                </c:pt>
                <c:pt idx="15">
                  <c:v>30.530649776096652</c:v>
                </c:pt>
                <c:pt idx="16">
                  <c:v>32.040825767072079</c:v>
                </c:pt>
                <c:pt idx="17">
                  <c:v>33.2747293958612</c:v>
                </c:pt>
                <c:pt idx="18">
                  <c:v>34.317980049069021</c:v>
                </c:pt>
                <c:pt idx="19">
                  <c:v>35.22168487045154</c:v>
                </c:pt>
                <c:pt idx="20">
                  <c:v>36.264935523659375</c:v>
                </c:pt>
                <c:pt idx="21">
                  <c:v>37.168640345041879</c:v>
                </c:pt>
                <c:pt idx="22">
                  <c:v>37.965764490216074</c:v>
                </c:pt>
                <c:pt idx="23">
                  <c:v>39.912719964806413</c:v>
                </c:pt>
                <c:pt idx="24">
                  <c:v>41.42289595578184</c:v>
                </c:pt>
                <c:pt idx="25">
                  <c:v>42.656799584570948</c:v>
                </c:pt>
                <c:pt idx="26">
                  <c:v>43.700050237778783</c:v>
                </c:pt>
                <c:pt idx="27">
                  <c:v>44.603755059161301</c:v>
                </c:pt>
                <c:pt idx="28">
                  <c:v>45.400879204335496</c:v>
                </c:pt>
                <c:pt idx="29">
                  <c:v>46.113931050136713</c:v>
                </c:pt>
                <c:pt idx="30">
                  <c:v>46.758964905645129</c:v>
                </c:pt>
                <c:pt idx="31">
                  <c:v>47.347834678925835</c:v>
                </c:pt>
                <c:pt idx="32">
                  <c:v>47.889542358441204</c:v>
                </c:pt>
                <c:pt idx="33">
                  <c:v>48.39108533213367</c:v>
                </c:pt>
                <c:pt idx="34">
                  <c:v>48.858010669901248</c:v>
                </c:pt>
                <c:pt idx="35">
                  <c:v>49.294790153516175</c:v>
                </c:pt>
                <c:pt idx="36">
                  <c:v>49.705081411273511</c:v>
                </c:pt>
                <c:pt idx="37">
                  <c:v>50.091914298690369</c:v>
                </c:pt>
                <c:pt idx="38">
                  <c:v>50.457826819936173</c:v>
                </c:pt>
                <c:pt idx="39">
                  <c:v>50.804966144491601</c:v>
                </c:pt>
                <c:pt idx="40">
                  <c:v>51.135164951898204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2.13</v>
      </c>
      <c r="E1">
        <v>1</v>
      </c>
      <c r="F1">
        <f>단계양수시험!G12</f>
        <v>2.13</v>
      </c>
    </row>
    <row r="2" spans="1:6" x14ac:dyDescent="0.15">
      <c r="A2" s="234">
        <v>2</v>
      </c>
      <c r="B2">
        <f t="shared" ref="B2:B20" si="0">F2</f>
        <v>4.03</v>
      </c>
      <c r="E2">
        <v>2</v>
      </c>
      <c r="F2">
        <f>단계양수시험!G13</f>
        <v>4.03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topLeftCell="A31" zoomScaleNormal="100" workbookViewId="0">
      <selection activeCell="P54" sqref="P54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58.495833333333337</v>
      </c>
      <c r="F1" s="237"/>
      <c r="G1" s="237">
        <f>E1/E2</f>
        <v>0.87743749999999998</v>
      </c>
    </row>
    <row r="2" spans="1:19" x14ac:dyDescent="0.15">
      <c r="A2" s="47" t="s">
        <v>186</v>
      </c>
      <c r="B2" s="47" t="s">
        <v>187</v>
      </c>
      <c r="D2" s="20">
        <f>D19</f>
        <v>111</v>
      </c>
      <c r="E2" s="237">
        <f>M51/3</f>
        <v>66.666666666666671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124</v>
      </c>
      <c r="E3" s="17">
        <f>D3/12</f>
        <v>10.333333333333334</v>
      </c>
      <c r="F3" s="21">
        <f>INT(B3/D3*1000)/1000</f>
        <v>0.17699999999999999</v>
      </c>
      <c r="G3" s="21">
        <f>1/F3</f>
        <v>5.6497175141242941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0.185</v>
      </c>
      <c r="G4" s="21">
        <f t="shared" ref="G4:G7" si="1">1/F4</f>
        <v>5.4054054054054053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0.19400000000000001</v>
      </c>
      <c r="G5" s="21">
        <f t="shared" si="1"/>
        <v>5.1546391752577314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0.20100000000000001</v>
      </c>
      <c r="G6" s="21">
        <f t="shared" si="1"/>
        <v>4.9751243781094523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0.22800000000000001</v>
      </c>
      <c r="G7" s="21">
        <f t="shared" si="1"/>
        <v>4.3859649122807012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5.6440600819299043</v>
      </c>
      <c r="B10" s="279">
        <f>B20/D20</f>
        <v>0.17717741935483869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5.3924914675767921</v>
      </c>
      <c r="B11" s="279">
        <f t="shared" ref="B11:B14" si="3">B21/D21</f>
        <v>0.18544303797468356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5.1398508257858282</v>
      </c>
      <c r="B12" s="279">
        <f t="shared" si="3"/>
        <v>0.19455817569318476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4.9574142825944527</v>
      </c>
      <c r="B13" s="279">
        <f t="shared" si="3"/>
        <v>0.2017180616740088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4.3859206989247301</v>
      </c>
      <c r="B14" s="279">
        <f t="shared" si="3"/>
        <v>0.22800229841026629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227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111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124</v>
      </c>
      <c r="E20" s="17">
        <f>0.55*E14</f>
        <v>0.55000000000000004</v>
      </c>
      <c r="F20" s="21">
        <f>B20/D20</f>
        <v>0.17717741935483869</v>
      </c>
      <c r="G20" s="17">
        <f>F20-F19</f>
        <v>0.17717741935483869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158</v>
      </c>
      <c r="E21" s="17">
        <f>0.7*E15</f>
        <v>0.7</v>
      </c>
      <c r="F21" s="21">
        <f>B21/D21</f>
        <v>0.18544303797468356</v>
      </c>
      <c r="G21" s="17">
        <f>F21-F20</f>
        <v>8.2656186198448722E-3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192.95</v>
      </c>
      <c r="E22" s="17">
        <f>0.85*E16</f>
        <v>0.85</v>
      </c>
      <c r="F22" s="21">
        <f>B22/D22</f>
        <v>0.19455817569318476</v>
      </c>
      <c r="G22" s="17">
        <f>F22-F21</f>
        <v>9.1151377185011984E-3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227</v>
      </c>
      <c r="E23" s="17">
        <v>1</v>
      </c>
      <c r="F23" s="21">
        <f>B23/D23</f>
        <v>0.2017180616740088</v>
      </c>
      <c r="G23" s="17">
        <f>F23-F22</f>
        <v>7.1598859808240378E-3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261.04999999999995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0.22800229841026629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200</v>
      </c>
      <c r="F26" s="184">
        <f>M50/M51</f>
        <v>0.25725000000000003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202.32462443219234</v>
      </c>
      <c r="D27" s="19">
        <f>(C27/D6)*100</f>
        <v>89.129790498763143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2.4059999999999999E-4</v>
      </c>
      <c r="B31" s="32">
        <v>0.14750460000000001</v>
      </c>
      <c r="D31" s="20">
        <f t="shared" ref="D31:D36" si="4">D19</f>
        <v>111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2.4059999999999999E-4</v>
      </c>
      <c r="B32" s="17">
        <f t="shared" si="5"/>
        <v>0.14750460000000001</v>
      </c>
      <c r="D32" s="20">
        <f t="shared" si="4"/>
        <v>124</v>
      </c>
      <c r="F32" s="23">
        <f>B32*D32/(B32*D32+A32*D32*D32)*100</f>
        <v>83.176627814524721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2.4059999999999999E-4</v>
      </c>
      <c r="B33" s="17">
        <f t="shared" si="5"/>
        <v>0.14750460000000001</v>
      </c>
      <c r="D33" s="20">
        <f t="shared" si="4"/>
        <v>158</v>
      </c>
      <c r="F33" s="23">
        <f>B33*D33/(B33*D33+A33*D33*D33)*100</f>
        <v>79.508989356369199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2.4059999999999999E-4</v>
      </c>
      <c r="B34" s="17">
        <f t="shared" si="5"/>
        <v>0.14750460000000001</v>
      </c>
      <c r="D34" s="20">
        <f t="shared" si="4"/>
        <v>192.95</v>
      </c>
      <c r="F34" s="23">
        <f>B34*D34/(B34*D34+A34*D34*D34)*100</f>
        <v>76.061382870386623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2.4059999999999999E-4</v>
      </c>
      <c r="B35" s="17">
        <f>B34</f>
        <v>0.14750460000000001</v>
      </c>
      <c r="D35" s="20">
        <f t="shared" si="4"/>
        <v>227</v>
      </c>
      <c r="F35" s="23">
        <f>B35*D35/(B35*D35+A35*D35*D35)*100</f>
        <v>72.978436657681939</v>
      </c>
      <c r="G35" s="23"/>
    </row>
    <row r="36" spans="1:21" x14ac:dyDescent="0.15">
      <c r="D36" s="20">
        <f t="shared" si="4"/>
        <v>261.04999999999995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77.931359174740621</v>
      </c>
      <c r="P37" s="18">
        <v>2.4059999999999999E-4</v>
      </c>
      <c r="Q37" s="18">
        <v>9.9000000000000005E-2</v>
      </c>
    </row>
    <row r="38" spans="1:21" x14ac:dyDescent="0.15">
      <c r="A38" s="46">
        <v>75.5</v>
      </c>
      <c r="B38" s="47">
        <v>9.9000000000000005E-2</v>
      </c>
      <c r="C38" s="47">
        <v>95.3</v>
      </c>
      <c r="E38" s="17" t="s">
        <v>33</v>
      </c>
      <c r="P38" s="18">
        <v>0.14750460000000001</v>
      </c>
      <c r="Q38" s="18">
        <v>95.3</v>
      </c>
    </row>
    <row r="39" spans="1:21" x14ac:dyDescent="0.15">
      <c r="A39" s="24"/>
      <c r="B39" s="25" t="s">
        <v>34</v>
      </c>
      <c r="C39" s="19">
        <f>(C38-A38)/B38</f>
        <v>199.99999999999997</v>
      </c>
      <c r="D39" s="17">
        <f>C38-B38*M51</f>
        <v>75.5</v>
      </c>
    </row>
    <row r="40" spans="1:21" x14ac:dyDescent="0.15">
      <c r="A40" s="24" t="s">
        <v>35</v>
      </c>
      <c r="B40" s="25" t="s">
        <v>34</v>
      </c>
      <c r="C40" s="17">
        <f>INT(C39)</f>
        <v>200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4.2869999999999999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0.14750460000000001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227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28" t="s">
        <v>256</v>
      </c>
      <c r="K48" s="428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4.33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200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40.738</v>
      </c>
      <c r="C52" s="17">
        <f>INT(B52*B51*1000)/1000</f>
        <v>0.02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18.75</v>
      </c>
      <c r="H54" s="365" t="s">
        <v>242</v>
      </c>
      <c r="I54" s="397" t="s">
        <v>243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topLeftCell="A4"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3.8561268939685953</v>
      </c>
      <c r="C5" s="294">
        <f>장기양수시험!B10</f>
        <v>200</v>
      </c>
      <c r="D5" s="360">
        <v>1.6341000000000001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0.19796108229562626</v>
      </c>
      <c r="D7" s="304" t="s">
        <v>202</v>
      </c>
      <c r="E7" s="303">
        <f>1.15*LOG((2.25*D5*(1/1440))/(F5*E5^2))</f>
        <v>2.8914549195052919</v>
      </c>
      <c r="F7" s="304" t="s">
        <v>197</v>
      </c>
      <c r="G7" s="412">
        <f>C7-E7</f>
        <v>-2.6934938372096657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1.8479045020970803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106.3</v>
      </c>
      <c r="D14" s="311"/>
      <c r="E14" s="312" t="s">
        <v>205</v>
      </c>
      <c r="F14" s="313">
        <f>D5</f>
        <v>1.6341000000000001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2.0560499999999999</v>
      </c>
      <c r="E17" s="317">
        <f>INT(D17/C17*100000)/100000</f>
        <v>2.5700000000000001E-2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130.19999999999999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2.0560499999999999</v>
      </c>
      <c r="E22" s="353">
        <f t="shared" si="0"/>
        <v>2.5700000000000001E-2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81.2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2.0560499999999999</v>
      </c>
      <c r="E27" s="317">
        <f t="shared" si="1"/>
        <v>2.5700000000000001E-2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2.0560499999999999</v>
      </c>
      <c r="D29" s="343">
        <f>(C29/C17)*(100/86400)</f>
        <v>2.9746093749999994E-5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2.9746093749999998E-5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105.89999999999999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124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202.32462443219234</v>
      </c>
    </row>
    <row r="8" spans="1:2" ht="20.100000000000001" customHeight="1" x14ac:dyDescent="0.15">
      <c r="A8" s="340" t="s">
        <v>112</v>
      </c>
      <c r="B8" s="338">
        <f>INT(B7)</f>
        <v>202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-1.1317536926269545</v>
      </c>
      <c r="R4" s="14">
        <f>B12</f>
        <v>124</v>
      </c>
      <c r="S4" s="3">
        <f>$R$4</f>
        <v>124</v>
      </c>
      <c r="T4" s="372">
        <v>2.2505758248991734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26.756927071799311</v>
      </c>
      <c r="Z4" s="13">
        <f>Z22</f>
        <v>25.754026608015479</v>
      </c>
      <c r="AA4" s="10">
        <f>$Z$4</f>
        <v>25.754026608015479</v>
      </c>
      <c r="AB4" s="10">
        <f>X4</f>
        <v>1</v>
      </c>
      <c r="AC4" s="10">
        <f>Y4-AA4</f>
        <v>1.0029004637838312</v>
      </c>
      <c r="AD4" s="83">
        <f>INT((AC4-AE4)*100)/100</f>
        <v>2.13</v>
      </c>
      <c r="AE4" s="6">
        <f>Q4</f>
        <v>-1.1317536926269545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124</v>
      </c>
      <c r="T5" s="3">
        <f>$T4</f>
        <v>2.2505758248991734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29.792605608469241</v>
      </c>
      <c r="AA5" s="10">
        <f t="shared" ref="AA5:AA23" si="5">$Z$4</f>
        <v>25.754026608015479</v>
      </c>
      <c r="AB5" s="10">
        <f t="shared" ref="AB5:AB43" si="6">X5</f>
        <v>2</v>
      </c>
      <c r="AC5" s="10">
        <f t="shared" ref="AC5:AC43" si="7">Y5-AA5</f>
        <v>4.0385790004537618</v>
      </c>
      <c r="AD5" s="83">
        <f t="shared" ref="AD5:AD16" si="8">INT((AC5-AE5)*100)/100</f>
        <v>4.03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124</v>
      </c>
      <c r="T6" s="3">
        <f t="shared" ref="T6:T51" si="10">$T5</f>
        <v>2.2505758248991734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31.568363716665225</v>
      </c>
      <c r="AA6" s="10">
        <f t="shared" si="5"/>
        <v>25.754026608015479</v>
      </c>
      <c r="AB6" s="10">
        <f t="shared" si="6"/>
        <v>3</v>
      </c>
      <c r="AC6" s="10">
        <f t="shared" si="7"/>
        <v>5.8143371086497453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124</v>
      </c>
      <c r="T7" s="3">
        <f t="shared" si="10"/>
        <v>2.2505758248991734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32.828284145139172</v>
      </c>
      <c r="AA7" s="10">
        <f t="shared" si="5"/>
        <v>25.754026608015479</v>
      </c>
      <c r="AB7" s="10">
        <f t="shared" si="6"/>
        <v>4</v>
      </c>
      <c r="AC7" s="10">
        <f t="shared" si="7"/>
        <v>7.0742575371236924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124</v>
      </c>
      <c r="T8" s="3">
        <f t="shared" si="10"/>
        <v>2.2505758248991734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33.805554353139776</v>
      </c>
      <c r="AA8" s="10">
        <f t="shared" si="5"/>
        <v>25.754026608015479</v>
      </c>
      <c r="AB8" s="10">
        <f t="shared" si="6"/>
        <v>5</v>
      </c>
      <c r="AC8" s="10">
        <f t="shared" si="7"/>
        <v>8.0515277451242966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124</v>
      </c>
      <c r="T9" s="3">
        <f t="shared" si="10"/>
        <v>2.2505758248991734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36.841232889809703</v>
      </c>
      <c r="AA9" s="10">
        <f t="shared" si="5"/>
        <v>25.754026608015479</v>
      </c>
      <c r="AB9" s="10">
        <f t="shared" si="6"/>
        <v>10</v>
      </c>
      <c r="AC9" s="10">
        <f t="shared" si="7"/>
        <v>11.087206281794224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124</v>
      </c>
      <c r="T10" s="3">
        <f t="shared" si="10"/>
        <v>2.2505758248991734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38.61699099800569</v>
      </c>
      <c r="AA10" s="10">
        <f t="shared" si="5"/>
        <v>25.754026608015479</v>
      </c>
      <c r="AB10" s="10">
        <f t="shared" si="6"/>
        <v>15</v>
      </c>
      <c r="AC10" s="10">
        <f t="shared" si="7"/>
        <v>12.862964389990211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0.22999999999999954</v>
      </c>
      <c r="P11" s="3">
        <v>20</v>
      </c>
      <c r="Q11" s="64"/>
      <c r="S11" s="3">
        <f t="shared" si="3"/>
        <v>124</v>
      </c>
      <c r="T11" s="3">
        <f t="shared" si="10"/>
        <v>2.2505758248991734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39.876911426479637</v>
      </c>
      <c r="AA11" s="10">
        <f t="shared" si="5"/>
        <v>25.754026608015479</v>
      </c>
      <c r="AB11" s="10">
        <f t="shared" si="6"/>
        <v>20</v>
      </c>
      <c r="AC11" s="10">
        <f t="shared" si="7"/>
        <v>14.122884818464158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124</v>
      </c>
      <c r="C12" s="207">
        <v>0.41736111111111113</v>
      </c>
      <c r="D12" s="446">
        <v>1</v>
      </c>
      <c r="E12" s="446"/>
      <c r="F12" s="208">
        <f>G12+$D$10</f>
        <v>14.129999999999999</v>
      </c>
      <c r="G12" s="445">
        <f>AD4</f>
        <v>2.13</v>
      </c>
      <c r="H12" s="445"/>
      <c r="I12" s="210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2.2505758248991734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40.854181634480241</v>
      </c>
      <c r="AA12" s="10">
        <f t="shared" si="5"/>
        <v>25.754026608015479</v>
      </c>
      <c r="AB12" s="10">
        <f t="shared" si="6"/>
        <v>25</v>
      </c>
      <c r="AC12" s="10">
        <f t="shared" si="7"/>
        <v>15.100155026464762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16.03</v>
      </c>
      <c r="G13" s="445">
        <f t="shared" ref="G13:G51" si="14">AD5</f>
        <v>4.03</v>
      </c>
      <c r="H13" s="445"/>
      <c r="I13" s="209"/>
      <c r="J13" s="8">
        <f>G13-G12</f>
        <v>1.9000000000000004</v>
      </c>
      <c r="P13" s="3">
        <v>30</v>
      </c>
      <c r="Q13" s="64"/>
      <c r="S13" s="3">
        <f t="shared" si="3"/>
        <v>124</v>
      </c>
      <c r="T13" s="3">
        <f t="shared" si="10"/>
        <v>2.2505758248991734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41.652669534675617</v>
      </c>
      <c r="AA13" s="10">
        <f t="shared" si="5"/>
        <v>25.754026608015479</v>
      </c>
      <c r="AB13" s="10">
        <f t="shared" si="6"/>
        <v>30</v>
      </c>
      <c r="AC13" s="10">
        <f t="shared" si="7"/>
        <v>15.898642926660138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1.7799999999999994</v>
      </c>
      <c r="Q14" s="64"/>
      <c r="S14" s="3">
        <f t="shared" si="3"/>
        <v>124</v>
      </c>
      <c r="T14" s="3">
        <f t="shared" si="10"/>
        <v>2.2505758248991734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42.327781434844731</v>
      </c>
      <c r="AA14" s="10">
        <f t="shared" si="5"/>
        <v>25.754026608015479</v>
      </c>
      <c r="AB14" s="10">
        <f t="shared" si="6"/>
        <v>35</v>
      </c>
      <c r="AC14" s="10">
        <f t="shared" si="7"/>
        <v>16.573754826829251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124</v>
      </c>
      <c r="T15" s="3">
        <f t="shared" si="10"/>
        <v>2.2505758248991734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42.912589963149564</v>
      </c>
      <c r="AA15" s="10">
        <f t="shared" si="5"/>
        <v>25.754026608015479</v>
      </c>
      <c r="AB15" s="10">
        <f t="shared" si="6"/>
        <v>40</v>
      </c>
      <c r="AC15" s="10">
        <f t="shared" si="7"/>
        <v>17.158563355134085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2.2505758248991734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43.428427642871604</v>
      </c>
      <c r="AA16" s="10">
        <f t="shared" si="5"/>
        <v>25.754026608015479</v>
      </c>
      <c r="AB16" s="10">
        <f t="shared" si="6"/>
        <v>45</v>
      </c>
      <c r="AC16" s="10">
        <f t="shared" si="7"/>
        <v>17.674401034856125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-0.52</v>
      </c>
      <c r="S17" s="3">
        <f t="shared" si="3"/>
        <v>124</v>
      </c>
      <c r="T17" s="3">
        <f t="shared" si="10"/>
        <v>2.2505758248991734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43.889860171150168</v>
      </c>
      <c r="AA17" s="10">
        <f t="shared" si="5"/>
        <v>25.754026608015479</v>
      </c>
      <c r="AB17" s="10">
        <f t="shared" si="6"/>
        <v>50</v>
      </c>
      <c r="AC17" s="10">
        <f t="shared" si="7"/>
        <v>18.135833563134689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-1.26</v>
      </c>
      <c r="S18" s="3">
        <f t="shared" si="3"/>
        <v>124</v>
      </c>
      <c r="T18" s="3">
        <f t="shared" si="10"/>
        <v>2.2505758248991734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44.307276666914333</v>
      </c>
      <c r="AA18" s="10">
        <f t="shared" si="5"/>
        <v>25.754026608015479</v>
      </c>
      <c r="AB18" s="10">
        <f t="shared" si="6"/>
        <v>55</v>
      </c>
      <c r="AC18" s="10">
        <f t="shared" si="7"/>
        <v>18.553250058898854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-2.0499999999999998</v>
      </c>
      <c r="S19" s="3">
        <f t="shared" si="3"/>
        <v>124</v>
      </c>
      <c r="T19" s="3">
        <f t="shared" si="10"/>
        <v>2.2505758248991734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44.688348071345551</v>
      </c>
      <c r="AA19" s="10">
        <f t="shared" si="5"/>
        <v>25.754026608015479</v>
      </c>
      <c r="AB19" s="10">
        <f t="shared" si="6"/>
        <v>60</v>
      </c>
      <c r="AC19" s="10">
        <f t="shared" si="7"/>
        <v>18.934321463330072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-3.24</v>
      </c>
      <c r="S20" s="3">
        <f t="shared" si="3"/>
        <v>124</v>
      </c>
      <c r="T20" s="3">
        <f t="shared" si="10"/>
        <v>2.2505758248991734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45.665618279346155</v>
      </c>
      <c r="AA20" s="10">
        <f t="shared" si="5"/>
        <v>25.754026608015479</v>
      </c>
      <c r="AB20" s="10">
        <f t="shared" si="6"/>
        <v>75</v>
      </c>
      <c r="AC20" s="10">
        <f t="shared" si="7"/>
        <v>19.911591671330676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-4.49</v>
      </c>
      <c r="S21" s="3">
        <f t="shared" si="3"/>
        <v>124</v>
      </c>
      <c r="T21" s="3">
        <f t="shared" si="10"/>
        <v>2.2505758248991734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46.464106179541531</v>
      </c>
      <c r="AA21" s="10">
        <f t="shared" si="5"/>
        <v>25.754026608015479</v>
      </c>
      <c r="AB21" s="10">
        <f t="shared" si="6"/>
        <v>90</v>
      </c>
      <c r="AC21" s="10">
        <f t="shared" si="7"/>
        <v>20.710079571526052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-12.38</v>
      </c>
      <c r="S22" s="3">
        <f t="shared" si="3"/>
        <v>124</v>
      </c>
      <c r="T22" s="3">
        <f t="shared" si="10"/>
        <v>2.2505758248991734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47.139218079710638</v>
      </c>
      <c r="Z22" s="10">
        <f>Y23-Z23</f>
        <v>25.754026608015479</v>
      </c>
      <c r="AA22" s="10">
        <f t="shared" si="5"/>
        <v>25.754026608015479</v>
      </c>
      <c r="AB22" s="10">
        <f t="shared" si="6"/>
        <v>105</v>
      </c>
      <c r="AC22" s="10">
        <f t="shared" si="7"/>
        <v>21.385191471695158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-26.97</v>
      </c>
      <c r="S23" s="3">
        <f t="shared" si="3"/>
        <v>124</v>
      </c>
      <c r="T23" s="3">
        <f t="shared" si="10"/>
        <v>2.2505758248991734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47.724026608015478</v>
      </c>
      <c r="Z23" s="10">
        <f>입력표!B20</f>
        <v>21.97</v>
      </c>
      <c r="AA23" s="10">
        <f t="shared" si="5"/>
        <v>25.754026608015479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-38.99</v>
      </c>
      <c r="R24" s="14">
        <f>B32</f>
        <v>158</v>
      </c>
      <c r="S24" s="3">
        <f>$R$24</f>
        <v>158</v>
      </c>
      <c r="T24" s="3">
        <f t="shared" si="10"/>
        <v>2.2505758248991734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61.256317534750188</v>
      </c>
      <c r="Z24" s="10">
        <f>Z27</f>
        <v>35.377688813389469</v>
      </c>
      <c r="AA24" s="10">
        <f>$Z$24</f>
        <v>35.377688813389469</v>
      </c>
      <c r="AB24" s="10">
        <f t="shared" si="6"/>
        <v>130</v>
      </c>
      <c r="AC24" s="10">
        <f t="shared" si="7"/>
        <v>25.87862872136072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-51.29</v>
      </c>
      <c r="S25" s="3">
        <f>$R$24</f>
        <v>158</v>
      </c>
      <c r="T25" s="3">
        <f t="shared" si="10"/>
        <v>2.2505758248991734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61.669870034622292</v>
      </c>
      <c r="AA25" s="10">
        <f>$Z$24</f>
        <v>35.377688813389469</v>
      </c>
      <c r="AB25" s="10">
        <f t="shared" si="6"/>
        <v>140</v>
      </c>
      <c r="AC25" s="10">
        <f t="shared" si="7"/>
        <v>26.292181221232823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-63.78</v>
      </c>
      <c r="S26" s="3">
        <f>$R$24</f>
        <v>158</v>
      </c>
      <c r="T26" s="3">
        <f t="shared" si="10"/>
        <v>2.2505758248991734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62.054878201052745</v>
      </c>
      <c r="AA26" s="10">
        <f>$Z$24</f>
        <v>35.377688813389469</v>
      </c>
      <c r="AB26" s="10">
        <f t="shared" si="6"/>
        <v>150</v>
      </c>
      <c r="AC26" s="10">
        <f t="shared" si="7"/>
        <v>26.677189387663276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-76.38</v>
      </c>
      <c r="S27" s="3">
        <f>$R$24</f>
        <v>158</v>
      </c>
      <c r="T27" s="3">
        <f t="shared" si="10"/>
        <v>2.2505758248991734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63.072306331946862</v>
      </c>
      <c r="Z27" s="10">
        <f>Y28-Z28</f>
        <v>35.377688813389469</v>
      </c>
      <c r="AA27" s="10">
        <f>$Z$24</f>
        <v>35.377688813389469</v>
      </c>
      <c r="AB27" s="10">
        <f t="shared" si="6"/>
        <v>180</v>
      </c>
      <c r="AC27" s="10">
        <f t="shared" si="7"/>
        <v>27.694617518557394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-89.08</v>
      </c>
      <c r="S28" s="3">
        <f>$R$24</f>
        <v>158</v>
      </c>
      <c r="T28" s="3">
        <f t="shared" si="10"/>
        <v>2.2505758248991734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64.677688813389466</v>
      </c>
      <c r="Z28" s="10">
        <f>입력표!B21</f>
        <v>29.3</v>
      </c>
      <c r="AA28" s="10">
        <f>$Z$24</f>
        <v>35.377688813389469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-101.83</v>
      </c>
      <c r="R29" s="14">
        <f>B37</f>
        <v>192.95</v>
      </c>
      <c r="S29" s="3">
        <f>$R$29</f>
        <v>192.95</v>
      </c>
      <c r="T29" s="3">
        <f t="shared" si="10"/>
        <v>2.2505758248991734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79.262751241597314</v>
      </c>
      <c r="Z29" s="10">
        <f>Z32</f>
        <v>44.207722860027921</v>
      </c>
      <c r="AA29" s="10">
        <f>$Z$29</f>
        <v>44.207722860027921</v>
      </c>
      <c r="AB29" s="10">
        <f t="shared" si="6"/>
        <v>250</v>
      </c>
      <c r="AC29" s="10">
        <f t="shared" si="7"/>
        <v>35.055028381569393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-114.65</v>
      </c>
      <c r="R30" s="3" t="s">
        <v>23</v>
      </c>
      <c r="S30" s="3">
        <f>$R$29</f>
        <v>192.95</v>
      </c>
      <c r="T30" s="3">
        <f t="shared" si="10"/>
        <v>2.2505758248991734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79.530032743451358</v>
      </c>
      <c r="AA30" s="10">
        <f>$Z$29</f>
        <v>44.207722860027921</v>
      </c>
      <c r="AB30" s="10">
        <f t="shared" si="6"/>
        <v>260</v>
      </c>
      <c r="AC30" s="10">
        <f t="shared" si="7"/>
        <v>35.322309883423436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-127.51</v>
      </c>
      <c r="S31" s="3">
        <f>$R$29</f>
        <v>192.95</v>
      </c>
      <c r="T31" s="3">
        <f t="shared" si="10"/>
        <v>2.2505758248991734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79.787225709430771</v>
      </c>
      <c r="AA31" s="10">
        <f>$Z$29</f>
        <v>44.207722860027921</v>
      </c>
      <c r="AB31" s="10">
        <f t="shared" si="6"/>
        <v>270</v>
      </c>
      <c r="AC31" s="10">
        <f t="shared" si="7"/>
        <v>35.57950284940285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158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-140.41</v>
      </c>
      <c r="S32" s="3">
        <f>$R$29</f>
        <v>192.95</v>
      </c>
      <c r="T32" s="3">
        <f t="shared" si="10"/>
        <v>2.2505758248991734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80.505237050812624</v>
      </c>
      <c r="Z32" s="10">
        <f>Y33-Z33</f>
        <v>44.207722860027921</v>
      </c>
      <c r="AA32" s="10">
        <f>$Z$29</f>
        <v>44.207722860027921</v>
      </c>
      <c r="AB32" s="10">
        <f t="shared" si="6"/>
        <v>300</v>
      </c>
      <c r="AC32" s="10">
        <f t="shared" si="7"/>
        <v>36.297514190784703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192.95</v>
      </c>
      <c r="T33" s="3">
        <f t="shared" si="10"/>
        <v>2.2505758248991734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81.74772286002792</v>
      </c>
      <c r="Z33" s="10">
        <f>입력표!B22</f>
        <v>37.54</v>
      </c>
      <c r="AA33" s="10">
        <f>$Z$29</f>
        <v>44.207722860027921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2.2505758248991734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96.393460610778718</v>
      </c>
      <c r="Z34" s="10">
        <f>Z37</f>
        <v>52.690258836029507</v>
      </c>
      <c r="AA34" s="10">
        <f>$Z$34</f>
        <v>52.690258836029507</v>
      </c>
      <c r="AB34" s="10">
        <f t="shared" si="6"/>
        <v>370</v>
      </c>
      <c r="AC34" s="10">
        <f t="shared" si="7"/>
        <v>43.703201774749211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227</v>
      </c>
      <c r="T35" s="3">
        <f t="shared" si="10"/>
        <v>2.2505758248991734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96.607271077354724</v>
      </c>
      <c r="AA35" s="10">
        <f>$Z$34</f>
        <v>52.690258836029507</v>
      </c>
      <c r="AB35" s="10">
        <f t="shared" si="6"/>
        <v>380</v>
      </c>
      <c r="AC35" s="10">
        <f t="shared" si="7"/>
        <v>43.917012241325217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227</v>
      </c>
      <c r="T36" s="3">
        <f t="shared" si="10"/>
        <v>2.2505758248991734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96.815527392451457</v>
      </c>
      <c r="AA36" s="10">
        <f>$Z$34</f>
        <v>52.690258836029507</v>
      </c>
      <c r="AB36" s="10">
        <f t="shared" si="6"/>
        <v>390</v>
      </c>
      <c r="AC36" s="10">
        <f t="shared" si="7"/>
        <v>44.12526855642195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192.95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227</v>
      </c>
      <c r="T37" s="3">
        <f t="shared" si="10"/>
        <v>2.2505758248991734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97.409681933406944</v>
      </c>
      <c r="Z37" s="10">
        <f>Y38-Z38</f>
        <v>52.690258836029507</v>
      </c>
      <c r="AA37" s="10">
        <f>$Z$34</f>
        <v>52.690258836029507</v>
      </c>
      <c r="AB37" s="10">
        <f t="shared" si="6"/>
        <v>420</v>
      </c>
      <c r="AC37" s="10">
        <f t="shared" si="7"/>
        <v>44.719423097377437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227</v>
      </c>
      <c r="T38" s="3">
        <f t="shared" si="10"/>
        <v>2.2505758248991734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98.480258836029506</v>
      </c>
      <c r="Z38" s="10">
        <f>입력표!B23</f>
        <v>45.79</v>
      </c>
      <c r="AA38" s="10">
        <f>$Z$34</f>
        <v>52.690258836029507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2.2505758248991734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113.4424081067982</v>
      </c>
      <c r="Z39" s="10">
        <f>Z42</f>
        <v>55.789687885615855</v>
      </c>
      <c r="AA39" s="10">
        <f>$Z$39</f>
        <v>55.789687885615855</v>
      </c>
      <c r="AB39" s="10">
        <f t="shared" si="6"/>
        <v>490</v>
      </c>
      <c r="AC39" s="10">
        <f t="shared" si="7"/>
        <v>57.652720221182342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2.2505758248991734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113.62867767314809</v>
      </c>
      <c r="AA40" s="10">
        <f>$Z$39</f>
        <v>55.789687885615855</v>
      </c>
      <c r="AB40" s="10">
        <f t="shared" si="6"/>
        <v>500</v>
      </c>
      <c r="AC40" s="10">
        <f t="shared" si="7"/>
        <v>57.838989787532235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2.2505758248991734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113.81125848972258</v>
      </c>
      <c r="AA41" s="10">
        <f>$Z$39</f>
        <v>55.789687885615855</v>
      </c>
      <c r="AB41" s="10">
        <f t="shared" si="6"/>
        <v>510</v>
      </c>
      <c r="AC41" s="10">
        <f t="shared" si="7"/>
        <v>58.021570604106721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227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2.2505758248991734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114.33826077668746</v>
      </c>
      <c r="Z42" s="10">
        <f>Y43-Z43</f>
        <v>55.789687885615855</v>
      </c>
      <c r="AA42" s="10">
        <f>$Z$39</f>
        <v>55.789687885615855</v>
      </c>
      <c r="AB42" s="10">
        <f t="shared" si="6"/>
        <v>540</v>
      </c>
      <c r="AC42" s="10">
        <f t="shared" si="7"/>
        <v>58.548572891071608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2.2505758248991734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115.30968788561586</v>
      </c>
      <c r="Z43" s="10">
        <f>입력표!B24</f>
        <v>59.52</v>
      </c>
      <c r="AA43" s="10">
        <f>$Z$39</f>
        <v>55.789687885615855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261.04999999999995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tabSelected="1" zoomScaleNormal="100" workbookViewId="0">
      <selection activeCell="K8" sqref="K8"/>
    </sheetView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-5.1167995845709484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42.656799584570948</v>
      </c>
      <c r="R1" s="275" t="s">
        <v>52</v>
      </c>
      <c r="S1" s="276">
        <v>1.6341096876127523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200</v>
      </c>
      <c r="U2" s="14">
        <f>T2</f>
        <v>200</v>
      </c>
      <c r="V2" s="3">
        <f>S1</f>
        <v>1.6341096876127523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39.181218645123693</v>
      </c>
      <c r="AB2" s="10">
        <f>1.6*U2/(4*PI()*V2)*LOG10((2.25*V2*Y2)/(W2*W2*X2))</f>
        <v>39.181218645123693</v>
      </c>
      <c r="AC2" s="15">
        <v>0</v>
      </c>
      <c r="AD2" s="12">
        <f>Z2</f>
        <v>1</v>
      </c>
      <c r="AE2" s="10">
        <f>AB2-$O$3-N3</f>
        <v>3.8561268939685953</v>
      </c>
      <c r="AF2" s="10">
        <f>AB2</f>
        <v>39.181218645123693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1.03</v>
      </c>
      <c r="M3" s="62">
        <f>D10</f>
        <v>1</v>
      </c>
      <c r="N3" s="403">
        <v>-1.0349082003862855</v>
      </c>
      <c r="O3" s="402">
        <v>36.359999951541383</v>
      </c>
      <c r="U3" s="14">
        <f>U2</f>
        <v>200</v>
      </c>
      <c r="V3" s="3">
        <f>V$2</f>
        <v>1.6341096876127523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43.872253739478573</v>
      </c>
      <c r="AB3" s="10">
        <f t="shared" ref="AB3:AB43" si="4">1.6*U3/(4*PI()*V3)*LOG10((2.25*V3*Y3)/(W3*W3*X3))</f>
        <v>43.872253739478573</v>
      </c>
      <c r="AC3" s="10">
        <f>AA69</f>
        <v>87.809999951541386</v>
      </c>
      <c r="AD3" s="12">
        <f t="shared" ref="AD3:AD66" si="5">Z3</f>
        <v>2</v>
      </c>
      <c r="AE3" s="10">
        <f t="shared" ref="AE3:AE16" si="6">AB3-$O$3-N4</f>
        <v>7.5122537879371905</v>
      </c>
      <c r="AF3" s="10">
        <f t="shared" ref="AF3:AF16" si="7">AB3</f>
        <v>43.872253739478573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1.86</v>
      </c>
      <c r="M4" s="62">
        <f t="shared" ref="M4:M13" si="8">D11</f>
        <v>2</v>
      </c>
      <c r="N4" s="29"/>
      <c r="O4" s="29"/>
      <c r="U4" s="14">
        <f t="shared" ref="U4:U67" si="9">U3</f>
        <v>200</v>
      </c>
      <c r="V4" s="3">
        <f t="shared" ref="V4:V67" si="10">V$2</f>
        <v>1.6341096876127523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46.616333359243107</v>
      </c>
      <c r="AB4" s="10">
        <f t="shared" si="4"/>
        <v>46.616333359243107</v>
      </c>
      <c r="AC4" s="10">
        <f>AB69</f>
        <v>87.809999951541386</v>
      </c>
      <c r="AD4" s="12">
        <f t="shared" si="5"/>
        <v>3</v>
      </c>
      <c r="AE4" s="10">
        <f t="shared" si="6"/>
        <v>10.256333407701725</v>
      </c>
      <c r="AF4" s="10">
        <f t="shared" si="7"/>
        <v>46.616333359243107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1.77</v>
      </c>
      <c r="M5" s="62">
        <f t="shared" si="8"/>
        <v>3</v>
      </c>
      <c r="N5" s="29"/>
      <c r="O5" s="29"/>
      <c r="U5" s="14">
        <f t="shared" si="9"/>
        <v>200</v>
      </c>
      <c r="V5" s="3">
        <f t="shared" si="10"/>
        <v>1.6341096876127523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48.563288833833454</v>
      </c>
      <c r="AB5" s="10">
        <f t="shared" si="4"/>
        <v>48.563288833833454</v>
      </c>
      <c r="AC5" s="10">
        <f>AE69</f>
        <v>51.45</v>
      </c>
      <c r="AD5" s="12">
        <f t="shared" si="5"/>
        <v>4</v>
      </c>
      <c r="AE5" s="10">
        <f t="shared" si="6"/>
        <v>12.203288882292071</v>
      </c>
      <c r="AF5" s="10">
        <f t="shared" si="7"/>
        <v>48.563288833833454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0.89</v>
      </c>
      <c r="M6" s="62">
        <f t="shared" si="8"/>
        <v>4</v>
      </c>
      <c r="N6" s="29"/>
      <c r="O6" s="29"/>
      <c r="U6" s="14">
        <f t="shared" si="9"/>
        <v>200</v>
      </c>
      <c r="V6" s="3">
        <f t="shared" si="10"/>
        <v>1.6341096876127523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50.073464824808873</v>
      </c>
      <c r="AB6" s="10">
        <f t="shared" si="4"/>
        <v>50.073464824808873</v>
      </c>
      <c r="AD6" s="12">
        <f t="shared" si="5"/>
        <v>5</v>
      </c>
      <c r="AE6" s="10">
        <f t="shared" si="6"/>
        <v>13.71346487326749</v>
      </c>
      <c r="AF6" s="10">
        <f t="shared" si="7"/>
        <v>50.073464824808873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-0.43</v>
      </c>
      <c r="M7" s="62">
        <f t="shared" si="8"/>
        <v>5</v>
      </c>
      <c r="N7" s="29"/>
      <c r="O7" s="29"/>
      <c r="U7" s="14">
        <f t="shared" si="9"/>
        <v>200</v>
      </c>
      <c r="V7" s="3">
        <f t="shared" si="10"/>
        <v>1.6341096876127523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54.764499919163754</v>
      </c>
      <c r="AB7" s="10">
        <f t="shared" si="4"/>
        <v>54.764499919163754</v>
      </c>
      <c r="AD7" s="12">
        <f t="shared" si="5"/>
        <v>10</v>
      </c>
      <c r="AE7" s="10">
        <f t="shared" si="6"/>
        <v>18.404499967622371</v>
      </c>
      <c r="AF7" s="10">
        <f t="shared" si="7"/>
        <v>54.764499919163754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200</v>
      </c>
      <c r="I8" s="189"/>
      <c r="J8" s="9">
        <f>입력표!M50</f>
        <v>51.45</v>
      </c>
      <c r="K8" s="407">
        <f>G10-J11</f>
        <v>0.20000000000000018</v>
      </c>
      <c r="L8" s="13">
        <f t="shared" si="1"/>
        <v>-9.8800000000000008</v>
      </c>
      <c r="M8" s="62">
        <f t="shared" si="8"/>
        <v>10</v>
      </c>
      <c r="N8" s="29"/>
      <c r="O8" s="29"/>
      <c r="U8" s="14">
        <f t="shared" si="9"/>
        <v>200</v>
      </c>
      <c r="V8" s="3">
        <f t="shared" si="10"/>
        <v>1.6341096876127523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57.508579538928288</v>
      </c>
      <c r="AB8" s="10">
        <f t="shared" si="4"/>
        <v>57.508579538928288</v>
      </c>
      <c r="AD8" s="12">
        <f t="shared" si="5"/>
        <v>15</v>
      </c>
      <c r="AE8" s="10">
        <f t="shared" si="6"/>
        <v>21.148579587386905</v>
      </c>
      <c r="AF8" s="10">
        <f t="shared" si="7"/>
        <v>57.508579538928288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-21.28</v>
      </c>
      <c r="M9" s="62">
        <f t="shared" si="8"/>
        <v>15</v>
      </c>
      <c r="N9" s="29"/>
      <c r="O9" s="29"/>
      <c r="U9" s="14">
        <f t="shared" si="9"/>
        <v>200</v>
      </c>
      <c r="V9" s="3">
        <f t="shared" si="10"/>
        <v>1.6341096876127523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59.455535013518634</v>
      </c>
      <c r="AB9" s="10">
        <f t="shared" si="4"/>
        <v>59.455535013518634</v>
      </c>
      <c r="AD9" s="12">
        <f t="shared" si="5"/>
        <v>20</v>
      </c>
      <c r="AE9" s="10">
        <f t="shared" si="6"/>
        <v>23.095535061977252</v>
      </c>
      <c r="AF9" s="10">
        <f t="shared" si="7"/>
        <v>59.455535013518634</v>
      </c>
    </row>
    <row r="10" spans="1:37" s="3" customFormat="1" ht="21" customHeight="1" x14ac:dyDescent="0.15">
      <c r="A10" s="54">
        <v>1</v>
      </c>
      <c r="B10" s="61">
        <f>입력표!C26</f>
        <v>200</v>
      </c>
      <c r="C10" s="55">
        <v>41613.861111111109</v>
      </c>
      <c r="D10" s="187">
        <v>1</v>
      </c>
      <c r="E10" s="256">
        <f>D10/1440</f>
        <v>6.9444444444444447E-4</v>
      </c>
      <c r="F10" s="188">
        <f>G10+D$8</f>
        <v>15.856126893968595</v>
      </c>
      <c r="G10" s="285">
        <f>AE2</f>
        <v>3.8561268939685953</v>
      </c>
      <c r="H10" s="458">
        <v>41613.861805555556</v>
      </c>
      <c r="I10" s="458" t="s">
        <v>12</v>
      </c>
      <c r="J10" s="270">
        <f>J8-J9</f>
        <v>0</v>
      </c>
      <c r="K10" s="9">
        <f>J10+P17</f>
        <v>1.03</v>
      </c>
      <c r="L10" s="13">
        <f t="shared" si="1"/>
        <v>-33.47</v>
      </c>
      <c r="M10" s="62">
        <f t="shared" si="8"/>
        <v>20</v>
      </c>
      <c r="N10" s="29"/>
      <c r="O10" s="29"/>
      <c r="U10" s="14">
        <f t="shared" si="9"/>
        <v>200</v>
      </c>
      <c r="V10" s="3">
        <f t="shared" si="10"/>
        <v>1.6341096876127523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60.965711004494054</v>
      </c>
      <c r="AB10" s="10">
        <f t="shared" si="4"/>
        <v>60.965711004494054</v>
      </c>
      <c r="AD10" s="12">
        <f t="shared" si="5"/>
        <v>25</v>
      </c>
      <c r="AE10" s="10">
        <f t="shared" si="6"/>
        <v>24.605711052952671</v>
      </c>
      <c r="AF10" s="10">
        <f t="shared" si="7"/>
        <v>60.965711004494054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19.51225378793719</v>
      </c>
      <c r="G11" s="188">
        <f>AE3</f>
        <v>7.5122537879371905</v>
      </c>
      <c r="H11" s="458"/>
      <c r="I11" s="458"/>
      <c r="J11" s="63">
        <f>G11-G10</f>
        <v>3.6561268939685951</v>
      </c>
      <c r="K11" s="9" t="s">
        <v>18</v>
      </c>
      <c r="M11" s="62">
        <f t="shared" si="8"/>
        <v>25</v>
      </c>
      <c r="N11" s="29"/>
      <c r="U11" s="14">
        <f t="shared" si="9"/>
        <v>200</v>
      </c>
      <c r="V11" s="3">
        <f t="shared" si="10"/>
        <v>1.6341096876127523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62.199614633283169</v>
      </c>
      <c r="AB11" s="10">
        <f t="shared" si="4"/>
        <v>62.199614633283169</v>
      </c>
      <c r="AD11" s="12">
        <f t="shared" si="5"/>
        <v>30</v>
      </c>
      <c r="AE11" s="10">
        <f t="shared" si="6"/>
        <v>25.839614681741786</v>
      </c>
      <c r="AF11" s="10">
        <f t="shared" si="7"/>
        <v>62.199614633283169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22.256333407701725</v>
      </c>
      <c r="G12" s="188">
        <f t="shared" ref="G12:G74" si="16">AE4</f>
        <v>10.256333407701725</v>
      </c>
      <c r="H12" s="458"/>
      <c r="I12" s="458"/>
      <c r="J12" s="63">
        <f t="shared" ref="J12:J47" si="17">G12-G11</f>
        <v>2.7440796197645341</v>
      </c>
      <c r="K12" s="9" t="s">
        <v>18</v>
      </c>
      <c r="M12" s="62">
        <f t="shared" si="8"/>
        <v>30</v>
      </c>
      <c r="N12" s="29"/>
      <c r="U12" s="14">
        <f t="shared" si="9"/>
        <v>200</v>
      </c>
      <c r="V12" s="3">
        <f t="shared" si="10"/>
        <v>1.6341096876127523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63.242865286490996</v>
      </c>
      <c r="AB12" s="10">
        <f t="shared" si="4"/>
        <v>63.242865286490996</v>
      </c>
      <c r="AD12" s="12">
        <f t="shared" si="5"/>
        <v>35</v>
      </c>
      <c r="AE12" s="10">
        <f t="shared" si="6"/>
        <v>26.882865334949614</v>
      </c>
      <c r="AF12" s="10">
        <f t="shared" si="7"/>
        <v>63.242865286490996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24.203288882292071</v>
      </c>
      <c r="G13" s="188">
        <f t="shared" si="16"/>
        <v>12.203288882292071</v>
      </c>
      <c r="H13" s="458"/>
      <c r="I13" s="458"/>
      <c r="J13" s="63">
        <f t="shared" si="17"/>
        <v>1.9469554745903466</v>
      </c>
      <c r="K13" s="9" t="s">
        <v>18</v>
      </c>
      <c r="M13" s="62">
        <f t="shared" si="8"/>
        <v>35</v>
      </c>
      <c r="N13" s="29"/>
      <c r="U13" s="14">
        <f t="shared" si="9"/>
        <v>200</v>
      </c>
      <c r="V13" s="3">
        <f t="shared" si="10"/>
        <v>1.6341096876127523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64.146570107873501</v>
      </c>
      <c r="AB13" s="10">
        <f t="shared" si="4"/>
        <v>64.146570107873501</v>
      </c>
      <c r="AD13" s="12">
        <f t="shared" si="5"/>
        <v>40</v>
      </c>
      <c r="AE13" s="10">
        <f t="shared" si="6"/>
        <v>27.786570156332118</v>
      </c>
      <c r="AF13" s="10">
        <f t="shared" si="7"/>
        <v>64.146570107873501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25.71346487326749</v>
      </c>
      <c r="G14" s="188">
        <f t="shared" si="16"/>
        <v>13.71346487326749</v>
      </c>
      <c r="H14" s="458"/>
      <c r="I14" s="458"/>
      <c r="J14" s="63">
        <f t="shared" si="17"/>
        <v>1.5101759909754193</v>
      </c>
      <c r="K14" s="9" t="s">
        <v>18</v>
      </c>
      <c r="M14" s="62"/>
      <c r="N14" s="29"/>
      <c r="U14" s="14">
        <f t="shared" si="9"/>
        <v>200</v>
      </c>
      <c r="V14" s="3">
        <f t="shared" si="10"/>
        <v>1.6341096876127523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64.943694253047695</v>
      </c>
      <c r="AB14" s="10">
        <f t="shared" si="4"/>
        <v>64.943694253047695</v>
      </c>
      <c r="AD14" s="12">
        <f t="shared" si="5"/>
        <v>45</v>
      </c>
      <c r="AE14" s="10">
        <f t="shared" si="6"/>
        <v>28.583694301506313</v>
      </c>
      <c r="AF14" s="10">
        <f t="shared" si="7"/>
        <v>64.943694253047695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30.404499967622371</v>
      </c>
      <c r="G15" s="188">
        <f t="shared" si="16"/>
        <v>18.404499967622371</v>
      </c>
      <c r="H15" s="458"/>
      <c r="I15" s="458"/>
      <c r="J15" s="63">
        <f t="shared" si="17"/>
        <v>4.6910350943548806</v>
      </c>
      <c r="K15" s="9" t="s">
        <v>18</v>
      </c>
      <c r="M15" s="68"/>
      <c r="N15" s="405"/>
      <c r="U15" s="14">
        <f t="shared" si="9"/>
        <v>200</v>
      </c>
      <c r="V15" s="3">
        <f t="shared" si="10"/>
        <v>1.6341096876127523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65.656746098848942</v>
      </c>
      <c r="AB15" s="10">
        <f t="shared" si="4"/>
        <v>65.656746098848942</v>
      </c>
      <c r="AD15" s="12">
        <f t="shared" si="5"/>
        <v>50</v>
      </c>
      <c r="AE15" s="10">
        <f t="shared" si="6"/>
        <v>29.296746147307559</v>
      </c>
      <c r="AF15" s="10">
        <f t="shared" si="7"/>
        <v>65.656746098848942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33.148579587386905</v>
      </c>
      <c r="G16" s="188">
        <f t="shared" si="16"/>
        <v>21.148579587386905</v>
      </c>
      <c r="H16" s="458"/>
      <c r="I16" s="458"/>
      <c r="J16" s="63">
        <f t="shared" si="17"/>
        <v>2.7440796197645341</v>
      </c>
      <c r="K16" s="65"/>
      <c r="M16" s="66"/>
      <c r="N16" s="15"/>
      <c r="P16" s="13"/>
      <c r="U16" s="14">
        <f t="shared" si="9"/>
        <v>200</v>
      </c>
      <c r="V16" s="3">
        <f t="shared" si="10"/>
        <v>1.6341096876127523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66.301779954357329</v>
      </c>
      <c r="AB16" s="10">
        <f t="shared" si="4"/>
        <v>66.301779954357329</v>
      </c>
      <c r="AD16" s="12">
        <f t="shared" si="5"/>
        <v>55</v>
      </c>
      <c r="AE16" s="10">
        <f t="shared" si="6"/>
        <v>29.892700002815946</v>
      </c>
      <c r="AF16" s="10">
        <f t="shared" si="7"/>
        <v>66.301779954357329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35.095535061977252</v>
      </c>
      <c r="G17" s="188">
        <f t="shared" si="16"/>
        <v>23.095535061977252</v>
      </c>
      <c r="H17" s="458"/>
      <c r="I17" s="458"/>
      <c r="J17" s="63">
        <f t="shared" si="17"/>
        <v>1.9469554745903466</v>
      </c>
      <c r="K17" s="29">
        <f>D10</f>
        <v>1</v>
      </c>
      <c r="L17" s="3">
        <f>INT(B10/1440*10000)/10000</f>
        <v>0.13880000000000001</v>
      </c>
      <c r="M17" s="3">
        <f>K17*L17</f>
        <v>0.13880000000000001</v>
      </c>
      <c r="N17" s="3">
        <f>INT((D7/2/1000)^2*PI()*100000)/100000</f>
        <v>4.9079999999999999E-2</v>
      </c>
      <c r="O17" s="3">
        <f>INT(M17/N17*100)/100</f>
        <v>2.82</v>
      </c>
      <c r="P17" s="13">
        <f>INT((G10-O17)*100)/100</f>
        <v>1.03</v>
      </c>
      <c r="U17" s="14">
        <f t="shared" si="9"/>
        <v>200</v>
      </c>
      <c r="V17" s="3">
        <f t="shared" si="10"/>
        <v>1.6341096876127523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66.890649727638035</v>
      </c>
      <c r="AB17" s="10">
        <f t="shared" si="4"/>
        <v>66.890649727638035</v>
      </c>
      <c r="AD17" s="12">
        <f t="shared" si="5"/>
        <v>60</v>
      </c>
      <c r="AE17" s="10">
        <f t="shared" ref="AE17:AE48" si="18">AB17-$O$3</f>
        <v>30.530649776096652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36.605711052952671</v>
      </c>
      <c r="G18" s="188">
        <f t="shared" si="16"/>
        <v>24.605711052952671</v>
      </c>
      <c r="H18" s="458"/>
      <c r="I18" s="458"/>
      <c r="J18" s="63">
        <f t="shared" si="17"/>
        <v>1.5101759909754193</v>
      </c>
      <c r="K18" s="29">
        <f t="shared" ref="K18:K31" si="19">D11</f>
        <v>2</v>
      </c>
      <c r="L18" s="3">
        <f>L17</f>
        <v>0.13880000000000001</v>
      </c>
      <c r="M18" s="3">
        <f t="shared" ref="M18:M27" si="20">K18*L18</f>
        <v>0.27760000000000001</v>
      </c>
      <c r="N18" s="3">
        <f>N17</f>
        <v>4.9079999999999999E-2</v>
      </c>
      <c r="O18" s="3">
        <f>INT(M18/N18*100)/100</f>
        <v>5.65</v>
      </c>
      <c r="P18" s="13">
        <f t="shared" ref="P18:P27" si="21">INT((G11-O18)*100)/100</f>
        <v>1.86</v>
      </c>
      <c r="U18" s="14">
        <f t="shared" si="9"/>
        <v>200</v>
      </c>
      <c r="V18" s="3">
        <f t="shared" si="10"/>
        <v>1.6341096876127523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68.400825718613461</v>
      </c>
      <c r="AB18" s="10">
        <f t="shared" si="4"/>
        <v>68.400825718613461</v>
      </c>
      <c r="AD18" s="12">
        <f t="shared" si="5"/>
        <v>75</v>
      </c>
      <c r="AE18" s="10">
        <f t="shared" si="18"/>
        <v>32.040825767072079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37.839614681741786</v>
      </c>
      <c r="G19" s="188">
        <f t="shared" si="16"/>
        <v>25.839614681741786</v>
      </c>
      <c r="H19" s="458"/>
      <c r="I19" s="458"/>
      <c r="J19" s="63">
        <f t="shared" si="17"/>
        <v>1.2339036287891147</v>
      </c>
      <c r="K19" s="29">
        <f t="shared" si="19"/>
        <v>3</v>
      </c>
      <c r="L19" s="3">
        <f>L18</f>
        <v>0.13880000000000001</v>
      </c>
      <c r="M19" s="3">
        <f t="shared" si="20"/>
        <v>0.41639999999999999</v>
      </c>
      <c r="N19" s="3">
        <f t="shared" ref="N19:N31" si="22">N18</f>
        <v>4.9079999999999999E-2</v>
      </c>
      <c r="O19" s="3">
        <f>INT(M19/N19*100)/100</f>
        <v>8.48</v>
      </c>
      <c r="P19" s="13">
        <f t="shared" si="21"/>
        <v>1.77</v>
      </c>
      <c r="U19" s="14">
        <f t="shared" si="9"/>
        <v>200</v>
      </c>
      <c r="V19" s="3">
        <f t="shared" si="10"/>
        <v>1.6341096876127523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69.634729347402583</v>
      </c>
      <c r="AB19" s="10">
        <f t="shared" si="4"/>
        <v>69.634729347402583</v>
      </c>
      <c r="AD19" s="12">
        <f t="shared" si="5"/>
        <v>90</v>
      </c>
      <c r="AE19" s="10">
        <f t="shared" si="18"/>
        <v>33.2747293958612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38.882865334949614</v>
      </c>
      <c r="G20" s="188">
        <f t="shared" si="16"/>
        <v>26.882865334949614</v>
      </c>
      <c r="H20" s="458"/>
      <c r="I20" s="458"/>
      <c r="J20" s="63">
        <f t="shared" si="17"/>
        <v>1.0432506532078278</v>
      </c>
      <c r="K20" s="29">
        <f t="shared" si="19"/>
        <v>4</v>
      </c>
      <c r="L20" s="3">
        <f>L19</f>
        <v>0.13880000000000001</v>
      </c>
      <c r="M20" s="3">
        <f t="shared" si="20"/>
        <v>0.55520000000000003</v>
      </c>
      <c r="N20" s="3">
        <f>N19</f>
        <v>4.9079999999999999E-2</v>
      </c>
      <c r="O20" s="3">
        <f>INT(M20/N20*100)/100</f>
        <v>11.31</v>
      </c>
      <c r="P20" s="13">
        <f t="shared" si="21"/>
        <v>0.89</v>
      </c>
      <c r="U20" s="14">
        <f t="shared" si="9"/>
        <v>200</v>
      </c>
      <c r="V20" s="3">
        <f t="shared" si="10"/>
        <v>1.6341096876127523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70.677980000610404</v>
      </c>
      <c r="AB20" s="10">
        <f t="shared" si="4"/>
        <v>70.677980000610404</v>
      </c>
      <c r="AD20" s="12">
        <f t="shared" si="5"/>
        <v>105</v>
      </c>
      <c r="AE20" s="10">
        <f t="shared" si="18"/>
        <v>34.317980049069021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39.786570156332118</v>
      </c>
      <c r="G21" s="188">
        <f t="shared" si="16"/>
        <v>27.786570156332118</v>
      </c>
      <c r="H21" s="458"/>
      <c r="I21" s="458"/>
      <c r="J21" s="63">
        <f t="shared" si="17"/>
        <v>0.90370482138250452</v>
      </c>
      <c r="K21" s="29">
        <f t="shared" si="19"/>
        <v>5</v>
      </c>
      <c r="L21" s="3">
        <f>L20</f>
        <v>0.13880000000000001</v>
      </c>
      <c r="M21" s="3">
        <f t="shared" si="20"/>
        <v>0.69400000000000006</v>
      </c>
      <c r="N21" s="3">
        <f t="shared" si="22"/>
        <v>4.9079999999999999E-2</v>
      </c>
      <c r="O21" s="3">
        <f>INT(M21/N21*100)/100</f>
        <v>14.14</v>
      </c>
      <c r="P21" s="13">
        <f t="shared" si="21"/>
        <v>-0.43</v>
      </c>
      <c r="U21" s="14">
        <f t="shared" si="9"/>
        <v>200</v>
      </c>
      <c r="V21" s="3">
        <f t="shared" si="10"/>
        <v>1.6341096876127523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71.581684821992923</v>
      </c>
      <c r="AB21" s="10">
        <f t="shared" si="4"/>
        <v>71.581684821992923</v>
      </c>
      <c r="AD21" s="12">
        <f t="shared" si="5"/>
        <v>120</v>
      </c>
      <c r="AE21" s="10">
        <f t="shared" si="18"/>
        <v>35.22168487045154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40.583694301506313</v>
      </c>
      <c r="G22" s="188">
        <f t="shared" si="16"/>
        <v>28.583694301506313</v>
      </c>
      <c r="H22" s="458"/>
      <c r="I22" s="458"/>
      <c r="J22" s="63">
        <f t="shared" si="17"/>
        <v>0.79712414517419461</v>
      </c>
      <c r="K22" s="29">
        <f t="shared" si="19"/>
        <v>10</v>
      </c>
      <c r="L22" s="3">
        <f t="shared" ref="L22:L31" si="23">L21</f>
        <v>0.13880000000000001</v>
      </c>
      <c r="M22" s="3">
        <f t="shared" si="20"/>
        <v>1.3880000000000001</v>
      </c>
      <c r="N22" s="3">
        <f t="shared" si="22"/>
        <v>4.9079999999999999E-2</v>
      </c>
      <c r="O22" s="3">
        <f t="shared" ref="O22:O27" si="24">INT(M22/N22*100)/100</f>
        <v>28.28</v>
      </c>
      <c r="P22" s="13">
        <f t="shared" si="21"/>
        <v>-9.8800000000000008</v>
      </c>
      <c r="U22" s="14">
        <f t="shared" si="9"/>
        <v>200</v>
      </c>
      <c r="V22" s="3">
        <f t="shared" si="10"/>
        <v>1.6341096876127523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72.624935475200758</v>
      </c>
      <c r="AB22" s="10">
        <f t="shared" si="4"/>
        <v>72.624935475200758</v>
      </c>
      <c r="AD22" s="12">
        <f t="shared" si="5"/>
        <v>140</v>
      </c>
      <c r="AE22" s="10">
        <f t="shared" si="18"/>
        <v>36.264935523659375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41.296746147307559</v>
      </c>
      <c r="G23" s="188">
        <f t="shared" si="16"/>
        <v>29.296746147307559</v>
      </c>
      <c r="H23" s="458"/>
      <c r="I23" s="458"/>
      <c r="J23" s="63">
        <f t="shared" si="17"/>
        <v>0.71305184580124603</v>
      </c>
      <c r="K23" s="29">
        <f t="shared" si="19"/>
        <v>15</v>
      </c>
      <c r="L23" s="3">
        <f t="shared" si="23"/>
        <v>0.13880000000000001</v>
      </c>
      <c r="M23" s="3">
        <f t="shared" si="20"/>
        <v>2.0820000000000003</v>
      </c>
      <c r="N23" s="3">
        <f t="shared" si="22"/>
        <v>4.9079999999999999E-2</v>
      </c>
      <c r="O23" s="3">
        <f t="shared" si="24"/>
        <v>42.42</v>
      </c>
      <c r="P23" s="13">
        <f t="shared" si="21"/>
        <v>-21.28</v>
      </c>
      <c r="U23" s="14">
        <f t="shared" si="9"/>
        <v>200</v>
      </c>
      <c r="V23" s="3">
        <f t="shared" si="10"/>
        <v>1.6341096876127523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73.528640296583262</v>
      </c>
      <c r="AB23" s="10">
        <f t="shared" si="4"/>
        <v>73.528640296583262</v>
      </c>
      <c r="AD23" s="12">
        <f t="shared" si="5"/>
        <v>160</v>
      </c>
      <c r="AE23" s="10">
        <f t="shared" si="18"/>
        <v>37.168640345041879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41.892700002815943</v>
      </c>
      <c r="G24" s="188">
        <f t="shared" si="16"/>
        <v>29.892700002815946</v>
      </c>
      <c r="H24" s="458"/>
      <c r="I24" s="458"/>
      <c r="J24" s="63">
        <f t="shared" si="17"/>
        <v>0.59595385550838742</v>
      </c>
      <c r="K24" s="29">
        <f t="shared" si="19"/>
        <v>20</v>
      </c>
      <c r="L24" s="3">
        <f t="shared" si="23"/>
        <v>0.13880000000000001</v>
      </c>
      <c r="M24" s="3">
        <f t="shared" si="20"/>
        <v>2.7760000000000002</v>
      </c>
      <c r="N24" s="3">
        <f t="shared" si="22"/>
        <v>4.9079999999999999E-2</v>
      </c>
      <c r="O24" s="3">
        <f t="shared" si="24"/>
        <v>56.56</v>
      </c>
      <c r="P24" s="13">
        <f t="shared" si="21"/>
        <v>-33.47</v>
      </c>
      <c r="U24" s="14">
        <f t="shared" si="9"/>
        <v>200</v>
      </c>
      <c r="V24" s="3">
        <f t="shared" si="10"/>
        <v>1.6341096876127523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74.325764441757457</v>
      </c>
      <c r="AB24" s="10">
        <f t="shared" si="4"/>
        <v>74.325764441757457</v>
      </c>
      <c r="AD24" s="12">
        <f t="shared" si="5"/>
        <v>180</v>
      </c>
      <c r="AE24" s="10">
        <f t="shared" si="18"/>
        <v>37.965764490216074</v>
      </c>
    </row>
    <row r="25" spans="1:31" s="3" customFormat="1" ht="21" customHeight="1" x14ac:dyDescent="0.15">
      <c r="A25" s="54"/>
      <c r="B25" s="54"/>
      <c r="C25" s="55">
        <f>$C$10+D25/1440</f>
        <v>41613.902777777774</v>
      </c>
      <c r="D25" s="187">
        <v>60</v>
      </c>
      <c r="E25" s="256">
        <f t="shared" si="14"/>
        <v>4.1666666666666664E-2</v>
      </c>
      <c r="F25" s="188">
        <f t="shared" si="15"/>
        <v>42.530649776096652</v>
      </c>
      <c r="G25" s="188">
        <f t="shared" si="16"/>
        <v>30.530649776096652</v>
      </c>
      <c r="H25" s="458"/>
      <c r="I25" s="458"/>
      <c r="J25" s="63">
        <f t="shared" si="17"/>
        <v>0.63794977328070601</v>
      </c>
      <c r="K25" s="29">
        <f t="shared" si="19"/>
        <v>25</v>
      </c>
      <c r="L25" s="3">
        <f t="shared" si="23"/>
        <v>0.13880000000000001</v>
      </c>
      <c r="M25" s="3">
        <f t="shared" si="20"/>
        <v>3.47</v>
      </c>
      <c r="N25" s="3">
        <f t="shared" si="22"/>
        <v>4.9079999999999999E-2</v>
      </c>
      <c r="O25" s="3">
        <f t="shared" si="24"/>
        <v>70.7</v>
      </c>
      <c r="P25" s="13">
        <f t="shared" si="21"/>
        <v>-46.1</v>
      </c>
      <c r="U25" s="14">
        <f t="shared" si="9"/>
        <v>200</v>
      </c>
      <c r="V25" s="3">
        <f t="shared" si="10"/>
        <v>1.6341096876127523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76.272719916347796</v>
      </c>
      <c r="AB25" s="10">
        <f t="shared" si="4"/>
        <v>76.272719916347796</v>
      </c>
      <c r="AD25" s="12">
        <f t="shared" si="5"/>
        <v>240</v>
      </c>
      <c r="AE25" s="10">
        <f t="shared" si="18"/>
        <v>39.912719964806413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44.040825767072079</v>
      </c>
      <c r="G26" s="188">
        <f t="shared" si="16"/>
        <v>32.040825767072079</v>
      </c>
      <c r="H26" s="458"/>
      <c r="I26" s="458"/>
      <c r="J26" s="63">
        <f t="shared" si="17"/>
        <v>1.5101759909754264</v>
      </c>
      <c r="K26" s="29">
        <f t="shared" si="19"/>
        <v>30</v>
      </c>
      <c r="L26" s="3">
        <f t="shared" si="23"/>
        <v>0.13880000000000001</v>
      </c>
      <c r="M26" s="3">
        <f t="shared" si="20"/>
        <v>4.1640000000000006</v>
      </c>
      <c r="N26" s="3">
        <f t="shared" si="22"/>
        <v>4.9079999999999999E-2</v>
      </c>
      <c r="O26" s="3">
        <f t="shared" si="24"/>
        <v>84.84</v>
      </c>
      <c r="P26" s="13">
        <f t="shared" si="21"/>
        <v>-59.01</v>
      </c>
      <c r="U26" s="14">
        <f t="shared" si="9"/>
        <v>200</v>
      </c>
      <c r="V26" s="3">
        <f t="shared" si="10"/>
        <v>1.6341096876127523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77.782895907323223</v>
      </c>
      <c r="AB26" s="10">
        <f t="shared" si="4"/>
        <v>77.782895907323223</v>
      </c>
      <c r="AD26" s="12">
        <f t="shared" si="5"/>
        <v>300</v>
      </c>
      <c r="AE26" s="10">
        <f t="shared" si="18"/>
        <v>41.42289595578184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45.2747293958612</v>
      </c>
      <c r="G27" s="188">
        <f t="shared" si="16"/>
        <v>33.2747293958612</v>
      </c>
      <c r="H27" s="458"/>
      <c r="I27" s="458"/>
      <c r="J27" s="63">
        <f t="shared" si="17"/>
        <v>1.2339036287891219</v>
      </c>
      <c r="K27" s="29">
        <f t="shared" si="19"/>
        <v>35</v>
      </c>
      <c r="L27" s="3">
        <f t="shared" si="23"/>
        <v>0.13880000000000001</v>
      </c>
      <c r="M27" s="3">
        <f t="shared" si="20"/>
        <v>4.8580000000000005</v>
      </c>
      <c r="N27" s="3">
        <f t="shared" si="22"/>
        <v>4.9079999999999999E-2</v>
      </c>
      <c r="O27" s="3">
        <f t="shared" si="24"/>
        <v>98.98</v>
      </c>
      <c r="P27" s="13">
        <f t="shared" si="21"/>
        <v>-72.099999999999994</v>
      </c>
      <c r="U27" s="14">
        <f t="shared" si="9"/>
        <v>200</v>
      </c>
      <c r="V27" s="3">
        <f t="shared" si="10"/>
        <v>1.6341096876127523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79.01679953611233</v>
      </c>
      <c r="AB27" s="10">
        <f t="shared" si="4"/>
        <v>79.01679953611233</v>
      </c>
      <c r="AD27" s="12">
        <f t="shared" si="5"/>
        <v>360</v>
      </c>
      <c r="AE27" s="10">
        <f t="shared" si="18"/>
        <v>42.656799584570948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46.317980049069021</v>
      </c>
      <c r="G28" s="188">
        <f t="shared" si="16"/>
        <v>34.317980049069021</v>
      </c>
      <c r="H28" s="458"/>
      <c r="I28" s="458"/>
      <c r="J28" s="63">
        <f t="shared" si="17"/>
        <v>1.0432506532078207</v>
      </c>
      <c r="K28" s="29">
        <f t="shared" si="19"/>
        <v>40</v>
      </c>
      <c r="L28" s="3">
        <f t="shared" si="23"/>
        <v>0.13880000000000001</v>
      </c>
      <c r="M28" s="3">
        <f>K28*L28</f>
        <v>5.5520000000000005</v>
      </c>
      <c r="N28" s="3">
        <f t="shared" si="22"/>
        <v>4.9079999999999999E-2</v>
      </c>
      <c r="O28" s="3">
        <f>INT(M28/N28*100)/100</f>
        <v>113.12</v>
      </c>
      <c r="P28" s="13">
        <f>INT((G21-O28)*100)/100</f>
        <v>-85.34</v>
      </c>
      <c r="U28" s="14">
        <f t="shared" si="9"/>
        <v>200</v>
      </c>
      <c r="V28" s="3">
        <f t="shared" si="10"/>
        <v>1.6341096876127523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80.060050189320165</v>
      </c>
      <c r="AB28" s="10">
        <f t="shared" si="4"/>
        <v>80.060050189320165</v>
      </c>
      <c r="AD28" s="12">
        <f t="shared" si="5"/>
        <v>420</v>
      </c>
      <c r="AE28" s="10">
        <f t="shared" si="18"/>
        <v>43.700050237778783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47.22168487045154</v>
      </c>
      <c r="G29" s="188">
        <f t="shared" si="16"/>
        <v>35.22168487045154</v>
      </c>
      <c r="H29" s="458"/>
      <c r="I29" s="458"/>
      <c r="J29" s="63">
        <f t="shared" si="17"/>
        <v>0.90370482138251873</v>
      </c>
      <c r="K29" s="29">
        <f t="shared" si="19"/>
        <v>45</v>
      </c>
      <c r="L29" s="3">
        <f t="shared" si="23"/>
        <v>0.13880000000000001</v>
      </c>
      <c r="M29" s="3">
        <f>K29*L29</f>
        <v>6.2460000000000004</v>
      </c>
      <c r="N29" s="3">
        <f t="shared" si="22"/>
        <v>4.9079999999999999E-2</v>
      </c>
      <c r="O29" s="3">
        <f>INT(M29/N29*100)/100</f>
        <v>127.26</v>
      </c>
      <c r="P29" s="13">
        <f>INT((G22-O29)*100)/100</f>
        <v>-98.68</v>
      </c>
      <c r="U29" s="14">
        <f t="shared" si="9"/>
        <v>200</v>
      </c>
      <c r="V29" s="3">
        <f t="shared" si="10"/>
        <v>1.6341096876127523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80.963755010702684</v>
      </c>
      <c r="AB29" s="10">
        <f t="shared" si="4"/>
        <v>80.963755010702684</v>
      </c>
      <c r="AD29" s="12">
        <f t="shared" si="5"/>
        <v>480</v>
      </c>
      <c r="AE29" s="10">
        <f t="shared" si="18"/>
        <v>44.603755059161301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48.264935523659375</v>
      </c>
      <c r="G30" s="188">
        <f t="shared" si="16"/>
        <v>36.264935523659375</v>
      </c>
      <c r="H30" s="458"/>
      <c r="I30" s="458"/>
      <c r="J30" s="63">
        <f t="shared" si="17"/>
        <v>1.0432506532078349</v>
      </c>
      <c r="K30" s="29">
        <f t="shared" si="19"/>
        <v>50</v>
      </c>
      <c r="L30" s="3">
        <f t="shared" si="23"/>
        <v>0.13880000000000001</v>
      </c>
      <c r="M30" s="3">
        <f>K30*L30</f>
        <v>6.94</v>
      </c>
      <c r="N30" s="3">
        <f t="shared" si="22"/>
        <v>4.9079999999999999E-2</v>
      </c>
      <c r="O30" s="3">
        <f>INT(M30/N30*100)/100</f>
        <v>141.4</v>
      </c>
      <c r="P30" s="13">
        <f>INT((G23-O30)*100)/100</f>
        <v>-112.11</v>
      </c>
      <c r="U30" s="14">
        <f t="shared" si="9"/>
        <v>200</v>
      </c>
      <c r="V30" s="3">
        <f t="shared" si="10"/>
        <v>1.6341096876127523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81.760879155876879</v>
      </c>
      <c r="AB30" s="10">
        <f t="shared" si="4"/>
        <v>81.760879155876879</v>
      </c>
      <c r="AD30" s="12">
        <f t="shared" si="5"/>
        <v>540</v>
      </c>
      <c r="AE30" s="10">
        <f t="shared" si="18"/>
        <v>45.400879204335496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49.168640345041879</v>
      </c>
      <c r="G31" s="188">
        <f t="shared" si="16"/>
        <v>37.168640345041879</v>
      </c>
      <c r="H31" s="458"/>
      <c r="I31" s="458"/>
      <c r="J31" s="63">
        <f t="shared" si="17"/>
        <v>0.90370482138250452</v>
      </c>
      <c r="K31" s="29">
        <f t="shared" si="19"/>
        <v>55</v>
      </c>
      <c r="L31" s="3">
        <f t="shared" si="23"/>
        <v>0.13880000000000001</v>
      </c>
      <c r="M31" s="3">
        <f>K31*L31</f>
        <v>7.6340000000000003</v>
      </c>
      <c r="N31" s="3">
        <f t="shared" si="22"/>
        <v>4.9079999999999999E-2</v>
      </c>
      <c r="O31" s="3">
        <f>INT(M31/N31*100)/100</f>
        <v>155.54</v>
      </c>
      <c r="P31" s="13">
        <f>INT((G24-O31)*100)/100</f>
        <v>-125.65</v>
      </c>
      <c r="U31" s="14">
        <f t="shared" si="9"/>
        <v>200</v>
      </c>
      <c r="V31" s="3">
        <f t="shared" si="10"/>
        <v>1.6341096876127523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82.473931001678096</v>
      </c>
      <c r="AB31" s="10">
        <f t="shared" si="4"/>
        <v>82.473931001678096</v>
      </c>
      <c r="AD31" s="12">
        <f t="shared" si="5"/>
        <v>600</v>
      </c>
      <c r="AE31" s="10">
        <f t="shared" si="18"/>
        <v>46.113931050136713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49.965764490216074</v>
      </c>
      <c r="G32" s="188">
        <f t="shared" si="16"/>
        <v>37.965764490216074</v>
      </c>
      <c r="H32" s="458"/>
      <c r="I32" s="458"/>
      <c r="J32" s="63">
        <f t="shared" si="17"/>
        <v>0.79712414517419461</v>
      </c>
      <c r="K32" s="65" t="s">
        <v>18</v>
      </c>
      <c r="N32" s="67"/>
      <c r="U32" s="14">
        <f t="shared" si="9"/>
        <v>200</v>
      </c>
      <c r="V32" s="3">
        <f t="shared" si="10"/>
        <v>1.6341096876127523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83.118964857186512</v>
      </c>
      <c r="AB32" s="10">
        <f t="shared" si="4"/>
        <v>83.118964857186512</v>
      </c>
      <c r="AD32" s="12">
        <f t="shared" si="5"/>
        <v>660</v>
      </c>
      <c r="AE32" s="10">
        <f t="shared" si="18"/>
        <v>46.758964905645129</v>
      </c>
    </row>
    <row r="33" spans="1:31" s="3" customFormat="1" ht="21" customHeight="1" x14ac:dyDescent="0.15">
      <c r="A33" s="54"/>
      <c r="B33" s="54"/>
      <c r="C33" s="55">
        <f>$C$10+D33/1440</f>
        <v>41614.027777777774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51.912719964806413</v>
      </c>
      <c r="G33" s="188">
        <f t="shared" si="16"/>
        <v>39.912719964806413</v>
      </c>
      <c r="H33" s="458">
        <v>41614.027777777774</v>
      </c>
      <c r="I33" s="458"/>
      <c r="J33" s="63">
        <f t="shared" si="17"/>
        <v>1.9469554745903395</v>
      </c>
      <c r="K33" s="9" t="s">
        <v>18</v>
      </c>
      <c r="N33" s="67"/>
      <c r="U33" s="14">
        <f t="shared" si="9"/>
        <v>200</v>
      </c>
      <c r="V33" s="3">
        <f t="shared" si="10"/>
        <v>1.6341096876127523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83.707834630467218</v>
      </c>
      <c r="AB33" s="10">
        <f t="shared" si="4"/>
        <v>83.707834630467218</v>
      </c>
      <c r="AD33" s="12">
        <f t="shared" si="5"/>
        <v>720</v>
      </c>
      <c r="AE33" s="10">
        <f t="shared" si="18"/>
        <v>47.347834678925835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53.42289595578184</v>
      </c>
      <c r="G34" s="188">
        <f t="shared" si="16"/>
        <v>41.42289595578184</v>
      </c>
      <c r="H34" s="458"/>
      <c r="I34" s="458"/>
      <c r="J34" s="63">
        <f t="shared" si="17"/>
        <v>1.5101759909754264</v>
      </c>
      <c r="K34" s="9" t="s">
        <v>18</v>
      </c>
      <c r="O34" s="67"/>
      <c r="U34" s="14">
        <f t="shared" si="9"/>
        <v>200</v>
      </c>
      <c r="V34" s="3">
        <f t="shared" si="10"/>
        <v>1.6341096876127523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84.249542309982587</v>
      </c>
      <c r="AB34" s="10">
        <f t="shared" si="4"/>
        <v>84.249542309982587</v>
      </c>
      <c r="AD34" s="12">
        <f t="shared" si="5"/>
        <v>780</v>
      </c>
      <c r="AE34" s="10">
        <f t="shared" si="18"/>
        <v>47.889542358441204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54.656799584570948</v>
      </c>
      <c r="G35" s="188">
        <f t="shared" si="16"/>
        <v>42.656799584570948</v>
      </c>
      <c r="H35" s="458"/>
      <c r="I35" s="458"/>
      <c r="J35" s="63">
        <f t="shared" si="17"/>
        <v>1.2339036287891076</v>
      </c>
      <c r="K35" s="9" t="s">
        <v>18</v>
      </c>
      <c r="N35" s="67"/>
      <c r="U35" s="14">
        <f t="shared" si="9"/>
        <v>200</v>
      </c>
      <c r="V35" s="3">
        <f t="shared" si="10"/>
        <v>1.6341096876127523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84.751085283675053</v>
      </c>
      <c r="AB35" s="10">
        <f t="shared" si="4"/>
        <v>84.751085283675053</v>
      </c>
      <c r="AD35" s="12">
        <f t="shared" si="5"/>
        <v>840</v>
      </c>
      <c r="AE35" s="10">
        <f t="shared" si="18"/>
        <v>48.39108533213367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55.700050237778783</v>
      </c>
      <c r="G36" s="188">
        <f t="shared" si="16"/>
        <v>43.700050237778783</v>
      </c>
      <c r="H36" s="458"/>
      <c r="I36" s="458"/>
      <c r="J36" s="63">
        <f t="shared" si="17"/>
        <v>1.0432506532078349</v>
      </c>
      <c r="K36" s="9" t="s">
        <v>18</v>
      </c>
      <c r="U36" s="14">
        <f t="shared" si="9"/>
        <v>200</v>
      </c>
      <c r="V36" s="3">
        <f t="shared" si="10"/>
        <v>1.6341096876127523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85.21801062144263</v>
      </c>
      <c r="AB36" s="10">
        <f t="shared" si="4"/>
        <v>85.21801062144263</v>
      </c>
      <c r="AD36" s="12">
        <f t="shared" si="5"/>
        <v>900</v>
      </c>
      <c r="AE36" s="10">
        <f t="shared" si="18"/>
        <v>48.858010669901248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56.603755059161301</v>
      </c>
      <c r="G37" s="188">
        <f t="shared" si="16"/>
        <v>44.603755059161301</v>
      </c>
      <c r="H37" s="458"/>
      <c r="I37" s="458"/>
      <c r="J37" s="63">
        <f t="shared" si="17"/>
        <v>0.90370482138251873</v>
      </c>
      <c r="K37" s="9" t="s">
        <v>18</v>
      </c>
      <c r="U37" s="14">
        <f t="shared" si="9"/>
        <v>200</v>
      </c>
      <c r="V37" s="3">
        <f t="shared" si="10"/>
        <v>1.6341096876127523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85.654790105057558</v>
      </c>
      <c r="AB37" s="10">
        <f t="shared" si="4"/>
        <v>85.654790105057558</v>
      </c>
      <c r="AC37" s="3">
        <v>37</v>
      </c>
      <c r="AD37" s="12">
        <f t="shared" si="5"/>
        <v>960</v>
      </c>
      <c r="AE37" s="10">
        <f t="shared" si="18"/>
        <v>49.294790153516175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57.400879204335496</v>
      </c>
      <c r="G38" s="188">
        <f t="shared" si="16"/>
        <v>45.400879204335496</v>
      </c>
      <c r="H38" s="458"/>
      <c r="I38" s="458"/>
      <c r="J38" s="63">
        <f t="shared" si="17"/>
        <v>0.79712414517419461</v>
      </c>
      <c r="K38" s="9" t="s">
        <v>18</v>
      </c>
      <c r="U38" s="14">
        <f t="shared" si="9"/>
        <v>200</v>
      </c>
      <c r="V38" s="3">
        <f t="shared" si="10"/>
        <v>1.6341096876127523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86.065081362814894</v>
      </c>
      <c r="AB38" s="10">
        <f t="shared" si="4"/>
        <v>86.065081362814894</v>
      </c>
      <c r="AC38" s="29" t="s">
        <v>28</v>
      </c>
      <c r="AD38" s="12">
        <f t="shared" si="5"/>
        <v>1020</v>
      </c>
      <c r="AE38" s="10">
        <f t="shared" si="18"/>
        <v>49.705081411273511</v>
      </c>
    </row>
    <row r="39" spans="1:31" s="3" customFormat="1" ht="21" customHeight="1" x14ac:dyDescent="0.15">
      <c r="A39" s="54"/>
      <c r="B39" s="54"/>
      <c r="C39" s="55">
        <f>$C$10+D39/1440</f>
        <v>41614.277777777774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58.113931050136713</v>
      </c>
      <c r="G39" s="188">
        <f t="shared" si="16"/>
        <v>46.113931050136713</v>
      </c>
      <c r="H39" s="458"/>
      <c r="I39" s="458"/>
      <c r="J39" s="63">
        <f t="shared" si="17"/>
        <v>0.71305184580121761</v>
      </c>
      <c r="K39" s="9" t="s">
        <v>18</v>
      </c>
      <c r="U39" s="14">
        <f t="shared" si="9"/>
        <v>200</v>
      </c>
      <c r="V39" s="3">
        <f t="shared" si="10"/>
        <v>1.6341096876127523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86.451914250231752</v>
      </c>
      <c r="AB39" s="10">
        <f t="shared" si="4"/>
        <v>86.451914250231752</v>
      </c>
      <c r="AC39" s="395">
        <v>39</v>
      </c>
      <c r="AD39" s="12">
        <f t="shared" si="5"/>
        <v>1080</v>
      </c>
      <c r="AE39" s="10">
        <f t="shared" si="18"/>
        <v>50.091914298690369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58.758964905645129</v>
      </c>
      <c r="G40" s="188">
        <f t="shared" si="16"/>
        <v>46.758964905645129</v>
      </c>
      <c r="H40" s="458"/>
      <c r="I40" s="458"/>
      <c r="J40" s="63">
        <f t="shared" si="17"/>
        <v>0.64503385550841585</v>
      </c>
      <c r="K40" s="9" t="s">
        <v>18</v>
      </c>
      <c r="U40" s="14">
        <f t="shared" si="9"/>
        <v>200</v>
      </c>
      <c r="V40" s="3">
        <f t="shared" si="10"/>
        <v>1.6341096876127523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86.817826771477556</v>
      </c>
      <c r="AB40" s="10">
        <f t="shared" si="4"/>
        <v>86.817826771477556</v>
      </c>
      <c r="AC40" s="395">
        <v>40</v>
      </c>
      <c r="AD40" s="12">
        <f t="shared" si="5"/>
        <v>1140</v>
      </c>
      <c r="AE40" s="10">
        <f t="shared" si="18"/>
        <v>50.457826819936173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59.347834678925835</v>
      </c>
      <c r="G41" s="188">
        <f t="shared" si="16"/>
        <v>47.347834678925835</v>
      </c>
      <c r="H41" s="458"/>
      <c r="I41" s="458"/>
      <c r="J41" s="63">
        <f t="shared" si="17"/>
        <v>0.588869773280706</v>
      </c>
      <c r="K41" s="9" t="s">
        <v>18</v>
      </c>
      <c r="U41" s="391">
        <f t="shared" si="9"/>
        <v>200</v>
      </c>
      <c r="V41" s="390">
        <f t="shared" si="10"/>
        <v>1.6341096876127523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87.164966096032984</v>
      </c>
      <c r="AB41" s="10">
        <f t="shared" si="4"/>
        <v>87.164966096032984</v>
      </c>
      <c r="AC41" s="396">
        <v>41</v>
      </c>
      <c r="AD41" s="12">
        <f t="shared" si="5"/>
        <v>1200</v>
      </c>
      <c r="AE41" s="10">
        <f t="shared" si="18"/>
        <v>50.804966144491601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59.889542358441204</v>
      </c>
      <c r="G42" s="188">
        <f t="shared" si="16"/>
        <v>47.889542358441204</v>
      </c>
      <c r="H42" s="458"/>
      <c r="I42" s="458"/>
      <c r="J42" s="63">
        <f t="shared" si="17"/>
        <v>0.54170767951536902</v>
      </c>
      <c r="K42" s="9" t="s">
        <v>18</v>
      </c>
      <c r="U42" s="14">
        <f t="shared" si="9"/>
        <v>200</v>
      </c>
      <c r="V42" s="3">
        <f t="shared" si="10"/>
        <v>1.6341096876127523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87.495164903439587</v>
      </c>
      <c r="AB42" s="10">
        <f t="shared" si="4"/>
        <v>87.495164903439587</v>
      </c>
      <c r="AC42" s="395">
        <v>42</v>
      </c>
      <c r="AD42" s="12">
        <f t="shared" si="5"/>
        <v>1260</v>
      </c>
      <c r="AE42" s="10">
        <f t="shared" si="18"/>
        <v>51.135164951898204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60.39108533213367</v>
      </c>
      <c r="G43" s="188">
        <f t="shared" si="16"/>
        <v>48.39108533213367</v>
      </c>
      <c r="H43" s="458"/>
      <c r="I43" s="458"/>
      <c r="J43" s="63">
        <f t="shared" si="17"/>
        <v>0.50154297369246592</v>
      </c>
      <c r="K43" s="9" t="s">
        <v>18</v>
      </c>
      <c r="U43" s="391">
        <f t="shared" si="9"/>
        <v>200</v>
      </c>
      <c r="V43" s="390">
        <f t="shared" si="10"/>
        <v>1.6341096876127523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87.809999951541386</v>
      </c>
      <c r="AB43" s="10">
        <f t="shared" si="4"/>
        <v>87.809999951541386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60.858010669901248</v>
      </c>
      <c r="G44" s="188">
        <f t="shared" si="16"/>
        <v>48.858010669901248</v>
      </c>
      <c r="H44" s="458"/>
      <c r="I44" s="458"/>
      <c r="J44" s="63">
        <f t="shared" si="17"/>
        <v>0.46692533776757728</v>
      </c>
      <c r="K44" s="9" t="s">
        <v>18</v>
      </c>
      <c r="U44" s="14">
        <f t="shared" si="9"/>
        <v>200</v>
      </c>
      <c r="V44" s="3">
        <f t="shared" si="10"/>
        <v>1.6341096876127523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87.809999951541386</v>
      </c>
      <c r="AB44" s="394">
        <f t="shared" ref="AB44" si="30">AB43</f>
        <v>87.809999951541386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41614.527777777774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61.294790153516175</v>
      </c>
      <c r="G45" s="188">
        <f t="shared" si="16"/>
        <v>49.294790153516175</v>
      </c>
      <c r="H45" s="458"/>
      <c r="I45" s="458"/>
      <c r="J45" s="63">
        <f t="shared" si="17"/>
        <v>0.43677948361492724</v>
      </c>
      <c r="K45" s="9" t="s">
        <v>18</v>
      </c>
      <c r="U45" s="391">
        <f t="shared" si="9"/>
        <v>200</v>
      </c>
      <c r="V45" s="390">
        <f t="shared" si="10"/>
        <v>1.6341096876127523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87.809999951541386</v>
      </c>
      <c r="AB45" s="394">
        <f t="shared" ref="AB45:AB47" si="31">AB44</f>
        <v>87.809999951541386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61.705081411273511</v>
      </c>
      <c r="G46" s="188">
        <f t="shared" si="16"/>
        <v>49.705081411273511</v>
      </c>
      <c r="H46" s="458"/>
      <c r="I46" s="458"/>
      <c r="J46" s="63">
        <f t="shared" si="17"/>
        <v>0.41029125775733633</v>
      </c>
      <c r="K46" s="9" t="s">
        <v>18</v>
      </c>
      <c r="U46" s="14">
        <f t="shared" si="9"/>
        <v>200</v>
      </c>
      <c r="V46" s="3">
        <f t="shared" si="10"/>
        <v>1.6341096876127523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87.809999951541386</v>
      </c>
      <c r="AB46" s="10">
        <f t="shared" si="31"/>
        <v>87.809999951541386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62.091914298690369</v>
      </c>
      <c r="G47" s="188">
        <f t="shared" si="16"/>
        <v>50.091914298690369</v>
      </c>
      <c r="H47" s="458"/>
      <c r="I47" s="458"/>
      <c r="J47" s="63">
        <f t="shared" si="17"/>
        <v>0.38683288741685828</v>
      </c>
      <c r="K47" s="9" t="s">
        <v>18</v>
      </c>
      <c r="U47" s="14">
        <f t="shared" si="9"/>
        <v>200</v>
      </c>
      <c r="V47" s="3">
        <f t="shared" si="10"/>
        <v>1.6341096876127523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87.809999951541386</v>
      </c>
      <c r="AB47" s="10">
        <f t="shared" si="31"/>
        <v>87.809999951541386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62.457826819936173</v>
      </c>
      <c r="G48" s="188">
        <f t="shared" si="16"/>
        <v>50.457826819936173</v>
      </c>
      <c r="H48" s="458"/>
      <c r="I48" s="458"/>
      <c r="J48" s="3" t="s">
        <v>18</v>
      </c>
      <c r="K48" s="9" t="s">
        <v>18</v>
      </c>
      <c r="U48" s="14">
        <f t="shared" si="9"/>
        <v>200</v>
      </c>
      <c r="V48" s="3">
        <f t="shared" si="10"/>
        <v>1.6341096876127523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87.809999951541386</v>
      </c>
      <c r="AB48" s="10">
        <f t="shared" ref="AB48:AB52" si="33">AB47</f>
        <v>87.809999951541386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62.804966144491601</v>
      </c>
      <c r="G49" s="188">
        <f t="shared" si="16"/>
        <v>50.804966144491601</v>
      </c>
      <c r="H49" s="458"/>
      <c r="I49" s="458"/>
      <c r="J49" s="3" t="s">
        <v>18</v>
      </c>
      <c r="K49" s="9" t="s">
        <v>18</v>
      </c>
      <c r="U49" s="14">
        <f t="shared" si="9"/>
        <v>200</v>
      </c>
      <c r="V49" s="3">
        <f t="shared" si="10"/>
        <v>1.6341096876127523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87.809999951541386</v>
      </c>
      <c r="AB49" s="10">
        <f t="shared" si="33"/>
        <v>87.809999951541386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63.135164951898204</v>
      </c>
      <c r="G50" s="188">
        <f t="shared" si="16"/>
        <v>51.135164951898204</v>
      </c>
      <c r="H50" s="458"/>
      <c r="I50" s="458"/>
      <c r="J50" s="3" t="s">
        <v>18</v>
      </c>
      <c r="K50" s="9" t="s">
        <v>18</v>
      </c>
      <c r="U50" s="14">
        <f t="shared" si="9"/>
        <v>200</v>
      </c>
      <c r="V50" s="3">
        <f t="shared" si="10"/>
        <v>1.6341096876127523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87.809999951541386</v>
      </c>
      <c r="AB50" s="10">
        <f t="shared" si="33"/>
        <v>87.809999951541386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41614.777777777774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200</v>
      </c>
      <c r="V51" s="3">
        <f t="shared" si="10"/>
        <v>1.6341096876127523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87.809999951541386</v>
      </c>
      <c r="AB51" s="10">
        <f t="shared" si="33"/>
        <v>87.809999951541386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200</v>
      </c>
      <c r="V52" s="3">
        <f t="shared" si="10"/>
        <v>1.6341096876127523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87.809999951541386</v>
      </c>
      <c r="AB52" s="10">
        <f t="shared" si="33"/>
        <v>87.809999951541386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200</v>
      </c>
      <c r="V53" s="3">
        <f t="shared" si="10"/>
        <v>1.6341096876127523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87.809999951541386</v>
      </c>
      <c r="AB53" s="10">
        <f t="shared" ref="AB53:AB69" si="35">AB52</f>
        <v>87.809999951541386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200</v>
      </c>
      <c r="V54" s="3">
        <f t="shared" si="10"/>
        <v>1.6341096876127523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87.809999951541386</v>
      </c>
      <c r="AB54" s="10">
        <f t="shared" si="35"/>
        <v>87.809999951541386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200</v>
      </c>
      <c r="V55" s="3">
        <f t="shared" si="10"/>
        <v>1.6341096876127523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87.809999951541386</v>
      </c>
      <c r="AB55" s="10">
        <f t="shared" si="35"/>
        <v>87.809999951541386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41614.986111111109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200</v>
      </c>
      <c r="V56" s="3">
        <f t="shared" si="10"/>
        <v>1.6341096876127523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87.809999951541386</v>
      </c>
      <c r="AB56" s="10">
        <f t="shared" si="35"/>
        <v>87.809999951541386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8">
        <v>41615.027777777774</v>
      </c>
      <c r="I57" s="458"/>
      <c r="J57" s="3" t="s">
        <v>18</v>
      </c>
      <c r="K57" s="9" t="s">
        <v>18</v>
      </c>
      <c r="U57" s="14">
        <f t="shared" si="9"/>
        <v>200</v>
      </c>
      <c r="V57" s="3">
        <f t="shared" si="10"/>
        <v>1.6341096876127523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87.809999951541386</v>
      </c>
      <c r="AB57" s="10">
        <f t="shared" si="35"/>
        <v>87.809999951541386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200</v>
      </c>
      <c r="V58" s="3">
        <f t="shared" si="10"/>
        <v>1.6341096876127523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87.809999951541386</v>
      </c>
      <c r="AB58" s="10">
        <f t="shared" si="35"/>
        <v>87.809999951541386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200</v>
      </c>
      <c r="V59" s="3">
        <f t="shared" si="10"/>
        <v>1.6341096876127523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87.809999951541386</v>
      </c>
      <c r="AB59" s="10">
        <f t="shared" si="35"/>
        <v>87.809999951541386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200</v>
      </c>
      <c r="V60" s="3">
        <f t="shared" si="10"/>
        <v>1.6341096876127523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87.809999951541386</v>
      </c>
      <c r="AB60" s="10">
        <f t="shared" si="35"/>
        <v>87.809999951541386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41615.194444444445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200</v>
      </c>
      <c r="V61" s="3">
        <f t="shared" si="10"/>
        <v>1.6341096876127523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87.809999951541386</v>
      </c>
      <c r="AB61" s="10">
        <f t="shared" si="35"/>
        <v>87.809999951541386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200</v>
      </c>
      <c r="V62" s="3">
        <f t="shared" si="10"/>
        <v>1.6341096876127523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87.809999951541386</v>
      </c>
      <c r="AB62" s="10">
        <f t="shared" si="35"/>
        <v>87.809999951541386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200</v>
      </c>
      <c r="V63" s="3">
        <f t="shared" si="10"/>
        <v>1.6341096876127523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87.809999951541386</v>
      </c>
      <c r="AB63" s="10">
        <f t="shared" si="35"/>
        <v>87.809999951541386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200</v>
      </c>
      <c r="V64" s="3">
        <f t="shared" si="10"/>
        <v>1.6341096876127523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87.809999951541386</v>
      </c>
      <c r="AB64" s="10">
        <f t="shared" si="35"/>
        <v>87.809999951541386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200</v>
      </c>
      <c r="V65" s="3">
        <f t="shared" si="10"/>
        <v>1.6341096876127523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87.809999951541386</v>
      </c>
      <c r="AB65" s="10">
        <f t="shared" si="35"/>
        <v>87.809999951541386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41615.402777777774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200</v>
      </c>
      <c r="V66" s="3">
        <f t="shared" si="10"/>
        <v>1.6341096876127523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87.809999951541386</v>
      </c>
      <c r="AB66" s="10">
        <f t="shared" si="35"/>
        <v>87.809999951541386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/>
      <c r="I67" s="458"/>
      <c r="J67" s="3" t="s">
        <v>18</v>
      </c>
      <c r="K67" s="9" t="s">
        <v>18</v>
      </c>
      <c r="U67" s="14">
        <f t="shared" si="9"/>
        <v>200</v>
      </c>
      <c r="V67" s="3">
        <f t="shared" si="10"/>
        <v>1.6341096876127523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87.809999951541386</v>
      </c>
      <c r="AB67" s="10">
        <f t="shared" si="35"/>
        <v>87.809999951541386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200</v>
      </c>
      <c r="V68" s="3">
        <f t="shared" ref="V68:V83" si="40">V$2</f>
        <v>1.6341096876127523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87.809999951541386</v>
      </c>
      <c r="AB68" s="10">
        <f t="shared" si="35"/>
        <v>87.809999951541386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200</v>
      </c>
      <c r="V69" s="3">
        <f t="shared" si="40"/>
        <v>1.6341096876127523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87.809999951541386</v>
      </c>
      <c r="AB69" s="10">
        <f t="shared" si="35"/>
        <v>87.809999951541386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1.6341096876127523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41615.611111111109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1.6341096876127523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1.6341096876127523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1.6341096876127523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1.6341096876127523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1.6341096876127523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1.6341096876127523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41615.861111111109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1.6341096876127523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41615.861805555556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1.6341096876127523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1.6341096876127523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1.6341096876127523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1.6341096876127523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1.6341096876127523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1.6341096876127523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41615.902777777774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41615.944444444445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41616.027777777774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>
        <v>41616.027777777774</v>
      </c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41616.111111111109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47.3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4.5979999999999999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>
      <selection activeCell="C25" sqref="C25"/>
    </sheetView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124</v>
      </c>
    </row>
    <row r="25" spans="1:2" x14ac:dyDescent="0.15">
      <c r="A25" s="79">
        <f>단계양수시험!D31</f>
        <v>120</v>
      </c>
      <c r="B25" s="79">
        <f>입력표!D4</f>
        <v>158</v>
      </c>
    </row>
    <row r="26" spans="1:2" x14ac:dyDescent="0.15">
      <c r="A26" s="79">
        <f>단계양수시험!D36</f>
        <v>240</v>
      </c>
      <c r="B26" s="79">
        <f>입력표!D5</f>
        <v>192.95</v>
      </c>
    </row>
    <row r="27" spans="1:2" x14ac:dyDescent="0.15">
      <c r="A27" s="79">
        <f>단계양수시험!D41</f>
        <v>360</v>
      </c>
      <c r="B27" s="79">
        <f>입력표!D6</f>
        <v>227</v>
      </c>
    </row>
    <row r="28" spans="1:2" x14ac:dyDescent="0.15">
      <c r="A28" s="79">
        <f>단계양수시험!D46</f>
        <v>480</v>
      </c>
      <c r="B28" s="79">
        <f>입력표!D7</f>
        <v>261.04999999999995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2.13</v>
      </c>
      <c r="C35" s="79">
        <v>1</v>
      </c>
    </row>
    <row r="36" spans="1:3" x14ac:dyDescent="0.15">
      <c r="A36" s="77">
        <f>Sheet1!A2</f>
        <v>2</v>
      </c>
      <c r="B36" s="78">
        <f>Sheet1!B2</f>
        <v>4.03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1.8479045020970803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3.8561268939685953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7.5122537879371905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10.256333407701725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12.203288882292071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13.71346487326749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18.404499967622371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21.148579587386905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23.095535061977252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24.605711052952671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25.839614681741786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26.882865334949614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27.786570156332118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28.583694301506313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29.296746147307559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29.892700002815946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30.530649776096652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32.040825767072079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33.2747293958612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34.317980049069021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35.22168487045154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36.264935523659375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37.168640345041879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37.965764490216074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39.912719964806413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41.42289595578184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42.656799584570948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43.700050237778783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44.603755059161301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45.400879204335496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46.113931050136713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46.758964905645129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47.347834678925835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47.889542358441204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48.39108533213367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48.858010669901248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49.294790153516175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49.705081411273511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50.091914298690369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50.457826819936173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50.804966144491601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51.135164951898204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1.8479045020970803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2019-12-06T10:36:10Z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