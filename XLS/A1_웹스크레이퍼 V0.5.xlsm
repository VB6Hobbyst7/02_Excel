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17_한밭수목원 - 동해엔지니어링\01_Base Data\"/>
    </mc:Choice>
  </mc:AlternateContent>
  <xr:revisionPtr revIDLastSave="0" documentId="13_ncr:1_{8DB97E2A-F946-4981-B230-5F27B9F44DA8}" xr6:coauthVersionLast="45" xr6:coauthVersionMax="45" xr10:uidLastSave="{00000000-0000-0000-0000-000000000000}"/>
  <bookViews>
    <workbookView xWindow="-120" yWindow="-120" windowWidth="29040" windowHeight="15840" tabRatio="579" activeTab="1" xr2:uid="{00000000-000D-0000-FFFF-FFFF00000000}"/>
  </bookViews>
  <sheets>
    <sheet name="30Year" sheetId="92" r:id="rId1"/>
    <sheet name="30" sheetId="103" r:id="rId2"/>
    <sheet name="Y" sheetId="97" r:id="rId3"/>
    <sheet name="M" sheetId="98" r:id="rId4"/>
    <sheet name="GPS" sheetId="104" r:id="rId5"/>
    <sheet name="drastic" sheetId="84" state="hidden" r:id="rId6"/>
  </sheets>
  <functionGroups builtInGroupCount="19"/>
  <externalReferences>
    <externalReference r:id="rId7"/>
  </externalReferences>
  <definedNames>
    <definedName name="baseTemp" localSheetId="1">#REF!</definedName>
    <definedName name="baseTemp" localSheetId="0">#REF!</definedName>
    <definedName name="baseTemp" localSheetId="3">#REF!</definedName>
    <definedName name="baseTemp" localSheetId="2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3">[1]지하수함양량!$C$26</definedName>
    <definedName name="max" localSheetId="2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3">[1]지하수함양량!$C$25</definedName>
    <definedName name="min" localSheetId="2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3">[1]지하수함양량!$C$28</definedName>
    <definedName name="rf_1" localSheetId="2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3">[1]지하수함양량!$D$28</definedName>
    <definedName name="rf_2" localSheetId="2">[1]지하수함양량!$D$28</definedName>
    <definedName name="rf_2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sharedStrings.xml><?xml version="1.0" encoding="utf-8"?>
<sst xmlns="http://schemas.openxmlformats.org/spreadsheetml/2006/main" count="156" uniqueCount="78">
  <si>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</si>
  <si>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</si>
  <si>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</si>
  <si>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</si>
  <si>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</si>
  <si>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</si>
  <si>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</si>
  <si>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</si>
  <si>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</si>
  <si>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</si>
  <si>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</si>
  <si>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</si>
  <si>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</si>
  <si>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</si>
  <si>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</si>
  <si>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</si>
  <si>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</si>
  <si>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</si>
  <si>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</si>
  <si>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</si>
  <si>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</si>
  <si>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</si>
  <si>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</si>
  <si>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</si>
  <si>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</si>
  <si>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</si>
  <si>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</si>
  <si>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</si>
  <si>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</si>
  <si>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</si>
  <si>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</si>
  <si>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</si>
  <si>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</si>
  <si>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</si>
  <si>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</si>
  <si>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</si>
  <si>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</si>
  <si>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</si>
  <si>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</si>
  <si>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</si>
  <si>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</si>
  <si>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</si>
  <si>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</si>
  <si>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</si>
  <si>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</si>
  <si>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</si>
  <si>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</si>
  <si>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</si>
  <si>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</si>
  <si>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</si>
  <si>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</si>
  <si>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</si>
  <si>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</si>
  <si>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</si>
  <si>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</si>
  <si>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</si>
  <si>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</si>
  <si>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</si>
  <si>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</si>
  <si>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</si>
  <si>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</si>
  <si>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</si>
  <si>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</si>
  <si>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</si>
  <si>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</si>
  <si>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</si>
  <si>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</si>
  <si>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</si>
  <si>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</si>
  <si>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</si>
  <si>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</si>
  <si>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Button 5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</si>
  <si>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</si>
  <si>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</si>
  <si>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</si>
  <si>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</si>
  <si>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</si>
  <si>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Working 29 ----&gt;  ( 2018 )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</si>
</sst>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24" formatCode="\$#,##0_);[Red]\(\$#,##0\)"/>
    <numFmt numFmtId="176" formatCode="_-&quot;₩&quot;* #,##0.00_-;\-&quot;₩&quot;* #,##0.00_-;_-&quot;₩&quot;* &quot;-&quot;??_-;_-@_-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17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176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Comma" xfId="17" builtinId="3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142875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142875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topLeftCell="A22"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/>
  <dimension ref="B1:T62"/>
  <sheetViews>
    <sheetView tabSelected="1" zoomScaleNormal="100" workbookViewId="0">
      <selection activeCell="R15" sqref="R1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1" spans="2:20">
      <c r="T1" s="2" t="s">
        <v>71</v>
      </c>
    </row>
    <row r="2" spans="2:20">
      <c r="B2" s="30" t="s">
        <v>69</v>
      </c>
    </row>
    <row r="3" spans="2:20" ht="24.75" customHeight="1">
      <c r="R3" s="98"/>
    </row>
    <row r="4" spans="2:20" ht="21.75" customHeight="1" thickBot="1"/>
    <row r="5" spans="2:20" s="3" customFormat="1" ht="21.95" customHeigh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20" ht="21.95" customHeight="1">
      <c r="B6" s="102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5">
        <f t="shared" ref="O6:O35" si="0">ROUND(SUM(C6:N6),1)</f>
        <v>1538</v>
      </c>
      <c r="P6" s="54">
        <f>ROUND(O6/12,1)</f>
        <v>128.19999999999999</v>
      </c>
      <c r="Q6" s="29"/>
    </row>
    <row r="7" spans="2:20" ht="21.95" customHeight="1">
      <c r="B7" s="103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si="0"/>
        <v>1496.4</v>
      </c>
      <c r="P7" s="49">
        <f t="shared" ref="P7:P35" si="1">ROUND(O7/12,1)</f>
        <v>124.7</v>
      </c>
      <c r="Q7" s="29"/>
      <c r="T7" s="116" t="s">
        <v>77</v>
      </c>
    </row>
    <row r="8" spans="2:20" ht="21.95" customHeight="1">
      <c r="B8" s="103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20" ht="21.95" customHeight="1">
      <c r="B9" s="103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20" ht="21.95" customHeight="1">
      <c r="B10" s="103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20" ht="21.95" customHeight="1">
      <c r="B11" s="103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20" ht="21.95" customHeight="1">
      <c r="B12" s="103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20" ht="21.95" customHeight="1">
      <c r="B13" s="103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20" ht="21.95" customHeight="1">
      <c r="B14" s="103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20" ht="21.95" customHeight="1">
      <c r="B15" s="103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20" ht="21.95" customHeight="1">
      <c r="B16" s="103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103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103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103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103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103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103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103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103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103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103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103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103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103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103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103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103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103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103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104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2009</v>
      </c>
      <c r="C44" s="106">
        <f t="shared" ref="C44:N44" si="5">C26</f>
        <v>15.4</v>
      </c>
      <c r="D44" s="106">
        <f t="shared" si="5"/>
        <v>27.5</v>
      </c>
      <c r="E44" s="106">
        <f t="shared" si="5"/>
        <v>60.3</v>
      </c>
      <c r="F44" s="106">
        <f t="shared" si="5"/>
        <v>34.5</v>
      </c>
      <c r="G44" s="106">
        <f t="shared" si="5"/>
        <v>124.3</v>
      </c>
      <c r="H44" s="106">
        <f t="shared" si="5"/>
        <v>87.3</v>
      </c>
      <c r="I44" s="106">
        <f t="shared" si="5"/>
        <v>429.2</v>
      </c>
      <c r="J44" s="106">
        <f t="shared" si="5"/>
        <v>148.30000000000001</v>
      </c>
      <c r="K44" s="106">
        <f t="shared" si="5"/>
        <v>46</v>
      </c>
      <c r="L44" s="106">
        <f t="shared" si="5"/>
        <v>24.7</v>
      </c>
      <c r="M44" s="106">
        <f t="shared" si="5"/>
        <v>54.7</v>
      </c>
      <c r="N44" s="113">
        <f t="shared" si="5"/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105">
        <f t="shared" ref="B45:N45" si="6">B27</f>
        <v>2010</v>
      </c>
      <c r="C45" s="106">
        <f t="shared" si="6"/>
        <v>46.4</v>
      </c>
      <c r="D45" s="106">
        <f t="shared" si="6"/>
        <v>81.5</v>
      </c>
      <c r="E45" s="106">
        <f t="shared" si="6"/>
        <v>100.1</v>
      </c>
      <c r="F45" s="106">
        <f t="shared" si="6"/>
        <v>88.5</v>
      </c>
      <c r="G45" s="106">
        <f t="shared" si="6"/>
        <v>117.6</v>
      </c>
      <c r="H45" s="106">
        <f t="shared" si="6"/>
        <v>65.599999999999994</v>
      </c>
      <c r="I45" s="106">
        <f t="shared" si="6"/>
        <v>223.1</v>
      </c>
      <c r="J45" s="106">
        <f t="shared" si="6"/>
        <v>376.4</v>
      </c>
      <c r="K45" s="106">
        <f t="shared" si="6"/>
        <v>250.5</v>
      </c>
      <c r="L45" s="106">
        <f t="shared" si="6"/>
        <v>17.899999999999999</v>
      </c>
      <c r="M45" s="106">
        <f t="shared" si="6"/>
        <v>16.399999999999999</v>
      </c>
      <c r="N45" s="113">
        <f t="shared" si="6"/>
        <v>35.700000000000003</v>
      </c>
      <c r="O45" s="41">
        <f t="shared" ref="O45:O53" si="7">ROUND(SUM(C45:N45),1)</f>
        <v>1419.7</v>
      </c>
      <c r="P45" s="48">
        <f t="shared" ref="P45:P53" si="8">ROUND(O45/12,1)</f>
        <v>118.3</v>
      </c>
    </row>
    <row r="46" spans="2:16" ht="21.95" customHeight="1">
      <c r="B46" s="105">
        <f t="shared" ref="B46:N46" si="9">B28</f>
        <v>2011</v>
      </c>
      <c r="C46" s="106">
        <f t="shared" si="9"/>
        <v>4</v>
      </c>
      <c r="D46" s="106">
        <f t="shared" si="9"/>
        <v>44.8</v>
      </c>
      <c r="E46" s="106">
        <f t="shared" si="9"/>
        <v>19</v>
      </c>
      <c r="F46" s="106">
        <f t="shared" si="9"/>
        <v>71</v>
      </c>
      <c r="G46" s="106">
        <f t="shared" si="9"/>
        <v>162</v>
      </c>
      <c r="H46" s="106">
        <f t="shared" si="9"/>
        <v>391.6</v>
      </c>
      <c r="I46" s="106">
        <f t="shared" si="9"/>
        <v>587.29999999999995</v>
      </c>
      <c r="J46" s="106">
        <f t="shared" si="9"/>
        <v>420.3</v>
      </c>
      <c r="K46" s="106">
        <f t="shared" si="9"/>
        <v>91.7</v>
      </c>
      <c r="L46" s="106">
        <f t="shared" si="9"/>
        <v>37</v>
      </c>
      <c r="M46" s="106">
        <f t="shared" si="9"/>
        <v>103.2</v>
      </c>
      <c r="N46" s="113">
        <f t="shared" si="9"/>
        <v>11.5</v>
      </c>
      <c r="O46" s="41">
        <f t="shared" si="7"/>
        <v>1943.4</v>
      </c>
      <c r="P46" s="48">
        <f t="shared" si="8"/>
        <v>162</v>
      </c>
    </row>
    <row r="47" spans="2:16" ht="21.95" customHeight="1">
      <c r="B47" s="105">
        <f t="shared" ref="B47:N47" si="10">B29</f>
        <v>2012</v>
      </c>
      <c r="C47" s="106">
        <f t="shared" si="10"/>
        <v>16.399999999999999</v>
      </c>
      <c r="D47" s="106">
        <f t="shared" si="10"/>
        <v>2.5</v>
      </c>
      <c r="E47" s="106">
        <f t="shared" si="10"/>
        <v>54.6</v>
      </c>
      <c r="F47" s="106">
        <f t="shared" si="10"/>
        <v>66.2</v>
      </c>
      <c r="G47" s="106">
        <f t="shared" si="10"/>
        <v>24</v>
      </c>
      <c r="H47" s="106">
        <f t="shared" si="10"/>
        <v>57.8</v>
      </c>
      <c r="I47" s="106">
        <f t="shared" si="10"/>
        <v>277.60000000000002</v>
      </c>
      <c r="J47" s="106">
        <f t="shared" si="10"/>
        <v>463.6</v>
      </c>
      <c r="K47" s="106">
        <f t="shared" si="10"/>
        <v>242.5</v>
      </c>
      <c r="L47" s="106">
        <f t="shared" si="10"/>
        <v>81.3</v>
      </c>
      <c r="M47" s="106">
        <f t="shared" si="10"/>
        <v>58.4</v>
      </c>
      <c r="N47" s="113">
        <f t="shared" si="10"/>
        <v>64.599999999999994</v>
      </c>
      <c r="O47" s="41">
        <f>ROUND(SUM(C47:N47),1)</f>
        <v>1409.5</v>
      </c>
      <c r="P47" s="48">
        <f t="shared" si="8"/>
        <v>117.5</v>
      </c>
    </row>
    <row r="48" spans="2:16" ht="21.95" customHeight="1">
      <c r="B48" s="105">
        <f t="shared" ref="B48:N48" si="11">B30</f>
        <v>2013</v>
      </c>
      <c r="C48" s="106">
        <f t="shared" si="11"/>
        <v>46.2</v>
      </c>
      <c r="D48" s="106">
        <f t="shared" si="11"/>
        <v>54.2</v>
      </c>
      <c r="E48" s="106">
        <f t="shared" si="11"/>
        <v>52.8</v>
      </c>
      <c r="F48" s="106">
        <f t="shared" si="11"/>
        <v>86.8</v>
      </c>
      <c r="G48" s="106">
        <f t="shared" si="11"/>
        <v>110.4</v>
      </c>
      <c r="H48" s="106">
        <f t="shared" si="11"/>
        <v>162.6</v>
      </c>
      <c r="I48" s="106">
        <f t="shared" si="11"/>
        <v>218.7</v>
      </c>
      <c r="J48" s="106">
        <f t="shared" si="11"/>
        <v>126.6</v>
      </c>
      <c r="K48" s="106">
        <f t="shared" si="11"/>
        <v>146.4</v>
      </c>
      <c r="L48" s="106">
        <f t="shared" si="11"/>
        <v>19.899999999999999</v>
      </c>
      <c r="M48" s="106">
        <f t="shared" si="11"/>
        <v>63.5</v>
      </c>
      <c r="N48" s="113">
        <f t="shared" si="11"/>
        <v>32.799999999999997</v>
      </c>
      <c r="O48" s="41">
        <f t="shared" si="7"/>
        <v>1120.9000000000001</v>
      </c>
      <c r="P48" s="48">
        <f t="shared" si="8"/>
        <v>93.4</v>
      </c>
    </row>
    <row r="49" spans="2:17" ht="21.95" customHeight="1">
      <c r="B49" s="105">
        <f t="shared" ref="B49:N49" si="12">B31</f>
        <v>2014</v>
      </c>
      <c r="C49" s="106">
        <f t="shared" si="12"/>
        <v>6.5</v>
      </c>
      <c r="D49" s="106">
        <f t="shared" si="12"/>
        <v>8.5</v>
      </c>
      <c r="E49" s="106">
        <f t="shared" si="12"/>
        <v>67.2</v>
      </c>
      <c r="F49" s="106">
        <f t="shared" si="12"/>
        <v>59.4</v>
      </c>
      <c r="G49" s="106">
        <f t="shared" si="12"/>
        <v>49.7</v>
      </c>
      <c r="H49" s="106">
        <f t="shared" si="12"/>
        <v>143.69999999999999</v>
      </c>
      <c r="I49" s="106">
        <f t="shared" si="12"/>
        <v>177.2</v>
      </c>
      <c r="J49" s="106">
        <f t="shared" si="12"/>
        <v>240.9</v>
      </c>
      <c r="K49" s="106">
        <f t="shared" si="12"/>
        <v>118</v>
      </c>
      <c r="L49" s="106">
        <f t="shared" si="12"/>
        <v>169.4</v>
      </c>
      <c r="M49" s="106">
        <f t="shared" si="12"/>
        <v>40.700000000000003</v>
      </c>
      <c r="N49" s="113">
        <f t="shared" si="12"/>
        <v>36.700000000000003</v>
      </c>
      <c r="O49" s="41">
        <f t="shared" si="7"/>
        <v>1117.9000000000001</v>
      </c>
      <c r="P49" s="48">
        <f t="shared" si="8"/>
        <v>93.2</v>
      </c>
    </row>
    <row r="50" spans="2:17" ht="21.95" customHeight="1">
      <c r="B50" s="105">
        <f t="shared" ref="B50:N50" si="13">B32</f>
        <v>2015</v>
      </c>
      <c r="C50" s="106">
        <f t="shared" si="13"/>
        <v>31.5</v>
      </c>
      <c r="D50" s="106">
        <f t="shared" si="13"/>
        <v>27</v>
      </c>
      <c r="E50" s="106">
        <f t="shared" si="13"/>
        <v>44.7</v>
      </c>
      <c r="F50" s="106">
        <f t="shared" si="13"/>
        <v>95.2</v>
      </c>
      <c r="G50" s="106">
        <f t="shared" si="13"/>
        <v>28.9</v>
      </c>
      <c r="H50" s="106">
        <f t="shared" si="13"/>
        <v>119.8</v>
      </c>
      <c r="I50" s="106">
        <f t="shared" si="13"/>
        <v>145.6</v>
      </c>
      <c r="J50" s="106">
        <f t="shared" si="13"/>
        <v>51.6</v>
      </c>
      <c r="K50" s="106">
        <f t="shared" si="13"/>
        <v>18.5</v>
      </c>
      <c r="L50" s="106">
        <f t="shared" si="13"/>
        <v>94.1</v>
      </c>
      <c r="M50" s="106">
        <f t="shared" si="13"/>
        <v>126</v>
      </c>
      <c r="N50" s="113">
        <f t="shared" si="13"/>
        <v>39.700000000000003</v>
      </c>
      <c r="O50" s="41">
        <f t="shared" si="7"/>
        <v>822.6</v>
      </c>
      <c r="P50" s="48">
        <f t="shared" si="8"/>
        <v>68.599999999999994</v>
      </c>
    </row>
    <row r="51" spans="2:17" ht="21.95" customHeight="1">
      <c r="B51" s="105">
        <f t="shared" ref="B51:N51" si="14">B33</f>
        <v>2016</v>
      </c>
      <c r="C51" s="106">
        <f t="shared" si="14"/>
        <v>11.6</v>
      </c>
      <c r="D51" s="106">
        <f t="shared" si="14"/>
        <v>45.8</v>
      </c>
      <c r="E51" s="106">
        <f t="shared" si="14"/>
        <v>40.299999999999997</v>
      </c>
      <c r="F51" s="106">
        <f t="shared" si="14"/>
        <v>154.9</v>
      </c>
      <c r="G51" s="106">
        <f t="shared" si="14"/>
        <v>85.1</v>
      </c>
      <c r="H51" s="106">
        <f t="shared" si="14"/>
        <v>62.5</v>
      </c>
      <c r="I51" s="106">
        <f t="shared" si="14"/>
        <v>367.9</v>
      </c>
      <c r="J51" s="106">
        <f t="shared" si="14"/>
        <v>57.4</v>
      </c>
      <c r="K51" s="106">
        <f t="shared" si="14"/>
        <v>196</v>
      </c>
      <c r="L51" s="106">
        <f t="shared" si="14"/>
        <v>122.6</v>
      </c>
      <c r="M51" s="106">
        <f t="shared" si="14"/>
        <v>29.5</v>
      </c>
      <c r="N51" s="113">
        <f t="shared" si="14"/>
        <v>54.8</v>
      </c>
      <c r="O51" s="41">
        <f t="shared" si="7"/>
        <v>1228.4000000000001</v>
      </c>
      <c r="P51" s="48">
        <f t="shared" si="8"/>
        <v>102.4</v>
      </c>
    </row>
    <row r="52" spans="2:17" ht="21.95" customHeight="1">
      <c r="B52" s="105">
        <f t="shared" ref="B52:N52" si="15">B34</f>
        <v>2017</v>
      </c>
      <c r="C52" s="106">
        <f t="shared" si="15"/>
        <v>15</v>
      </c>
      <c r="D52" s="106">
        <f t="shared" si="15"/>
        <v>42</v>
      </c>
      <c r="E52" s="106">
        <f t="shared" si="15"/>
        <v>11.6</v>
      </c>
      <c r="F52" s="106">
        <f t="shared" si="15"/>
        <v>77.7</v>
      </c>
      <c r="G52" s="106">
        <f t="shared" si="15"/>
        <v>29.3</v>
      </c>
      <c r="H52" s="106">
        <f t="shared" si="15"/>
        <v>35.299999999999997</v>
      </c>
      <c r="I52" s="106">
        <f t="shared" si="15"/>
        <v>434.5</v>
      </c>
      <c r="J52" s="106">
        <f t="shared" si="15"/>
        <v>293.8</v>
      </c>
      <c r="K52" s="106">
        <f t="shared" si="15"/>
        <v>111.4</v>
      </c>
      <c r="L52" s="106">
        <f t="shared" si="15"/>
        <v>28.3</v>
      </c>
      <c r="M52" s="106">
        <f t="shared" si="15"/>
        <v>15.1</v>
      </c>
      <c r="N52" s="113">
        <f t="shared" si="15"/>
        <v>33.5</v>
      </c>
      <c r="O52" s="41">
        <f t="shared" si="7"/>
        <v>1127.5</v>
      </c>
      <c r="P52" s="48">
        <f t="shared" si="8"/>
        <v>94</v>
      </c>
    </row>
    <row r="53" spans="2:17" ht="21.95" customHeight="1" thickBot="1">
      <c r="B53" s="110">
        <f t="shared" ref="B53:N53" si="16">B35</f>
        <v>2018</v>
      </c>
      <c r="C53" s="111">
        <f t="shared" si="16"/>
        <v>23.9</v>
      </c>
      <c r="D53" s="111">
        <f t="shared" si="16"/>
        <v>40.5</v>
      </c>
      <c r="E53" s="111">
        <f t="shared" si="16"/>
        <v>108.4</v>
      </c>
      <c r="F53" s="111">
        <f t="shared" si="16"/>
        <v>155.30000000000001</v>
      </c>
      <c r="G53" s="111">
        <f t="shared" si="16"/>
        <v>95.9</v>
      </c>
      <c r="H53" s="111">
        <f t="shared" si="16"/>
        <v>115.8</v>
      </c>
      <c r="I53" s="111">
        <f t="shared" si="16"/>
        <v>226.9</v>
      </c>
      <c r="J53" s="111">
        <f t="shared" si="16"/>
        <v>408.6</v>
      </c>
      <c r="K53" s="111">
        <f t="shared" si="16"/>
        <v>149.4</v>
      </c>
      <c r="L53" s="111">
        <f t="shared" si="16"/>
        <v>133.9</v>
      </c>
      <c r="M53" s="111">
        <f t="shared" si="16"/>
        <v>49.8</v>
      </c>
      <c r="N53" s="114">
        <f t="shared" si="16"/>
        <v>33.700000000000003</v>
      </c>
      <c r="O53" s="81">
        <f t="shared" si="7"/>
        <v>1542.1</v>
      </c>
      <c r="P53" s="58">
        <f t="shared" si="8"/>
        <v>128.5</v>
      </c>
    </row>
    <row r="54" spans="2:17" ht="21.95" customHeight="1">
      <c r="B54" s="107" t="s">
        <v>33</v>
      </c>
      <c r="C54" s="108">
        <f>MAX(C44:C53)</f>
        <v>46.4</v>
      </c>
      <c r="D54" s="108">
        <f t="shared" ref="D54:P54" si="17">MAX(D44:D53)</f>
        <v>81.5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250.5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34.5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17.899999999999999</v>
      </c>
      <c r="M55" s="39">
        <f t="shared" si="18"/>
        <v>15.1</v>
      </c>
      <c r="N55" s="48">
        <f t="shared" si="18"/>
        <v>11.5</v>
      </c>
      <c r="O55" s="41">
        <f>MIN(O44:O53)</f>
        <v>822.6</v>
      </c>
      <c r="P55" s="48">
        <f t="shared" si="1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19">ROUND(AVERAGE(D44:D53),1)</f>
        <v>37.4</v>
      </c>
      <c r="E56" s="75">
        <f t="shared" si="19"/>
        <v>55.9</v>
      </c>
      <c r="F56" s="75">
        <f t="shared" si="19"/>
        <v>89</v>
      </c>
      <c r="G56" s="75">
        <f t="shared" si="19"/>
        <v>82.7</v>
      </c>
      <c r="H56" s="75">
        <f t="shared" si="19"/>
        <v>124.2</v>
      </c>
      <c r="I56" s="75">
        <f t="shared" si="19"/>
        <v>308.8</v>
      </c>
      <c r="J56" s="75">
        <f t="shared" si="19"/>
        <v>258.8</v>
      </c>
      <c r="K56" s="75">
        <f t="shared" si="19"/>
        <v>137</v>
      </c>
      <c r="L56" s="75">
        <f t="shared" si="19"/>
        <v>72.900000000000006</v>
      </c>
      <c r="M56" s="75">
        <f t="shared" si="19"/>
        <v>55.7</v>
      </c>
      <c r="N56" s="58">
        <f t="shared" si="1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:O35 O44:O53" formulaRange="1"/>
  </ignoredErrors>
  <drawing r:id="rId1"/>
  <legacyDrawing r:id="rId2"/>
  <controls>
    <mc:AlternateContent xmlns:mc="http://schemas.openxmlformats.org/markup-compatibility/2006">
      <mc:Choice Requires="x14">
        <control shapeId="59404" r:id="rId3" name="OptionButton7">
          <controlPr defaultSize="0" autoLine="0" r:id="rId4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3" name="OptionButton7"/>
      </mc:Fallback>
    </mc:AlternateContent>
    <mc:AlternateContent xmlns:mc="http://schemas.openxmlformats.org/markup-compatibility/2006">
      <mc:Choice Requires="x14">
        <control shapeId="59403" r:id="rId5" name="OptionButton6">
          <controlPr defaultSize="0" autoLine="0" r:id="rId6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5" name="OptionButton6"/>
      </mc:Fallback>
    </mc:AlternateContent>
    <mc:AlternateContent xmlns:mc="http://schemas.openxmlformats.org/markup-compatibility/2006">
      <mc:Choice Requires="x14">
        <control shapeId="59402" r:id="rId7" name="OptionButton5">
          <controlPr defaultSize="0" autoLine="0" r:id="rId8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7" name="OptionButton5"/>
      </mc:Fallback>
    </mc:AlternateContent>
    <mc:AlternateContent xmlns:mc="http://schemas.openxmlformats.org/markup-compatibility/2006">
      <mc:Choice Requires="x14">
        <control shapeId="59401" r:id="rId9" name="OptionButton4">
          <controlPr defaultSize="0" autoLine="0" r:id="rId10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9" name="OptionButton4"/>
      </mc:Fallback>
    </mc:AlternateContent>
    <mc:AlternateContent xmlns:mc="http://schemas.openxmlformats.org/markup-compatibility/2006">
      <mc:Choice Requires="x14">
        <control shapeId="59400" r:id="rId11" name="CommandButton2">
          <controlPr defaultSize="0" autoLine="0" r:id="rId12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59400" r:id="rId11" name="CommandButton2"/>
      </mc:Fallback>
    </mc:AlternateContent>
    <mc:AlternateContent xmlns:mc="http://schemas.openxmlformats.org/markup-compatibility/2006">
      <mc:Choice Requires="x14">
        <control shapeId="59398" r:id="rId13" name="CommandButton1">
          <controlPr defaultSize="0" autoLine="0" r:id="rId14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59398" r:id="rId13" name="CommandButton1"/>
      </mc:Fallback>
    </mc:AlternateContent>
    <mc:AlternateContent xmlns:mc="http://schemas.openxmlformats.org/markup-compatibility/2006">
      <mc:Choice Requires="x14">
        <control shapeId="59394" r:id="rId15" name="OptionButton1">
          <controlPr defaultSize="0" autoLine="0" r:id="rId16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5" name="OptionButton1"/>
      </mc:Fallback>
    </mc:AlternateContent>
    <mc:AlternateContent xmlns:mc="http://schemas.openxmlformats.org/markup-compatibility/2006">
      <mc:Choice Requires="x14">
        <control shapeId="59395" r:id="rId17" name="OptionButton2">
          <controlPr defaultSize="0" autoLine="0" r:id="rId18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7" name="OptionButton2"/>
      </mc:Fallback>
    </mc:AlternateContent>
    <mc:AlternateContent xmlns:mc="http://schemas.openxmlformats.org/markup-compatibility/2006">
      <mc:Choice Requires="x14">
        <control shapeId="59396" r:id="rId19" name="OptionButton3">
          <controlPr defaultSize="0" autoLine="0" r:id="rId20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19" name="Option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72</v>
      </c>
      <c r="D2" t="s">
        <v>73</v>
      </c>
      <c r="E2" t="s">
        <v>74</v>
      </c>
    </row>
    <row r="3" spans="3:14" ht="18" customHeight="1">
      <c r="C3" t="s">
        <v>75</v>
      </c>
    </row>
    <row r="4" spans="3:14" ht="18" customHeight="1">
      <c r="C4" t="s">
        <v>76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30Year</vt:lpstr>
      <vt:lpstr>30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2019-12-06T07:59:34Z</dcterms:modified>
</cp:coreProperties>
</file>