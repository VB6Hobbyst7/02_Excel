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남훈이형\04. ihanseol - 2019\17_한밭수목원 - 동해엔지니어링\01_Base Data\"/>
    </mc:Choice>
  </mc:AlternateContent>
  <xr:revisionPtr revIDLastSave="0" documentId="13_ncr:1_{C0A9AAD1-DEED-4ADD-84C2-898220D9AF9C}" xr6:coauthVersionLast="45" xr6:coauthVersionMax="45" xr10:uidLastSave="{00000000-0000-0000-0000-000000000000}"/>
  <bookViews>
    <workbookView xWindow="-120" yWindow="-120" windowWidth="29040" windowHeight="15840" tabRatio="666" firstSheet="1" activeTab="17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70" i="23" l="1"/>
  <c r="N68" i="23"/>
  <c r="N67" i="23"/>
  <c r="N64" i="23"/>
  <c r="M70" i="23"/>
  <c r="M68" i="23"/>
  <c r="M67" i="23"/>
  <c r="M64" i="23"/>
  <c r="L70" i="23"/>
  <c r="L68" i="23"/>
  <c r="L67" i="23"/>
  <c r="L64" i="23"/>
  <c r="K70" i="23"/>
  <c r="K68" i="23"/>
  <c r="K67" i="23"/>
  <c r="K64" i="23"/>
  <c r="J70" i="23"/>
  <c r="J68" i="23"/>
  <c r="J67" i="23"/>
  <c r="J64" i="23"/>
  <c r="I70" i="23"/>
  <c r="I68" i="23"/>
  <c r="I67" i="23"/>
  <c r="I64" i="23"/>
  <c r="H70" i="23"/>
  <c r="H68" i="23"/>
  <c r="H67" i="23"/>
  <c r="H64" i="23"/>
  <c r="G70" i="23"/>
  <c r="G68" i="23"/>
  <c r="G67" i="23"/>
  <c r="G64" i="23"/>
  <c r="F70" i="23"/>
  <c r="F68" i="23"/>
  <c r="F67" i="23"/>
  <c r="F64" i="23"/>
  <c r="E70" i="23"/>
  <c r="E68" i="23"/>
  <c r="E67" i="23"/>
  <c r="E64" i="23"/>
  <c r="D70" i="23"/>
  <c r="D68" i="23"/>
  <c r="D67" i="23"/>
  <c r="D64" i="23"/>
  <c r="C70" i="23"/>
  <c r="C68" i="23"/>
  <c r="C67" i="23"/>
  <c r="C64" i="23"/>
  <c r="B70" i="23"/>
  <c r="B68" i="23"/>
  <c r="B67" i="23"/>
  <c r="B64" i="23"/>
  <c r="D33" i="110"/>
  <c r="J35" i="110"/>
  <c r="F33" i="111"/>
  <c r="N35" i="111"/>
  <c r="F32" i="110"/>
  <c r="N34" i="111"/>
  <c r="J38" i="111"/>
  <c r="J36" i="111"/>
  <c r="F37" i="110"/>
  <c r="F39" i="110"/>
  <c r="F31" i="110"/>
  <c r="J34" i="110"/>
  <c r="F33" i="110"/>
  <c r="F34" i="111"/>
  <c r="F34" i="110"/>
  <c r="N38" i="111"/>
  <c r="F38" i="110"/>
  <c r="N39" i="111"/>
  <c r="J35" i="111"/>
  <c r="J31" i="110"/>
  <c r="F37" i="111"/>
  <c r="J37" i="111"/>
  <c r="J34" i="111"/>
  <c r="J36" i="110"/>
  <c r="J40" i="110"/>
  <c r="F35" i="111"/>
  <c r="F40" i="111"/>
  <c r="F36" i="111"/>
  <c r="J31" i="111"/>
  <c r="N32" i="111"/>
  <c r="F31" i="111"/>
  <c r="J33" i="111"/>
  <c r="J39" i="111"/>
  <c r="D31" i="110"/>
  <c r="N36" i="111"/>
  <c r="F40" i="110"/>
  <c r="J40" i="111"/>
  <c r="J32" i="110"/>
  <c r="J37" i="110"/>
  <c r="F35" i="110"/>
  <c r="N40" i="111"/>
  <c r="J39" i="110"/>
  <c r="N37" i="111"/>
  <c r="J33" i="110"/>
  <c r="F39" i="111"/>
  <c r="N33" i="111"/>
  <c r="N31" i="111"/>
  <c r="F32" i="111"/>
  <c r="F36" i="110"/>
  <c r="J32" i="111"/>
  <c r="F38" i="111"/>
  <c r="J38" i="110"/>
  <c r="K6" i="114" l="1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D32" i="111"/>
  <c r="L35" i="111"/>
  <c r="I34" i="111"/>
  <c r="H33" i="111"/>
  <c r="H40" i="111"/>
  <c r="H37" i="110"/>
  <c r="H34" i="110"/>
  <c r="D40" i="111"/>
  <c r="I39" i="111"/>
  <c r="H32" i="110"/>
  <c r="L32" i="111"/>
  <c r="H37" i="111"/>
  <c r="H36" i="110"/>
  <c r="D31" i="111"/>
  <c r="E36" i="111"/>
  <c r="M38" i="111"/>
  <c r="L38" i="111"/>
  <c r="D38" i="111"/>
  <c r="D38" i="110"/>
  <c r="D36" i="111"/>
  <c r="H32" i="111"/>
  <c r="H40" i="110"/>
  <c r="L37" i="111"/>
  <c r="D35" i="111"/>
  <c r="D35" i="110"/>
  <c r="L40" i="111"/>
  <c r="E39" i="111"/>
  <c r="H33" i="110"/>
  <c r="L36" i="111"/>
  <c r="M36" i="111"/>
  <c r="D37" i="110"/>
  <c r="I35" i="111"/>
  <c r="H38" i="110"/>
  <c r="H35" i="110"/>
  <c r="E40" i="111"/>
  <c r="I31" i="111"/>
  <c r="H39" i="110"/>
  <c r="E34" i="111"/>
  <c r="E33" i="111"/>
  <c r="I33" i="111"/>
  <c r="D40" i="110"/>
  <c r="H31" i="110"/>
  <c r="H34" i="111"/>
  <c r="M33" i="111"/>
  <c r="D39" i="110"/>
  <c r="M40" i="111"/>
  <c r="L39" i="111"/>
  <c r="D36" i="110"/>
  <c r="I40" i="111"/>
  <c r="D37" i="111"/>
  <c r="I32" i="111"/>
  <c r="M32" i="111"/>
  <c r="H38" i="111"/>
  <c r="E32" i="111"/>
  <c r="H39" i="111"/>
  <c r="E31" i="111"/>
  <c r="H31" i="111"/>
  <c r="D32" i="110"/>
  <c r="E35" i="111"/>
  <c r="H36" i="111"/>
  <c r="M31" i="111"/>
  <c r="L31" i="111"/>
  <c r="M35" i="111"/>
  <c r="L33" i="111"/>
  <c r="M37" i="111"/>
  <c r="D34" i="111"/>
  <c r="M34" i="111"/>
  <c r="D34" i="110"/>
  <c r="H35" i="111"/>
  <c r="I38" i="111"/>
  <c r="I37" i="111"/>
  <c r="E38" i="111"/>
  <c r="M39" i="111"/>
  <c r="E37" i="111"/>
  <c r="I36" i="111"/>
  <c r="D33" i="111"/>
  <c r="L34" i="111"/>
  <c r="D39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O37" i="119" s="1"/>
  <c r="I32" i="110"/>
  <c r="E38" i="110"/>
  <c r="E37" i="110"/>
  <c r="I33" i="110"/>
  <c r="I37" i="110"/>
  <c r="E36" i="110"/>
  <c r="I31" i="110"/>
  <c r="E31" i="110"/>
  <c r="E40" i="110"/>
  <c r="I38" i="110"/>
  <c r="I36" i="110"/>
  <c r="I39" i="110"/>
  <c r="I35" i="110"/>
  <c r="I34" i="110"/>
  <c r="I40" i="110"/>
  <c r="E34" i="110"/>
  <c r="E35" i="110"/>
  <c r="E33" i="110"/>
  <c r="E39" i="110"/>
  <c r="E32" i="110"/>
  <c r="H15" i="110" l="1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L54" i="23" s="1"/>
  <c r="K53" i="23"/>
  <c r="K54" i="23" s="1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J54" i="23" s="1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D25" i="118" l="1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I26" i="113" s="1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F26" i="111" l="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I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L18" i="23" l="1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<sst xmlns="http://schemas.openxmlformats.org/spreadsheetml/2006/main" count="1474" uniqueCount="310">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</sst>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#,##0_);[Red]\(#,##0\)"/>
    <numFmt numFmtId="200" formatCode="#,##0.00_);[Red]\(#,##0.00\)"/>
    <numFmt numFmtId="201" formatCode="mm&quot;월&quot;\ dd&quot;일&quot;"/>
    <numFmt numFmtId="202" formatCode="#,##0.00000_);[Red]\(#,##0.00000\)"/>
    <numFmt numFmtId="203" formatCode="#,##0.000000_);[Red]\(#,##0.000000\)"/>
    <numFmt numFmtId="204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4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0" fontId="23" fillId="0" borderId="4" xfId="18" applyNumberFormat="1" applyFont="1" applyBorder="1">
      <alignment vertical="center"/>
    </xf>
    <xf numFmtId="190" fontId="23" fillId="0" borderId="4" xfId="0" applyNumberFormat="1" applyFont="1" applyBorder="1" applyAlignment="1">
      <alignment vertical="center"/>
    </xf>
    <xf numFmtId="190" fontId="23" fillId="0" borderId="7" xfId="0" applyNumberFormat="1" applyFont="1" applyBorder="1" applyAlignment="1">
      <alignment vertical="center"/>
    </xf>
    <xf numFmtId="190" fontId="23" fillId="0" borderId="30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4" xfId="0" applyNumberFormat="1" applyFont="1" applyBorder="1" applyAlignment="1">
      <alignment vertical="center"/>
    </xf>
    <xf numFmtId="190" fontId="23" fillId="0" borderId="32" xfId="0" applyNumberFormat="1" applyFont="1" applyBorder="1" applyAlignment="1">
      <alignment vertical="center"/>
    </xf>
    <xf numFmtId="190" fontId="23" fillId="0" borderId="31" xfId="18" applyNumberFormat="1" applyFont="1" applyBorder="1">
      <alignment vertical="center"/>
    </xf>
    <xf numFmtId="190" fontId="23" fillId="0" borderId="33" xfId="18" applyNumberFormat="1" applyFont="1" applyBorder="1">
      <alignment vertical="center"/>
    </xf>
    <xf numFmtId="190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0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0" fontId="23" fillId="0" borderId="14" xfId="18" applyNumberFormat="1" applyFont="1" applyBorder="1">
      <alignment vertical="center"/>
    </xf>
    <xf numFmtId="190" fontId="23" fillId="0" borderId="7" xfId="18" applyNumberFormat="1" applyFont="1" applyBorder="1">
      <alignment vertical="center"/>
    </xf>
    <xf numFmtId="190" fontId="23" fillId="0" borderId="17" xfId="18" applyNumberFormat="1" applyFont="1" applyBorder="1">
      <alignment vertical="center"/>
    </xf>
    <xf numFmtId="190" fontId="23" fillId="0" borderId="32" xfId="18" applyNumberFormat="1" applyFont="1" applyBorder="1">
      <alignment vertical="center"/>
    </xf>
    <xf numFmtId="190" fontId="23" fillId="0" borderId="29" xfId="18" applyNumberFormat="1" applyFont="1" applyBorder="1" applyAlignment="1">
      <alignment horizontal="center" vertical="center"/>
    </xf>
    <xf numFmtId="190" fontId="23" fillId="0" borderId="28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190" fontId="23" fillId="0" borderId="35" xfId="18" applyNumberFormat="1" applyFont="1" applyBorder="1">
      <alignment vertical="center"/>
    </xf>
    <xf numFmtId="190" fontId="23" fillId="0" borderId="26" xfId="18" applyNumberFormat="1" applyFont="1" applyBorder="1" applyAlignment="1">
      <alignment horizontal="center" vertical="center"/>
    </xf>
    <xf numFmtId="190" fontId="23" fillId="0" borderId="36" xfId="18" applyNumberFormat="1" applyFont="1" applyBorder="1" applyAlignment="1">
      <alignment horizontal="center" vertical="center"/>
    </xf>
    <xf numFmtId="190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4" fontId="11" fillId="0" borderId="40" xfId="17" applyNumberFormat="1" applyBorder="1">
      <alignment vertical="center"/>
    </xf>
    <xf numFmtId="184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7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5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89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6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0" fontId="23" fillId="0" borderId="5" xfId="18" applyNumberFormat="1" applyFont="1" applyBorder="1">
      <alignment vertical="center"/>
    </xf>
    <xf numFmtId="190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0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72" xfId="0" applyNumberFormat="1" applyFont="1" applyFill="1" applyBorder="1" applyAlignment="1">
      <alignment horizontal="center" vertical="center"/>
    </xf>
    <xf numFmtId="20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0" fontId="23" fillId="0" borderId="86" xfId="18" applyNumberFormat="1" applyFont="1" applyBorder="1">
      <alignment vertical="center"/>
    </xf>
    <xf numFmtId="190" fontId="23" fillId="0" borderId="84" xfId="18" applyNumberFormat="1" applyFont="1" applyBorder="1">
      <alignment vertical="center"/>
    </xf>
    <xf numFmtId="190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0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72" xfId="17" applyNumberFormat="1" applyFont="1" applyFill="1" applyBorder="1">
      <alignment vertical="center"/>
    </xf>
    <xf numFmtId="201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2" fontId="55" fillId="4" borderId="72" xfId="0" applyNumberFormat="1" applyFont="1" applyFill="1" applyBorder="1" applyAlignment="1">
      <alignment horizontal="center" vertical="center"/>
    </xf>
    <xf numFmtId="192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4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2" fontId="27" fillId="0" borderId="0" xfId="19" applyNumberFormat="1" applyFont="1">
      <alignment vertical="center"/>
    </xf>
    <xf numFmtId="203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89" fontId="27" fillId="0" borderId="0" xfId="19" applyNumberFormat="1" applyFont="1">
      <alignment vertical="center"/>
    </xf>
    <xf numFmtId="204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0" fontId="23" fillId="0" borderId="117" xfId="18" applyNumberFormat="1" applyFont="1" applyBorder="1">
      <alignment vertical="center"/>
    </xf>
    <xf numFmtId="190" fontId="23" fillId="0" borderId="118" xfId="18" applyNumberFormat="1" applyFont="1" applyBorder="1">
      <alignment vertical="center"/>
    </xf>
    <xf numFmtId="190" fontId="23" fillId="0" borderId="116" xfId="0" applyNumberFormat="1" applyFont="1" applyBorder="1" applyAlignment="1">
      <alignment vertical="center"/>
    </xf>
    <xf numFmtId="190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0" fontId="23" fillId="0" borderId="44" xfId="18" applyNumberFormat="1" applyFont="1" applyBorder="1">
      <alignment vertical="center"/>
    </xf>
    <xf numFmtId="190" fontId="23" fillId="0" borderId="120" xfId="18" applyNumberFormat="1" applyFont="1" applyBorder="1">
      <alignment vertical="center"/>
    </xf>
    <xf numFmtId="190" fontId="23" fillId="0" borderId="119" xfId="0" applyNumberFormat="1" applyFont="1" applyBorder="1" applyAlignment="1">
      <alignment vertical="center"/>
    </xf>
    <xf numFmtId="190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0" fontId="23" fillId="0" borderId="92" xfId="18" applyNumberFormat="1" applyFont="1" applyBorder="1">
      <alignment vertical="center"/>
    </xf>
    <xf numFmtId="190" fontId="23" fillId="0" borderId="122" xfId="18" applyNumberFormat="1" applyFont="1" applyBorder="1">
      <alignment vertical="center"/>
    </xf>
    <xf numFmtId="190" fontId="23" fillId="0" borderId="121" xfId="0" applyNumberFormat="1" applyFont="1" applyBorder="1" applyAlignment="1">
      <alignment vertical="center"/>
    </xf>
    <xf numFmtId="190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0" fontId="23" fillId="0" borderId="124" xfId="0" applyNumberFormat="1" applyFont="1" applyBorder="1" applyAlignment="1">
      <alignment vertical="center"/>
    </xf>
    <xf numFmtId="190" fontId="23" fillId="0" borderId="125" xfId="0" applyNumberFormat="1" applyFont="1" applyBorder="1" applyAlignment="1">
      <alignment vertical="center"/>
    </xf>
    <xf numFmtId="190" fontId="23" fillId="0" borderId="123" xfId="18" applyNumberFormat="1" applyFont="1" applyBorder="1">
      <alignment vertical="center"/>
    </xf>
    <xf numFmtId="190" fontId="23" fillId="0" borderId="125" xfId="18" applyNumberFormat="1" applyFont="1" applyBorder="1">
      <alignment vertical="center"/>
    </xf>
    <xf numFmtId="190" fontId="23" fillId="0" borderId="44" xfId="0" applyNumberFormat="1" applyFont="1" applyBorder="1" applyAlignment="1">
      <alignment vertical="center"/>
    </xf>
    <xf numFmtId="190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0" fontId="23" fillId="0" borderId="46" xfId="0" applyNumberFormat="1" applyFont="1" applyBorder="1" applyAlignment="1">
      <alignment vertical="center"/>
    </xf>
    <xf numFmtId="190" fontId="23" fillId="0" borderId="127" xfId="0" applyNumberFormat="1" applyFont="1" applyBorder="1" applyAlignment="1">
      <alignment vertical="center"/>
    </xf>
    <xf numFmtId="190" fontId="23" fillId="0" borderId="126" xfId="18" applyNumberFormat="1" applyFont="1" applyBorder="1">
      <alignment vertical="center"/>
    </xf>
    <xf numFmtId="190" fontId="23" fillId="0" borderId="127" xfId="18" applyNumberFormat="1" applyFont="1" applyBorder="1">
      <alignment vertical="center"/>
    </xf>
    <xf numFmtId="190" fontId="23" fillId="22" borderId="123" xfId="18" applyNumberFormat="1" applyFont="1" applyFill="1" applyBorder="1" applyAlignment="1">
      <alignment horizontal="center" vertical="center"/>
    </xf>
    <xf numFmtId="190" fontId="23" fillId="22" borderId="124" xfId="18" applyNumberFormat="1" applyFont="1" applyFill="1" applyBorder="1" applyAlignment="1">
      <alignment horizontal="center" vertical="center"/>
    </xf>
    <xf numFmtId="190" fontId="23" fillId="22" borderId="125" xfId="18" applyNumberFormat="1" applyFont="1" applyFill="1" applyBorder="1" applyAlignment="1">
      <alignment horizontal="center" vertical="center"/>
    </xf>
    <xf numFmtId="190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0" fontId="23" fillId="0" borderId="45" xfId="18" applyNumberFormat="1" applyFont="1" applyBorder="1">
      <alignment vertical="center"/>
    </xf>
    <xf numFmtId="190" fontId="23" fillId="0" borderId="91" xfId="18" applyNumberFormat="1" applyFont="1" applyBorder="1">
      <alignment vertical="center"/>
    </xf>
    <xf numFmtId="190" fontId="23" fillId="0" borderId="123" xfId="18" applyNumberFormat="1" applyFont="1" applyBorder="1" applyAlignment="1">
      <alignment horizontal="center" vertical="center"/>
    </xf>
    <xf numFmtId="190" fontId="23" fillId="0" borderId="124" xfId="18" applyNumberFormat="1" applyFont="1" applyBorder="1">
      <alignment vertical="center"/>
    </xf>
    <xf numFmtId="190" fontId="23" fillId="0" borderId="128" xfId="18" applyNumberFormat="1" applyFont="1" applyBorder="1">
      <alignment vertical="center"/>
    </xf>
    <xf numFmtId="190" fontId="23" fillId="0" borderId="119" xfId="18" applyNumberFormat="1" applyFont="1" applyBorder="1" applyAlignment="1">
      <alignment horizontal="center" vertical="center"/>
    </xf>
    <xf numFmtId="190" fontId="23" fillId="0" borderId="126" xfId="18" applyNumberFormat="1" applyFont="1" applyBorder="1" applyAlignment="1">
      <alignment horizontal="center" vertical="center"/>
    </xf>
    <xf numFmtId="190" fontId="23" fillId="0" borderId="46" xfId="18" applyNumberFormat="1" applyFont="1" applyBorder="1">
      <alignment vertical="center"/>
    </xf>
    <xf numFmtId="190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5" fontId="35" fillId="0" borderId="140" xfId="26" applyNumberFormat="1" applyFont="1" applyBorder="1" applyAlignment="1">
      <alignment horizontal="center" vertical="center"/>
    </xf>
    <xf numFmtId="185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41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41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41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41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201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201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41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201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41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2" fontId="23" fillId="0" borderId="119" xfId="0" applyNumberFormat="1" applyFont="1" applyBorder="1" applyAlignment="1">
      <alignment horizontal="center" vertical="center"/>
    </xf>
    <xf numFmtId="184" fontId="23" fillId="0" borderId="44" xfId="0" applyNumberFormat="1" applyFont="1" applyBorder="1" applyAlignment="1">
      <alignment horizontal="center" vertical="center"/>
    </xf>
    <xf numFmtId="193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2" fontId="23" fillId="0" borderId="121" xfId="0" applyNumberFormat="1" applyFont="1" applyBorder="1" applyAlignment="1">
      <alignment horizontal="center" vertical="center"/>
    </xf>
    <xf numFmtId="184" fontId="23" fillId="0" borderId="92" xfId="0" applyNumberFormat="1" applyFont="1" applyBorder="1" applyAlignment="1">
      <alignment horizontal="center" vertical="center"/>
    </xf>
    <xf numFmtId="193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2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4" fontId="23" fillId="0" borderId="144" xfId="0" applyNumberFormat="1" applyFont="1" applyBorder="1" applyAlignment="1">
      <alignment horizontal="center" vertical="center"/>
    </xf>
    <xf numFmtId="193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6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89" fontId="23" fillId="0" borderId="119" xfId="0" applyNumberFormat="1" applyFont="1" applyBorder="1" applyAlignment="1">
      <alignment horizontal="center" vertical="center"/>
    </xf>
    <xf numFmtId="189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89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8" fontId="23" fillId="0" borderId="119" xfId="0" applyNumberFormat="1" applyFont="1" applyBorder="1" applyAlignment="1">
      <alignment horizontal="center" vertical="center"/>
    </xf>
    <xf numFmtId="199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89" fontId="23" fillId="0" borderId="45" xfId="0" applyNumberFormat="1" applyFont="1" applyBorder="1" applyAlignment="1">
      <alignment horizontal="center" vertical="center"/>
    </xf>
    <xf numFmtId="198" fontId="23" fillId="0" borderId="143" xfId="0" applyNumberFormat="1" applyFont="1" applyBorder="1" applyAlignment="1">
      <alignment horizontal="center" vertical="center"/>
    </xf>
    <xf numFmtId="199" fontId="23" fillId="0" borderId="144" xfId="0" applyNumberFormat="1" applyFont="1" applyBorder="1" applyAlignment="1">
      <alignment horizontal="center" vertical="center"/>
    </xf>
    <xf numFmtId="186" fontId="23" fillId="0" borderId="47" xfId="0" applyNumberFormat="1" applyFont="1" applyBorder="1" applyAlignment="1">
      <alignment horizontal="center" vertical="center"/>
    </xf>
    <xf numFmtId="186" fontId="23" fillId="0" borderId="146" xfId="0" applyNumberFormat="1" applyFont="1" applyBorder="1" applyAlignment="1">
      <alignment horizontal="center" vertical="center"/>
    </xf>
    <xf numFmtId="184" fontId="23" fillId="0" borderId="147" xfId="0" applyNumberFormat="1" applyFont="1" applyBorder="1" applyAlignment="1">
      <alignment horizontal="center" vertical="center"/>
    </xf>
    <xf numFmtId="193" fontId="23" fillId="0" borderId="148" xfId="0" applyNumberFormat="1" applyFont="1" applyBorder="1" applyAlignment="1">
      <alignment horizontal="center" vertical="center"/>
    </xf>
    <xf numFmtId="186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41" fontId="45" fillId="0" borderId="124" xfId="21" applyFont="1" applyBorder="1" applyAlignment="1">
      <alignment horizontal="center" vertical="center" wrapText="1"/>
    </xf>
    <xf numFmtId="41" fontId="45" fillId="0" borderId="46" xfId="21" applyFont="1" applyBorder="1" applyAlignment="1">
      <alignment horizontal="center" vertical="center" wrapText="1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257175</xdr:rowOff>
        </xdr:from>
        <xdr:to>
          <xdr:col>9</xdr:col>
          <xdr:colOff>1152525</xdr:colOff>
          <xdr:row>8</xdr:row>
          <xdr:rowOff>28575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8</xdr:row>
          <xdr:rowOff>133350</xdr:rowOff>
        </xdr:from>
        <xdr:to>
          <xdr:col>9</xdr:col>
          <xdr:colOff>1152525</xdr:colOff>
          <xdr:row>9</xdr:row>
          <xdr:rowOff>228600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47625</xdr:rowOff>
        </xdr:from>
        <xdr:to>
          <xdr:col>8</xdr:col>
          <xdr:colOff>1628775</xdr:colOff>
          <xdr:row>11</xdr:row>
          <xdr:rowOff>142875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10" Type="http://schemas.openxmlformats.org/officeDocument/2006/relationships/comments" Target="../comments2.xml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5" t="s">
        <v>209</v>
      </c>
      <c r="C2" s="515"/>
      <c r="D2" s="515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16" t="s">
        <v>62</v>
      </c>
      <c r="B42" s="517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18" t="s">
        <v>282</v>
      </c>
      <c r="B58" s="519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2">
        <f t="shared" ref="B68:N68" si="6">ROUNDUP(B67,0)</f>
        <v>3</v>
      </c>
      <c r="C68" s="513">
        <f t="shared" si="6"/>
        <v>3</v>
      </c>
      <c r="D68" s="513">
        <f t="shared" si="6"/>
        <v>3</v>
      </c>
      <c r="E68" s="513">
        <f t="shared" si="6"/>
        <v>3</v>
      </c>
      <c r="F68" s="513">
        <f t="shared" si="6"/>
        <v>2</v>
      </c>
      <c r="G68" s="513">
        <f t="shared" si="6"/>
        <v>5</v>
      </c>
      <c r="H68" s="513">
        <f t="shared" si="6"/>
        <v>3</v>
      </c>
      <c r="I68" s="513">
        <f t="shared" si="6"/>
        <v>2</v>
      </c>
      <c r="J68" s="513">
        <f t="shared" si="6"/>
        <v>2</v>
      </c>
      <c r="K68" s="513">
        <f t="shared" si="6"/>
        <v>2</v>
      </c>
      <c r="L68" s="513">
        <f t="shared" si="6"/>
        <v>2</v>
      </c>
      <c r="M68" s="513">
        <f t="shared" si="6"/>
        <v>3</v>
      </c>
      <c r="N68" s="514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8" sqref="D8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21" t="s">
        <v>0</v>
      </c>
      <c r="B2" s="523" t="s">
        <v>52</v>
      </c>
      <c r="C2" s="523" t="s">
        <v>6</v>
      </c>
      <c r="D2" s="523" t="s">
        <v>50</v>
      </c>
      <c r="E2" s="523" t="s">
        <v>151</v>
      </c>
      <c r="F2" s="523" t="s">
        <v>51</v>
      </c>
      <c r="G2" s="529" t="s">
        <v>1</v>
      </c>
      <c r="H2" s="529" t="s">
        <v>2</v>
      </c>
      <c r="I2" s="529" t="s">
        <v>124</v>
      </c>
      <c r="J2" s="525" t="s">
        <v>125</v>
      </c>
      <c r="K2" s="529" t="s">
        <v>121</v>
      </c>
      <c r="L2" s="529" t="s">
        <v>3</v>
      </c>
      <c r="M2" s="529" t="s">
        <v>4</v>
      </c>
      <c r="N2" s="529" t="s">
        <v>5</v>
      </c>
      <c r="O2" s="529" t="s">
        <v>122</v>
      </c>
      <c r="P2" s="531" t="s">
        <v>53</v>
      </c>
      <c r="Q2" s="523" t="s">
        <v>199</v>
      </c>
      <c r="R2" s="527" t="s">
        <v>110</v>
      </c>
    </row>
    <row r="3" spans="1:18" s="172" customFormat="1" ht="30" customHeight="1" thickBot="1">
      <c r="A3" s="522"/>
      <c r="B3" s="524"/>
      <c r="C3" s="524"/>
      <c r="D3" s="524"/>
      <c r="E3" s="524"/>
      <c r="F3" s="524"/>
      <c r="G3" s="530"/>
      <c r="H3" s="530"/>
      <c r="I3" s="530"/>
      <c r="J3" s="526"/>
      <c r="K3" s="530"/>
      <c r="L3" s="530"/>
      <c r="M3" s="530"/>
      <c r="N3" s="530"/>
      <c r="O3" s="530"/>
      <c r="P3" s="532"/>
      <c r="Q3" s="524"/>
      <c r="R3" s="528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20" t="s">
        <v>255</v>
      </c>
      <c r="F16" s="520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4" sqref="I14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8</xdr:col>
                <xdr:colOff>66675</xdr:colOff>
                <xdr:row>8</xdr:row>
                <xdr:rowOff>133350</xdr:rowOff>
              </from>
              <to>
                <xdr:col>9</xdr:col>
                <xdr:colOff>1152525</xdr:colOff>
                <xdr:row>9</xdr:row>
                <xdr:rowOff>228600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8</xdr:col>
                <xdr:colOff>76200</xdr:colOff>
                <xdr:row>6</xdr:row>
                <xdr:rowOff>257175</xdr:rowOff>
              </from>
              <to>
                <xdr:col>9</xdr:col>
                <xdr:colOff>1152525</xdr:colOff>
                <xdr:row>8</xdr:row>
                <xdr:rowOff>28575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autoPict="0" r:id="rId9">
            <anchor moveWithCells="1">
              <from>
                <xdr:col>8</xdr:col>
                <xdr:colOff>104775</xdr:colOff>
                <xdr:row>10</xdr:row>
                <xdr:rowOff>47625</xdr:rowOff>
              </from>
              <to>
                <xdr:col>8</xdr:col>
                <xdr:colOff>1628775</xdr:colOff>
                <xdr:row>11</xdr:row>
                <xdr:rowOff>142875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36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38" t="s">
        <v>150</v>
      </c>
      <c r="K11" s="539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36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abSelected="1"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36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36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38" t="s">
        <v>150</v>
      </c>
      <c r="K11" s="539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3" t="s">
        <v>128</v>
      </c>
      <c r="C25" s="534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5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36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36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37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D33" sqref="D33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0.54371377233480267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>
      <c r="B13" s="493" t="s">
        <v>99</v>
      </c>
      <c r="C13" s="495" t="s">
        <v>105</v>
      </c>
      <c r="D13" s="493" t="s">
        <v>106</v>
      </c>
      <c r="E13" s="494" t="s">
        <v>107</v>
      </c>
      <c r="F13" s="495" t="s">
        <v>108</v>
      </c>
      <c r="G13" s="493" t="s">
        <v>106</v>
      </c>
      <c r="H13" s="494" t="s">
        <v>107</v>
      </c>
      <c r="I13" s="495" t="s">
        <v>108</v>
      </c>
    </row>
    <row r="14" spans="2:9" s="12" customFormat="1" ht="26.1" customHeight="1">
      <c r="B14" s="476">
        <f>$C$6+C14/1440</f>
        <v>43577.378472222219</v>
      </c>
      <c r="C14" s="482">
        <v>5</v>
      </c>
      <c r="D14" s="484">
        <f t="shared" ref="D14:D23" ca="1" si="0">baseTemp+D31</f>
        <v>14.2</v>
      </c>
      <c r="E14" s="478">
        <f t="shared" ref="E14:E23" ca="1" si="1">$C$8+E31</f>
        <v>228</v>
      </c>
      <c r="F14" s="479">
        <f t="shared" ref="F14:F23" ca="1" si="2">$C$9+F31</f>
        <v>7.79</v>
      </c>
      <c r="G14" s="486">
        <f t="shared" ref="G14:G23" ca="1" si="3">baseTemp+H31</f>
        <v>14.3</v>
      </c>
      <c r="H14" s="478">
        <f ca="1">$D$8+I31</f>
        <v>228</v>
      </c>
      <c r="I14" s="479">
        <f ca="1">$D$9+J31</f>
        <v>7.8999999999999995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13.9</v>
      </c>
      <c r="E15" s="467">
        <f t="shared" ca="1" si="1"/>
        <v>227</v>
      </c>
      <c r="F15" s="468">
        <f t="shared" ca="1" si="2"/>
        <v>7.79</v>
      </c>
      <c r="G15" s="486">
        <f t="shared" ca="1" si="3"/>
        <v>13.8</v>
      </c>
      <c r="H15" s="478">
        <f t="shared" ref="H15:H23" ca="1" si="5">$D$8+I32</f>
        <v>227</v>
      </c>
      <c r="I15" s="479">
        <f t="shared" ref="I15:I22" ca="1" si="6">$D$9+J32</f>
        <v>7.91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13.7</v>
      </c>
      <c r="E16" s="467">
        <f t="shared" ca="1" si="1"/>
        <v>225</v>
      </c>
      <c r="F16" s="468">
        <f t="shared" ca="1" si="2"/>
        <v>8</v>
      </c>
      <c r="G16" s="486">
        <f t="shared" ca="1" si="3"/>
        <v>14.1</v>
      </c>
      <c r="H16" s="478">
        <f t="shared" ca="1" si="5"/>
        <v>232</v>
      </c>
      <c r="I16" s="479">
        <f t="shared" ca="1" si="6"/>
        <v>7.92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14.2</v>
      </c>
      <c r="E17" s="467">
        <f t="shared" ca="1" si="1"/>
        <v>225</v>
      </c>
      <c r="F17" s="468">
        <f t="shared" ca="1" si="2"/>
        <v>7.99</v>
      </c>
      <c r="G17" s="486">
        <f t="shared" ca="1" si="3"/>
        <v>13.7</v>
      </c>
      <c r="H17" s="478">
        <f t="shared" ca="1" si="5"/>
        <v>226</v>
      </c>
      <c r="I17" s="479">
        <f t="shared" ca="1" si="6"/>
        <v>7.89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13.9</v>
      </c>
      <c r="E18" s="467">
        <f t="shared" ca="1" si="1"/>
        <v>229</v>
      </c>
      <c r="F18" s="468">
        <f t="shared" ca="1" si="2"/>
        <v>7.9700000000000006</v>
      </c>
      <c r="G18" s="486">
        <f t="shared" ca="1" si="3"/>
        <v>13.9</v>
      </c>
      <c r="H18" s="478">
        <f t="shared" ca="1" si="5"/>
        <v>230</v>
      </c>
      <c r="I18" s="479">
        <f t="shared" ca="1" si="6"/>
        <v>7.72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13.9</v>
      </c>
      <c r="E19" s="467">
        <f t="shared" ca="1" si="1"/>
        <v>228</v>
      </c>
      <c r="F19" s="468">
        <f t="shared" ca="1" si="2"/>
        <v>7.8100000000000005</v>
      </c>
      <c r="G19" s="486">
        <f t="shared" ca="1" si="3"/>
        <v>13.8</v>
      </c>
      <c r="H19" s="478">
        <f t="shared" ca="1" si="5"/>
        <v>228</v>
      </c>
      <c r="I19" s="479">
        <f t="shared" ca="1" si="6"/>
        <v>7.8999999999999995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13.7</v>
      </c>
      <c r="E20" s="467">
        <f t="shared" ca="1" si="1"/>
        <v>225</v>
      </c>
      <c r="F20" s="468">
        <f t="shared" ca="1" si="2"/>
        <v>7.78</v>
      </c>
      <c r="G20" s="486">
        <f t="shared" ca="1" si="3"/>
        <v>13.9</v>
      </c>
      <c r="H20" s="478">
        <f t="shared" ca="1" si="5"/>
        <v>232</v>
      </c>
      <c r="I20" s="479">
        <f t="shared" ca="1" si="6"/>
        <v>7.71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14.3</v>
      </c>
      <c r="E21" s="467">
        <f t="shared" ca="1" si="1"/>
        <v>228</v>
      </c>
      <c r="F21" s="468">
        <f t="shared" ca="1" si="2"/>
        <v>7.8100000000000005</v>
      </c>
      <c r="G21" s="486">
        <f t="shared" ca="1" si="3"/>
        <v>14.3</v>
      </c>
      <c r="H21" s="478">
        <f t="shared" ca="1" si="5"/>
        <v>230</v>
      </c>
      <c r="I21" s="479">
        <f t="shared" ca="1" si="6"/>
        <v>7.92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14.2</v>
      </c>
      <c r="E22" s="467">
        <f t="shared" ca="1" si="1"/>
        <v>229</v>
      </c>
      <c r="F22" s="468">
        <f t="shared" ca="1" si="2"/>
        <v>7.8100000000000005</v>
      </c>
      <c r="G22" s="486">
        <f t="shared" ca="1" si="3"/>
        <v>13.7</v>
      </c>
      <c r="H22" s="478">
        <f t="shared" ca="1" si="5"/>
        <v>227</v>
      </c>
      <c r="I22" s="479">
        <f t="shared" ca="1" si="6"/>
        <v>7.6899999999999995</v>
      </c>
    </row>
    <row r="23" spans="2:10" s="106" customFormat="1" ht="26.1" customHeight="1">
      <c r="B23" s="471">
        <f t="shared" si="4"/>
        <v>43579.375</v>
      </c>
      <c r="C23" s="483">
        <v>2880</v>
      </c>
      <c r="D23" s="340">
        <f t="shared" ca="1" si="0"/>
        <v>13.8</v>
      </c>
      <c r="E23" s="472">
        <f t="shared" ca="1" si="1"/>
        <v>227</v>
      </c>
      <c r="F23" s="473">
        <f t="shared" ca="1" si="2"/>
        <v>7.8100000000000005</v>
      </c>
      <c r="G23" s="506">
        <f t="shared" ca="1" si="3"/>
        <v>14.3</v>
      </c>
      <c r="H23" s="507">
        <f t="shared" ca="1" si="5"/>
        <v>228</v>
      </c>
      <c r="I23" s="473">
        <f t="shared" ref="I23" ca="1" si="7">$D$9+J40-0.02</f>
        <v>7.69</v>
      </c>
    </row>
    <row r="24" spans="2:10" s="106" customFormat="1" ht="26.1" customHeight="1">
      <c r="B24" s="543" t="s">
        <v>48</v>
      </c>
      <c r="C24" s="544"/>
      <c r="D24" s="493">
        <f ca="1">MAX(D14:D23)</f>
        <v>14.3</v>
      </c>
      <c r="E24" s="494">
        <f t="shared" ref="E24:F24" ca="1" si="8">MAX(E14:E23)</f>
        <v>229</v>
      </c>
      <c r="F24" s="495">
        <f t="shared" ca="1" si="8"/>
        <v>8</v>
      </c>
      <c r="G24" s="493">
        <f ca="1">MAX(G14:G23)</f>
        <v>14.3</v>
      </c>
      <c r="H24" s="494">
        <f t="shared" ref="H24:I24" ca="1" si="9">MAX(H14:H23)</f>
        <v>232</v>
      </c>
      <c r="I24" s="495">
        <f t="shared" ca="1" si="9"/>
        <v>7.92</v>
      </c>
      <c r="J24" s="245"/>
    </row>
    <row r="25" spans="2:10" s="106" customFormat="1" ht="26.1" customHeight="1">
      <c r="B25" s="543" t="s">
        <v>49</v>
      </c>
      <c r="C25" s="544"/>
      <c r="D25" s="493">
        <f ca="1">MIN(D14:D23)</f>
        <v>13.7</v>
      </c>
      <c r="E25" s="494">
        <f t="shared" ref="E25:F25" ca="1" si="10">MIN(E14:E23)</f>
        <v>225</v>
      </c>
      <c r="F25" s="510">
        <f t="shared" ca="1" si="10"/>
        <v>7.78</v>
      </c>
      <c r="G25" s="493">
        <f ca="1">MIN(G14:G23)</f>
        <v>13.7</v>
      </c>
      <c r="H25" s="494">
        <f t="shared" ref="H25:I25" ca="1" si="11">MIN(H14:H23)</f>
        <v>226</v>
      </c>
      <c r="I25" s="495">
        <f t="shared" ca="1" si="11"/>
        <v>7.6899999999999995</v>
      </c>
      <c r="J25" s="245"/>
    </row>
    <row r="26" spans="2:10" s="106" customFormat="1" ht="26.1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2">E24-E25</f>
        <v>4</v>
      </c>
      <c r="F26" s="488">
        <f t="shared" ca="1" si="12"/>
        <v>0.21999999999999975</v>
      </c>
      <c r="G26" s="487">
        <f ca="1">G24-G25</f>
        <v>0.60000000000000142</v>
      </c>
      <c r="H26" s="489">
        <f t="shared" ref="H26:I26" ca="1" si="13">H24-H25</f>
        <v>6</v>
      </c>
      <c r="I26" s="488">
        <f t="shared" ca="1" si="13"/>
        <v>0.23000000000000043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f ca="1">ROUND(myRandBetween(1,3,10), 1)</f>
        <v>0.2</v>
      </c>
      <c r="E31" s="464">
        <f ca="1">myRandBetween(1,3,1)</f>
        <v>2</v>
      </c>
      <c r="F31" s="485">
        <f ca="1">ROUND(myRandBetween(7,12,100), 2)</f>
        <v>-0.11</v>
      </c>
      <c r="H31" s="496">
        <f ca="1">ROUND(myRandBetween(1,3,10), 1)</f>
        <v>0.3</v>
      </c>
      <c r="I31" s="477">
        <f ca="1">myRandBetween(1,3,1)</f>
        <v>-1</v>
      </c>
      <c r="J31" s="497">
        <f ca="1">ROUND(myRandBetween(7,12,100), 2)</f>
        <v>0.1</v>
      </c>
    </row>
    <row r="32" spans="2:10" s="106" customFormat="1" ht="18" customHeight="1">
      <c r="D32" s="490">
        <f t="shared" ref="D32:D40" ca="1" si="14">ROUND(myRandBetween(1,3,10), 1)</f>
        <v>-0.1</v>
      </c>
      <c r="E32" s="464">
        <f t="shared" ref="E32:E40" ca="1" si="15">myRandBetween(1,3,1)</f>
        <v>1</v>
      </c>
      <c r="F32" s="485">
        <f t="shared" ref="F32:F40" ca="1" si="16">ROUND(myRandBetween(7,12,100), 2)</f>
        <v>-0.11</v>
      </c>
      <c r="H32" s="490">
        <f t="shared" ref="H32:H40" ca="1" si="17">ROUND(myRandBetween(1,3,10), 1)</f>
        <v>-0.2</v>
      </c>
      <c r="I32" s="464">
        <f t="shared" ref="I32:I40" ca="1" si="18">myRandBetween(1,3,1)</f>
        <v>-2</v>
      </c>
      <c r="J32" s="497">
        <f t="shared" ref="J32:J40" ca="1" si="19">ROUND(myRandBetween(7,12,100), 2)</f>
        <v>0.11</v>
      </c>
    </row>
    <row r="33" spans="4:10" s="106" customFormat="1" ht="18" customHeight="1">
      <c r="D33" s="490">
        <f ca="1">ROUND(myRandBetween(1,3,10), 1)</f>
        <v>-0.3</v>
      </c>
      <c r="E33" s="464">
        <f t="shared" ca="1" si="15"/>
        <v>-1</v>
      </c>
      <c r="F33" s="485">
        <f t="shared" ca="1" si="16"/>
        <v>0.1</v>
      </c>
      <c r="H33" s="490">
        <f t="shared" ca="1" si="17"/>
        <v>0.1</v>
      </c>
      <c r="I33" s="464">
        <f t="shared" ca="1" si="18"/>
        <v>3</v>
      </c>
      <c r="J33" s="497">
        <f t="shared" ca="1" si="19"/>
        <v>0.12</v>
      </c>
    </row>
    <row r="34" spans="4:10" s="106" customFormat="1" ht="18" customHeight="1">
      <c r="D34" s="490">
        <f t="shared" ca="1" si="14"/>
        <v>0.2</v>
      </c>
      <c r="E34" s="464">
        <f t="shared" ca="1" si="15"/>
        <v>-1</v>
      </c>
      <c r="F34" s="485">
        <f t="shared" ca="1" si="16"/>
        <v>0.09</v>
      </c>
      <c r="H34" s="490">
        <f t="shared" ca="1" si="17"/>
        <v>-0.3</v>
      </c>
      <c r="I34" s="464">
        <f t="shared" ca="1" si="18"/>
        <v>-3</v>
      </c>
      <c r="J34" s="497">
        <f t="shared" ca="1" si="19"/>
        <v>0.09</v>
      </c>
    </row>
    <row r="35" spans="4:10" s="106" customFormat="1" ht="18" customHeight="1">
      <c r="D35" s="490">
        <f t="shared" ca="1" si="14"/>
        <v>-0.1</v>
      </c>
      <c r="E35" s="464">
        <f t="shared" ca="1" si="15"/>
        <v>3</v>
      </c>
      <c r="F35" s="485">
        <f t="shared" ca="1" si="16"/>
        <v>7.0000000000000007E-2</v>
      </c>
      <c r="H35" s="490">
        <f t="shared" ca="1" si="17"/>
        <v>-0.1</v>
      </c>
      <c r="I35" s="464">
        <f t="shared" ca="1" si="18"/>
        <v>1</v>
      </c>
      <c r="J35" s="497">
        <f t="shared" ca="1" si="19"/>
        <v>-0.08</v>
      </c>
    </row>
    <row r="36" spans="4:10" s="106" customFormat="1" ht="18" customHeight="1">
      <c r="D36" s="490">
        <f t="shared" ca="1" si="14"/>
        <v>-0.1</v>
      </c>
      <c r="E36" s="464">
        <f t="shared" ca="1" si="15"/>
        <v>2</v>
      </c>
      <c r="F36" s="485">
        <f t="shared" ca="1" si="16"/>
        <v>-0.09</v>
      </c>
      <c r="H36" s="490">
        <f t="shared" ca="1" si="17"/>
        <v>-0.2</v>
      </c>
      <c r="I36" s="464">
        <f t="shared" ca="1" si="18"/>
        <v>-1</v>
      </c>
      <c r="J36" s="497">
        <f t="shared" ca="1" si="19"/>
        <v>0.1</v>
      </c>
    </row>
    <row r="37" spans="4:10" s="106" customFormat="1" ht="18" customHeight="1">
      <c r="D37" s="490">
        <f t="shared" ca="1" si="14"/>
        <v>-0.3</v>
      </c>
      <c r="E37" s="464">
        <f t="shared" ca="1" si="15"/>
        <v>-1</v>
      </c>
      <c r="F37" s="485">
        <f t="shared" ca="1" si="16"/>
        <v>-0.12</v>
      </c>
      <c r="H37" s="490">
        <f t="shared" ca="1" si="17"/>
        <v>-0.1</v>
      </c>
      <c r="I37" s="464">
        <f t="shared" ca="1" si="18"/>
        <v>3</v>
      </c>
      <c r="J37" s="497">
        <f t="shared" ca="1" si="19"/>
        <v>-0.09</v>
      </c>
    </row>
    <row r="38" spans="4:10" ht="18" customHeight="1">
      <c r="D38" s="490">
        <f t="shared" ca="1" si="14"/>
        <v>0.3</v>
      </c>
      <c r="E38" s="464">
        <f t="shared" ca="1" si="15"/>
        <v>2</v>
      </c>
      <c r="F38" s="485">
        <f t="shared" ca="1" si="16"/>
        <v>-0.09</v>
      </c>
      <c r="H38" s="490">
        <f t="shared" ca="1" si="17"/>
        <v>0.3</v>
      </c>
      <c r="I38" s="464">
        <f t="shared" ca="1" si="18"/>
        <v>1</v>
      </c>
      <c r="J38" s="497">
        <f t="shared" ca="1" si="19"/>
        <v>0.12</v>
      </c>
    </row>
    <row r="39" spans="4:10" ht="18" customHeight="1">
      <c r="D39" s="490">
        <f t="shared" ca="1" si="14"/>
        <v>0.2</v>
      </c>
      <c r="E39" s="464">
        <f t="shared" ca="1" si="15"/>
        <v>3</v>
      </c>
      <c r="F39" s="485">
        <f t="shared" ca="1" si="16"/>
        <v>-0.09</v>
      </c>
      <c r="H39" s="490">
        <f t="shared" ca="1" si="17"/>
        <v>-0.3</v>
      </c>
      <c r="I39" s="464">
        <f t="shared" ca="1" si="18"/>
        <v>-2</v>
      </c>
      <c r="J39" s="497">
        <f t="shared" ca="1" si="19"/>
        <v>-0.11</v>
      </c>
    </row>
    <row r="40" spans="4:10" ht="18" customHeight="1" thickBot="1">
      <c r="D40" s="491">
        <f t="shared" ca="1" si="14"/>
        <v>-0.2</v>
      </c>
      <c r="E40" s="469">
        <f t="shared" ca="1" si="15"/>
        <v>1</v>
      </c>
      <c r="F40" s="492">
        <f t="shared" ca="1" si="16"/>
        <v>-0.09</v>
      </c>
      <c r="H40" s="491">
        <f t="shared" ca="1" si="17"/>
        <v>0.3</v>
      </c>
      <c r="I40" s="469">
        <f t="shared" ca="1" si="18"/>
        <v>-1</v>
      </c>
      <c r="J40" s="511">
        <f t="shared" ca="1" si="19"/>
        <v>-0.09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0.79311525580109188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  <c r="J12" s="547" t="s">
        <v>274</v>
      </c>
      <c r="K12" s="541"/>
      <c r="L12" s="542"/>
    </row>
    <row r="13" spans="2:12" s="12" customFormat="1" ht="27" customHeight="1">
      <c r="B13" s="493" t="s">
        <v>99</v>
      </c>
      <c r="C13" s="495" t="s">
        <v>105</v>
      </c>
      <c r="D13" s="493" t="s">
        <v>275</v>
      </c>
      <c r="E13" s="494" t="s">
        <v>276</v>
      </c>
      <c r="F13" s="495" t="s">
        <v>108</v>
      </c>
      <c r="G13" s="493" t="s">
        <v>275</v>
      </c>
      <c r="H13" s="494" t="s">
        <v>276</v>
      </c>
      <c r="I13" s="495" t="s">
        <v>108</v>
      </c>
      <c r="J13" s="501" t="s">
        <v>275</v>
      </c>
      <c r="K13" s="494" t="s">
        <v>276</v>
      </c>
      <c r="L13" s="495" t="s">
        <v>108</v>
      </c>
    </row>
    <row r="14" spans="2:12" s="12" customFormat="1" ht="27" customHeight="1">
      <c r="B14" s="476">
        <f>$C$6+C14/1440</f>
        <v>43580.378472222219</v>
      </c>
      <c r="C14" s="482">
        <v>5</v>
      </c>
      <c r="D14" s="484">
        <f t="shared" ref="D14:D23" ca="1" si="0">baseTemp+D31</f>
        <v>14.2</v>
      </c>
      <c r="E14" s="478">
        <f t="shared" ref="E14:E23" ca="1" si="1">$C$8+E31</f>
        <v>230</v>
      </c>
      <c r="F14" s="479">
        <f t="shared" ref="F14:F23" ca="1" si="2">$C$9+F31</f>
        <v>6.08</v>
      </c>
      <c r="G14" s="486">
        <f t="shared" ref="G14:G23" ca="1" si="3">baseTemp+H31</f>
        <v>13.8</v>
      </c>
      <c r="H14" s="478">
        <f ca="1">$D$8+I31</f>
        <v>241</v>
      </c>
      <c r="I14" s="479">
        <f ca="1">$D$9+J31</f>
        <v>6.22</v>
      </c>
      <c r="J14" s="505">
        <f t="shared" ref="J14:J23" ca="1" si="4">baseTemp+L31</f>
        <v>14.1</v>
      </c>
      <c r="K14" s="478">
        <f ca="1">$E$8+M31</f>
        <v>229</v>
      </c>
      <c r="L14" s="479">
        <f ca="1">$E$9+N31</f>
        <v>6.7700000000000005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14.2</v>
      </c>
      <c r="E15" s="467">
        <f t="shared" ca="1" si="1"/>
        <v>234</v>
      </c>
      <c r="F15" s="468">
        <f t="shared" ca="1" si="2"/>
        <v>6.08</v>
      </c>
      <c r="G15" s="486">
        <f t="shared" ca="1" si="3"/>
        <v>13.8</v>
      </c>
      <c r="H15" s="478">
        <f t="shared" ref="H15:H23" ca="1" si="6">$D$8+I32</f>
        <v>236</v>
      </c>
      <c r="I15" s="479">
        <f t="shared" ref="I15:I23" ca="1" si="7">$D$9+J32</f>
        <v>6.22</v>
      </c>
      <c r="J15" s="505">
        <f t="shared" ca="1" si="4"/>
        <v>14.2</v>
      </c>
      <c r="K15" s="478">
        <f t="shared" ref="K15:K23" ca="1" si="8">$E$8+M32</f>
        <v>234</v>
      </c>
      <c r="L15" s="479">
        <f t="shared" ref="L15:L23" ca="1" si="9">$E$9+N32</f>
        <v>6.82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13.7</v>
      </c>
      <c r="E16" s="467">
        <f t="shared" ca="1" si="1"/>
        <v>232</v>
      </c>
      <c r="F16" s="468">
        <f t="shared" ca="1" si="2"/>
        <v>6.3100000000000005</v>
      </c>
      <c r="G16" s="486">
        <f t="shared" ca="1" si="3"/>
        <v>13.9</v>
      </c>
      <c r="H16" s="478">
        <f t="shared" ca="1" si="6"/>
        <v>239</v>
      </c>
      <c r="I16" s="479">
        <f t="shared" ca="1" si="7"/>
        <v>6.2</v>
      </c>
      <c r="J16" s="505">
        <f t="shared" ca="1" si="4"/>
        <v>13.7</v>
      </c>
      <c r="K16" s="478">
        <f t="shared" ca="1" si="8"/>
        <v>233</v>
      </c>
      <c r="L16" s="479">
        <f t="shared" ca="1" si="9"/>
        <v>6.62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13.9</v>
      </c>
      <c r="E17" s="467">
        <f t="shared" ca="1" si="1"/>
        <v>236</v>
      </c>
      <c r="F17" s="468">
        <f t="shared" ca="1" si="2"/>
        <v>6.2700000000000005</v>
      </c>
      <c r="G17" s="486">
        <f t="shared" ca="1" si="3"/>
        <v>13.8</v>
      </c>
      <c r="H17" s="478">
        <f t="shared" ca="1" si="6"/>
        <v>239</v>
      </c>
      <c r="I17" s="479">
        <f t="shared" ca="1" si="7"/>
        <v>6.39</v>
      </c>
      <c r="J17" s="505">
        <f t="shared" ca="1" si="4"/>
        <v>13.7</v>
      </c>
      <c r="K17" s="478">
        <f t="shared" ca="1" si="8"/>
        <v>233</v>
      </c>
      <c r="L17" s="479">
        <f t="shared" ca="1" si="9"/>
        <v>6.62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13.8</v>
      </c>
      <c r="E18" s="467">
        <f t="shared" ca="1" si="1"/>
        <v>231</v>
      </c>
      <c r="F18" s="468">
        <f t="shared" ca="1" si="2"/>
        <v>6.3</v>
      </c>
      <c r="G18" s="486">
        <f t="shared" ca="1" si="3"/>
        <v>14.3</v>
      </c>
      <c r="H18" s="478">
        <f t="shared" ca="1" si="6"/>
        <v>240</v>
      </c>
      <c r="I18" s="479">
        <f t="shared" ca="1" si="7"/>
        <v>6.18</v>
      </c>
      <c r="J18" s="505">
        <f t="shared" ca="1" si="4"/>
        <v>13.7</v>
      </c>
      <c r="K18" s="478">
        <f t="shared" ca="1" si="8"/>
        <v>229</v>
      </c>
      <c r="L18" s="479">
        <f t="shared" ca="1" si="9"/>
        <v>6.82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13.7</v>
      </c>
      <c r="E19" s="467">
        <f t="shared" ca="1" si="1"/>
        <v>236</v>
      </c>
      <c r="F19" s="468">
        <f t="shared" ca="1" si="2"/>
        <v>6.32</v>
      </c>
      <c r="G19" s="486">
        <f t="shared" ca="1" si="3"/>
        <v>13.8</v>
      </c>
      <c r="H19" s="478">
        <f t="shared" ca="1" si="6"/>
        <v>236</v>
      </c>
      <c r="I19" s="479">
        <f t="shared" ca="1" si="7"/>
        <v>6.37</v>
      </c>
      <c r="J19" s="505">
        <f t="shared" ca="1" si="4"/>
        <v>14.1</v>
      </c>
      <c r="K19" s="478">
        <f t="shared" ca="1" si="8"/>
        <v>229</v>
      </c>
      <c r="L19" s="479">
        <f t="shared" ca="1" si="9"/>
        <v>6.82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13.9</v>
      </c>
      <c r="E20" s="467">
        <f t="shared" ca="1" si="1"/>
        <v>231</v>
      </c>
      <c r="F20" s="468">
        <f t="shared" ca="1" si="2"/>
        <v>6.3</v>
      </c>
      <c r="G20" s="486">
        <f t="shared" ca="1" si="3"/>
        <v>14.2</v>
      </c>
      <c r="H20" s="478">
        <f t="shared" ca="1" si="6"/>
        <v>240</v>
      </c>
      <c r="I20" s="479">
        <f t="shared" ca="1" si="7"/>
        <v>6.21</v>
      </c>
      <c r="J20" s="505">
        <f t="shared" ca="1" si="4"/>
        <v>14.1</v>
      </c>
      <c r="K20" s="478">
        <f t="shared" ca="1" si="8"/>
        <v>232</v>
      </c>
      <c r="L20" s="479">
        <f t="shared" ca="1" si="9"/>
        <v>6.8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14.3</v>
      </c>
      <c r="E21" s="467">
        <f t="shared" ca="1" si="1"/>
        <v>235</v>
      </c>
      <c r="F21" s="468">
        <f t="shared" ca="1" si="2"/>
        <v>6.09</v>
      </c>
      <c r="G21" s="486">
        <f t="shared" ca="1" si="3"/>
        <v>13.8</v>
      </c>
      <c r="H21" s="478">
        <f t="shared" ca="1" si="6"/>
        <v>235</v>
      </c>
      <c r="I21" s="479">
        <f t="shared" ca="1" si="7"/>
        <v>6.2299999999999995</v>
      </c>
      <c r="J21" s="505">
        <f t="shared" ca="1" si="4"/>
        <v>13.7</v>
      </c>
      <c r="K21" s="478">
        <f t="shared" ca="1" si="8"/>
        <v>230</v>
      </c>
      <c r="L21" s="479">
        <f t="shared" ca="1" si="9"/>
        <v>6.62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13.7</v>
      </c>
      <c r="E22" s="467">
        <f t="shared" ca="1" si="1"/>
        <v>236</v>
      </c>
      <c r="F22" s="468">
        <f t="shared" ca="1" si="2"/>
        <v>6.3100000000000005</v>
      </c>
      <c r="G22" s="486">
        <f t="shared" ca="1" si="3"/>
        <v>14.3</v>
      </c>
      <c r="H22" s="478">
        <f t="shared" ca="1" si="6"/>
        <v>240</v>
      </c>
      <c r="I22" s="479">
        <f t="shared" ca="1" si="7"/>
        <v>6.3999999999999995</v>
      </c>
      <c r="J22" s="505">
        <f t="shared" ca="1" si="4"/>
        <v>14.3</v>
      </c>
      <c r="K22" s="478">
        <f t="shared" ca="1" si="8"/>
        <v>234</v>
      </c>
      <c r="L22" s="479">
        <f t="shared" ca="1" si="9"/>
        <v>6.8100000000000005</v>
      </c>
    </row>
    <row r="23" spans="2:14" s="106" customFormat="1" ht="27" customHeight="1">
      <c r="B23" s="471">
        <f t="shared" si="5"/>
        <v>43582.375</v>
      </c>
      <c r="C23" s="483">
        <v>2880</v>
      </c>
      <c r="D23" s="340">
        <f t="shared" ca="1" si="0"/>
        <v>14.3</v>
      </c>
      <c r="E23" s="472">
        <f t="shared" ca="1" si="1"/>
        <v>232</v>
      </c>
      <c r="F23" s="473">
        <f t="shared" ca="1" si="2"/>
        <v>6.08</v>
      </c>
      <c r="G23" s="506">
        <f t="shared" ca="1" si="3"/>
        <v>14.3</v>
      </c>
      <c r="H23" s="507">
        <f t="shared" ca="1" si="6"/>
        <v>241</v>
      </c>
      <c r="I23" s="508">
        <f t="shared" ca="1" si="7"/>
        <v>6.3999999999999995</v>
      </c>
      <c r="J23" s="509">
        <f t="shared" ca="1" si="4"/>
        <v>13.7</v>
      </c>
      <c r="K23" s="507">
        <f t="shared" ca="1" si="8"/>
        <v>228</v>
      </c>
      <c r="L23" s="508">
        <f t="shared" ca="1" si="9"/>
        <v>6.82</v>
      </c>
    </row>
    <row r="24" spans="2:14" s="106" customFormat="1" ht="27" customHeight="1">
      <c r="B24" s="543" t="s">
        <v>48</v>
      </c>
      <c r="C24" s="544"/>
      <c r="D24" s="493">
        <f ca="1">MAX(D14:D23)</f>
        <v>14.3</v>
      </c>
      <c r="E24" s="494">
        <f t="shared" ref="E24:F24" ca="1" si="10">MAX(E14:E23)</f>
        <v>236</v>
      </c>
      <c r="F24" s="495">
        <f t="shared" ca="1" si="10"/>
        <v>6.32</v>
      </c>
      <c r="G24" s="493">
        <f ca="1">MAX(G14:G23)</f>
        <v>14.3</v>
      </c>
      <c r="H24" s="494">
        <f t="shared" ref="H24:I24" ca="1" si="11">MAX(H14:H23)</f>
        <v>241</v>
      </c>
      <c r="I24" s="495">
        <f t="shared" ca="1" si="11"/>
        <v>6.3999999999999995</v>
      </c>
      <c r="J24" s="501">
        <f ca="1">MAX(J14:J23)</f>
        <v>14.3</v>
      </c>
      <c r="K24" s="494">
        <f t="shared" ref="K24:L24" ca="1" si="12">MAX(K14:K23)</f>
        <v>234</v>
      </c>
      <c r="L24" s="495">
        <f t="shared" ca="1" si="12"/>
        <v>6.82</v>
      </c>
    </row>
    <row r="25" spans="2:14" s="106" customFormat="1" ht="27" customHeight="1">
      <c r="B25" s="543" t="s">
        <v>49</v>
      </c>
      <c r="C25" s="544"/>
      <c r="D25" s="493">
        <f ca="1">MIN(D14:D23)</f>
        <v>13.7</v>
      </c>
      <c r="E25" s="494">
        <f t="shared" ref="E25:F25" ca="1" si="13">MIN(E14:E23)</f>
        <v>230</v>
      </c>
      <c r="F25" s="495">
        <f t="shared" ca="1" si="13"/>
        <v>6.08</v>
      </c>
      <c r="G25" s="493">
        <f ca="1">MIN(G14:G23)</f>
        <v>13.8</v>
      </c>
      <c r="H25" s="494">
        <f t="shared" ref="H25:I25" ca="1" si="14">MIN(H14:H23)</f>
        <v>235</v>
      </c>
      <c r="I25" s="495">
        <f t="shared" ca="1" si="14"/>
        <v>6.18</v>
      </c>
      <c r="J25" s="501">
        <f ca="1">MIN(J14:J23)</f>
        <v>13.7</v>
      </c>
      <c r="K25" s="494">
        <f t="shared" ref="K25:L25" ca="1" si="15">MIN(K14:K23)</f>
        <v>228</v>
      </c>
      <c r="L25" s="495">
        <f t="shared" ca="1" si="15"/>
        <v>6.62</v>
      </c>
    </row>
    <row r="26" spans="2:14" s="106" customFormat="1" ht="27" customHeight="1" thickBot="1">
      <c r="B26" s="545" t="s">
        <v>109</v>
      </c>
      <c r="C26" s="546"/>
      <c r="D26" s="487">
        <f ca="1">D24-D25</f>
        <v>0.60000000000000142</v>
      </c>
      <c r="E26" s="489">
        <f t="shared" ref="E26:F26" ca="1" si="16">E24-E25</f>
        <v>6</v>
      </c>
      <c r="F26" s="488">
        <f t="shared" ca="1" si="16"/>
        <v>0.24000000000000021</v>
      </c>
      <c r="G26" s="487">
        <f ca="1">G24-G25</f>
        <v>0.5</v>
      </c>
      <c r="H26" s="489">
        <f t="shared" ref="H26:I26" ca="1" si="17">H24-H25</f>
        <v>6</v>
      </c>
      <c r="I26" s="488">
        <f t="shared" ca="1" si="17"/>
        <v>0.21999999999999975</v>
      </c>
      <c r="J26" s="498">
        <f ca="1">J24-J25</f>
        <v>0.60000000000000142</v>
      </c>
      <c r="K26" s="489">
        <f t="shared" ref="K26:L26" ca="1" si="18">K24-K25</f>
        <v>6</v>
      </c>
      <c r="L26" s="488">
        <f t="shared" ca="1" si="18"/>
        <v>0.20000000000000018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  <c r="L29" s="540" t="s">
        <v>274</v>
      </c>
      <c r="M29" s="541"/>
      <c r="N29" s="542"/>
    </row>
    <row r="30" spans="2:14" s="106" customFormat="1" ht="18" customHeight="1">
      <c r="D30" s="493" t="s">
        <v>308</v>
      </c>
      <c r="E30" s="494" t="s">
        <v>309</v>
      </c>
      <c r="F30" s="495" t="s">
        <v>108</v>
      </c>
      <c r="H30" s="493" t="s">
        <v>308</v>
      </c>
      <c r="I30" s="494" t="s">
        <v>309</v>
      </c>
      <c r="J30" s="495" t="s">
        <v>108</v>
      </c>
      <c r="L30" s="493" t="s">
        <v>308</v>
      </c>
      <c r="M30" s="494" t="s">
        <v>309</v>
      </c>
      <c r="N30" s="495" t="s">
        <v>108</v>
      </c>
    </row>
    <row r="31" spans="2:14" s="106" customFormat="1" ht="18" customHeight="1">
      <c r="D31" s="490">
        <f ca="1">ROUND(myRandBetween(1,3,10), 1)</f>
        <v>0.2</v>
      </c>
      <c r="E31" s="464">
        <f ca="1">myRandBetween(1,3,1)</f>
        <v>-3</v>
      </c>
      <c r="F31" s="485">
        <f ca="1">ROUND(myRandBetween(7,12,100), 2)</f>
        <v>-0.12</v>
      </c>
      <c r="H31" s="490">
        <f ca="1">ROUND(myRandBetween(1,3,10), 1)</f>
        <v>-0.2</v>
      </c>
      <c r="I31" s="464">
        <f ca="1">myRandBetween(1,3,1)</f>
        <v>3</v>
      </c>
      <c r="J31" s="485">
        <f ca="1">ROUND(myRandBetween(7,12,100), 2)</f>
        <v>-0.08</v>
      </c>
      <c r="L31" s="490">
        <f ca="1">ROUND(myRandBetween(1,3,10), 1)</f>
        <v>0.1</v>
      </c>
      <c r="M31" s="464">
        <f ca="1">myRandBetween(1,3,1)</f>
        <v>-2</v>
      </c>
      <c r="N31" s="485">
        <f ca="1">ROUND(myRandBetween(7,12,100), 2)</f>
        <v>7.0000000000000007E-2</v>
      </c>
    </row>
    <row r="32" spans="2:14" s="106" customFormat="1" ht="18" customHeight="1">
      <c r="D32" s="490">
        <f t="shared" ref="D32:D40" ca="1" si="19">ROUND(myRandBetween(1,3,10), 1)</f>
        <v>0.2</v>
      </c>
      <c r="E32" s="464">
        <f t="shared" ref="E32:E40" ca="1" si="20">myRandBetween(1,3,1)</f>
        <v>1</v>
      </c>
      <c r="F32" s="485">
        <f t="shared" ref="F32:F40" ca="1" si="21">ROUND(myRandBetween(7,12,100), 2)</f>
        <v>-0.12</v>
      </c>
      <c r="H32" s="490">
        <f t="shared" ref="H32:H40" ca="1" si="22">ROUND(myRandBetween(1,3,10), 1)</f>
        <v>-0.2</v>
      </c>
      <c r="I32" s="464">
        <f t="shared" ref="I32:I40" ca="1" si="23">myRandBetween(1,3,1)</f>
        <v>-2</v>
      </c>
      <c r="J32" s="485">
        <f t="shared" ref="J32:J40" ca="1" si="24">ROUND(myRandBetween(7,12,100), 2)</f>
        <v>-0.08</v>
      </c>
      <c r="L32" s="490">
        <f t="shared" ref="L32:L40" ca="1" si="25">ROUND(myRandBetween(1,3,10), 1)</f>
        <v>0.2</v>
      </c>
      <c r="M32" s="464">
        <f t="shared" ref="M32:M40" ca="1" si="26">myRandBetween(1,3,1)</f>
        <v>3</v>
      </c>
      <c r="N32" s="485">
        <f t="shared" ref="N32:N40" ca="1" si="27">ROUND(myRandBetween(7,12,100), 2)</f>
        <v>0.12</v>
      </c>
    </row>
    <row r="33" spans="4:14" s="106" customFormat="1" ht="18" customHeight="1">
      <c r="D33" s="490">
        <f t="shared" ca="1" si="19"/>
        <v>-0.3</v>
      </c>
      <c r="E33" s="464">
        <f t="shared" ca="1" si="20"/>
        <v>-1</v>
      </c>
      <c r="F33" s="485">
        <f t="shared" ca="1" si="21"/>
        <v>0.11</v>
      </c>
      <c r="H33" s="490">
        <f t="shared" ca="1" si="22"/>
        <v>-0.1</v>
      </c>
      <c r="I33" s="464">
        <f t="shared" ca="1" si="23"/>
        <v>1</v>
      </c>
      <c r="J33" s="485">
        <f t="shared" ca="1" si="24"/>
        <v>-0.1</v>
      </c>
      <c r="L33" s="490">
        <f t="shared" ca="1" si="25"/>
        <v>-0.3</v>
      </c>
      <c r="M33" s="464">
        <f t="shared" ca="1" si="26"/>
        <v>2</v>
      </c>
      <c r="N33" s="485">
        <f t="shared" ca="1" si="27"/>
        <v>-0.08</v>
      </c>
    </row>
    <row r="34" spans="4:14" s="106" customFormat="1" ht="18" customHeight="1">
      <c r="D34" s="490">
        <f t="shared" ca="1" si="19"/>
        <v>-0.1</v>
      </c>
      <c r="E34" s="464">
        <f t="shared" ca="1" si="20"/>
        <v>3</v>
      </c>
      <c r="F34" s="485">
        <f t="shared" ca="1" si="21"/>
        <v>7.0000000000000007E-2</v>
      </c>
      <c r="H34" s="490">
        <f t="shared" ca="1" si="22"/>
        <v>-0.2</v>
      </c>
      <c r="I34" s="464">
        <f t="shared" ca="1" si="23"/>
        <v>1</v>
      </c>
      <c r="J34" s="485">
        <f t="shared" ca="1" si="24"/>
        <v>0.09</v>
      </c>
      <c r="L34" s="490">
        <f t="shared" ca="1" si="25"/>
        <v>-0.3</v>
      </c>
      <c r="M34" s="464">
        <f t="shared" ca="1" si="26"/>
        <v>2</v>
      </c>
      <c r="N34" s="485">
        <f t="shared" ca="1" si="27"/>
        <v>-0.08</v>
      </c>
    </row>
    <row r="35" spans="4:14" s="106" customFormat="1" ht="18" customHeight="1">
      <c r="D35" s="490">
        <f t="shared" ca="1" si="19"/>
        <v>-0.2</v>
      </c>
      <c r="E35" s="464">
        <f t="shared" ca="1" si="20"/>
        <v>-2</v>
      </c>
      <c r="F35" s="485">
        <f t="shared" ca="1" si="21"/>
        <v>0.1</v>
      </c>
      <c r="H35" s="490">
        <f t="shared" ca="1" si="22"/>
        <v>0.3</v>
      </c>
      <c r="I35" s="464">
        <f t="shared" ca="1" si="23"/>
        <v>2</v>
      </c>
      <c r="J35" s="485">
        <f t="shared" ca="1" si="24"/>
        <v>-0.12</v>
      </c>
      <c r="L35" s="490">
        <f t="shared" ca="1" si="25"/>
        <v>-0.3</v>
      </c>
      <c r="M35" s="464">
        <f t="shared" ca="1" si="26"/>
        <v>-2</v>
      </c>
      <c r="N35" s="485">
        <f t="shared" ca="1" si="27"/>
        <v>0.12</v>
      </c>
    </row>
    <row r="36" spans="4:14" s="106" customFormat="1" ht="18" customHeight="1">
      <c r="D36" s="490">
        <f t="shared" ca="1" si="19"/>
        <v>-0.3</v>
      </c>
      <c r="E36" s="464">
        <f t="shared" ca="1" si="20"/>
        <v>3</v>
      </c>
      <c r="F36" s="485">
        <f t="shared" ca="1" si="21"/>
        <v>0.12</v>
      </c>
      <c r="H36" s="490">
        <f t="shared" ca="1" si="22"/>
        <v>-0.2</v>
      </c>
      <c r="I36" s="464">
        <f t="shared" ca="1" si="23"/>
        <v>-2</v>
      </c>
      <c r="J36" s="485">
        <f t="shared" ca="1" si="24"/>
        <v>7.0000000000000007E-2</v>
      </c>
      <c r="L36" s="490">
        <f t="shared" ca="1" si="25"/>
        <v>0.1</v>
      </c>
      <c r="M36" s="464">
        <f t="shared" ca="1" si="26"/>
        <v>-2</v>
      </c>
      <c r="N36" s="485">
        <f t="shared" ca="1" si="27"/>
        <v>0.12</v>
      </c>
    </row>
    <row r="37" spans="4:14" s="106" customFormat="1" ht="18" customHeight="1">
      <c r="D37" s="490">
        <f t="shared" ca="1" si="19"/>
        <v>-0.1</v>
      </c>
      <c r="E37" s="464">
        <f t="shared" ca="1" si="20"/>
        <v>-2</v>
      </c>
      <c r="F37" s="485">
        <f t="shared" ca="1" si="21"/>
        <v>0.1</v>
      </c>
      <c r="H37" s="490">
        <f t="shared" ca="1" si="22"/>
        <v>0.2</v>
      </c>
      <c r="I37" s="464">
        <f t="shared" ca="1" si="23"/>
        <v>2</v>
      </c>
      <c r="J37" s="485">
        <f t="shared" ca="1" si="24"/>
        <v>-0.09</v>
      </c>
      <c r="L37" s="490">
        <f t="shared" ca="1" si="25"/>
        <v>0.1</v>
      </c>
      <c r="M37" s="464">
        <f t="shared" ca="1" si="26"/>
        <v>1</v>
      </c>
      <c r="N37" s="485">
        <f t="shared" ca="1" si="27"/>
        <v>0.1</v>
      </c>
    </row>
    <row r="38" spans="4:14" ht="18" customHeight="1">
      <c r="D38" s="490">
        <f t="shared" ca="1" si="19"/>
        <v>0.3</v>
      </c>
      <c r="E38" s="464">
        <f t="shared" ca="1" si="20"/>
        <v>2</v>
      </c>
      <c r="F38" s="485">
        <f t="shared" ca="1" si="21"/>
        <v>-0.11</v>
      </c>
      <c r="H38" s="490">
        <f t="shared" ca="1" si="22"/>
        <v>-0.2</v>
      </c>
      <c r="I38" s="464">
        <f t="shared" ca="1" si="23"/>
        <v>-3</v>
      </c>
      <c r="J38" s="485">
        <f t="shared" ca="1" si="24"/>
        <v>-7.0000000000000007E-2</v>
      </c>
      <c r="L38" s="490">
        <f t="shared" ca="1" si="25"/>
        <v>-0.3</v>
      </c>
      <c r="M38" s="464">
        <f t="shared" ca="1" si="26"/>
        <v>-1</v>
      </c>
      <c r="N38" s="485">
        <f t="shared" ca="1" si="27"/>
        <v>-0.08</v>
      </c>
    </row>
    <row r="39" spans="4:14" ht="18" customHeight="1">
      <c r="D39" s="490">
        <f t="shared" ca="1" si="19"/>
        <v>-0.3</v>
      </c>
      <c r="E39" s="464">
        <f t="shared" ca="1" si="20"/>
        <v>3</v>
      </c>
      <c r="F39" s="485">
        <f t="shared" ca="1" si="21"/>
        <v>0.11</v>
      </c>
      <c r="H39" s="490">
        <f t="shared" ca="1" si="22"/>
        <v>0.3</v>
      </c>
      <c r="I39" s="464">
        <f t="shared" ca="1" si="23"/>
        <v>2</v>
      </c>
      <c r="J39" s="485">
        <f t="shared" ca="1" si="24"/>
        <v>0.1</v>
      </c>
      <c r="L39" s="490">
        <f t="shared" ca="1" si="25"/>
        <v>0.3</v>
      </c>
      <c r="M39" s="464">
        <f t="shared" ca="1" si="26"/>
        <v>3</v>
      </c>
      <c r="N39" s="485">
        <f t="shared" ca="1" si="27"/>
        <v>0.11</v>
      </c>
    </row>
    <row r="40" spans="4:14" ht="18" customHeight="1" thickBot="1">
      <c r="D40" s="491">
        <f t="shared" ca="1" si="19"/>
        <v>0.3</v>
      </c>
      <c r="E40" s="469">
        <f t="shared" ca="1" si="20"/>
        <v>-1</v>
      </c>
      <c r="F40" s="492">
        <f t="shared" ca="1" si="21"/>
        <v>-0.12</v>
      </c>
      <c r="H40" s="491">
        <f t="shared" ca="1" si="22"/>
        <v>0.3</v>
      </c>
      <c r="I40" s="469">
        <f t="shared" ca="1" si="23"/>
        <v>3</v>
      </c>
      <c r="J40" s="492">
        <f t="shared" ca="1" si="24"/>
        <v>0.1</v>
      </c>
      <c r="L40" s="491">
        <f t="shared" ca="1" si="25"/>
        <v>-0.3</v>
      </c>
      <c r="M40" s="469">
        <f t="shared" ca="1" si="26"/>
        <v>-3</v>
      </c>
      <c r="N40" s="492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0.58615870555001837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43586.378472222219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216</v>
      </c>
      <c r="F14" s="479">
        <f t="shared" ref="F14:F23" si="2">$C$9+F31</f>
        <v>7.43</v>
      </c>
      <c r="G14" s="486">
        <f t="shared" ref="G14:G23" si="3">baseTemp+H31-0.2</f>
        <v>14.700000000000001</v>
      </c>
      <c r="H14" s="478">
        <f>$C$8+I31+3</f>
        <v>220</v>
      </c>
      <c r="I14" s="479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465">
        <v>30</v>
      </c>
      <c r="D15" s="335">
        <f t="shared" si="0"/>
        <v>14.7</v>
      </c>
      <c r="E15" s="467">
        <f t="shared" si="1"/>
        <v>214</v>
      </c>
      <c r="F15" s="468">
        <f t="shared" si="2"/>
        <v>7.41</v>
      </c>
      <c r="G15" s="486">
        <f t="shared" si="3"/>
        <v>14.200000000000001</v>
      </c>
      <c r="H15" s="478">
        <f t="shared" ref="H15:H23" si="5">$C$8+I32+3</f>
        <v>218</v>
      </c>
      <c r="I15" s="479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465">
        <v>60</v>
      </c>
      <c r="D16" s="335">
        <f t="shared" si="0"/>
        <v>14.8</v>
      </c>
      <c r="E16" s="467">
        <f t="shared" si="1"/>
        <v>215</v>
      </c>
      <c r="F16" s="468">
        <f t="shared" si="2"/>
        <v>7.43</v>
      </c>
      <c r="G16" s="486">
        <f t="shared" si="3"/>
        <v>14.700000000000001</v>
      </c>
      <c r="H16" s="478">
        <f t="shared" si="5"/>
        <v>219</v>
      </c>
      <c r="I16" s="479">
        <f t="shared" si="6"/>
        <v>7.41</v>
      </c>
    </row>
    <row r="17" spans="2:10" s="12" customFormat="1" ht="26.1" customHeight="1">
      <c r="B17" s="466">
        <f t="shared" si="4"/>
        <v>43586.458333333336</v>
      </c>
      <c r="C17" s="465">
        <v>120</v>
      </c>
      <c r="D17" s="335">
        <f t="shared" si="0"/>
        <v>14.8</v>
      </c>
      <c r="E17" s="467">
        <f t="shared" si="1"/>
        <v>214</v>
      </c>
      <c r="F17" s="468">
        <f t="shared" si="2"/>
        <v>7.45</v>
      </c>
      <c r="G17" s="486">
        <f t="shared" si="3"/>
        <v>14.600000000000001</v>
      </c>
      <c r="H17" s="478">
        <f t="shared" si="5"/>
        <v>219</v>
      </c>
      <c r="I17" s="479">
        <f t="shared" si="6"/>
        <v>7.41</v>
      </c>
    </row>
    <row r="18" spans="2:10" s="12" customFormat="1" ht="26.1" customHeight="1">
      <c r="B18" s="466">
        <f t="shared" si="4"/>
        <v>43586.541666666664</v>
      </c>
      <c r="C18" s="465">
        <v>240</v>
      </c>
      <c r="D18" s="335">
        <f t="shared" si="0"/>
        <v>14.7</v>
      </c>
      <c r="E18" s="467">
        <f t="shared" si="1"/>
        <v>216</v>
      </c>
      <c r="F18" s="468">
        <f t="shared" si="2"/>
        <v>7.43</v>
      </c>
      <c r="G18" s="486">
        <f t="shared" si="3"/>
        <v>14.5</v>
      </c>
      <c r="H18" s="478">
        <f t="shared" si="5"/>
        <v>220</v>
      </c>
      <c r="I18" s="479">
        <f t="shared" si="6"/>
        <v>7.41</v>
      </c>
    </row>
    <row r="19" spans="2:10" s="12" customFormat="1" ht="26.1" customHeight="1">
      <c r="B19" s="466">
        <f t="shared" si="4"/>
        <v>43586.708333333336</v>
      </c>
      <c r="C19" s="465">
        <v>480</v>
      </c>
      <c r="D19" s="335">
        <f t="shared" si="0"/>
        <v>14.8</v>
      </c>
      <c r="E19" s="467">
        <f t="shared" si="1"/>
        <v>213</v>
      </c>
      <c r="F19" s="468">
        <f t="shared" si="2"/>
        <v>7.3999999999999995</v>
      </c>
      <c r="G19" s="486">
        <f t="shared" si="3"/>
        <v>14.600000000000001</v>
      </c>
      <c r="H19" s="478">
        <f t="shared" si="5"/>
        <v>218</v>
      </c>
      <c r="I19" s="479">
        <f t="shared" si="6"/>
        <v>7.38</v>
      </c>
    </row>
    <row r="20" spans="2:10" s="106" customFormat="1" ht="26.1" customHeight="1">
      <c r="B20" s="466">
        <f t="shared" si="4"/>
        <v>43587.375</v>
      </c>
      <c r="C20" s="465">
        <v>1440</v>
      </c>
      <c r="D20" s="335">
        <f t="shared" si="0"/>
        <v>14.6</v>
      </c>
      <c r="E20" s="467">
        <f t="shared" si="1"/>
        <v>214</v>
      </c>
      <c r="F20" s="468">
        <f t="shared" si="2"/>
        <v>7.41</v>
      </c>
      <c r="G20" s="486">
        <f t="shared" si="3"/>
        <v>14.4</v>
      </c>
      <c r="H20" s="478">
        <f t="shared" si="5"/>
        <v>217</v>
      </c>
      <c r="I20" s="479">
        <f t="shared" si="6"/>
        <v>7.4</v>
      </c>
    </row>
    <row r="21" spans="2:10" s="106" customFormat="1" ht="26.1" customHeight="1">
      <c r="B21" s="466">
        <f t="shared" si="4"/>
        <v>43587.541666666664</v>
      </c>
      <c r="C21" s="465">
        <v>1680</v>
      </c>
      <c r="D21" s="335">
        <f t="shared" si="0"/>
        <v>14.7</v>
      </c>
      <c r="E21" s="467">
        <f t="shared" si="1"/>
        <v>213</v>
      </c>
      <c r="F21" s="468">
        <f t="shared" si="2"/>
        <v>7.41</v>
      </c>
      <c r="G21" s="486">
        <f t="shared" si="3"/>
        <v>14.5</v>
      </c>
      <c r="H21" s="478">
        <f t="shared" si="5"/>
        <v>217</v>
      </c>
      <c r="I21" s="479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465">
        <v>1920</v>
      </c>
      <c r="D22" s="335">
        <f t="shared" si="0"/>
        <v>14.8</v>
      </c>
      <c r="E22" s="467">
        <f t="shared" si="1"/>
        <v>215</v>
      </c>
      <c r="F22" s="468">
        <f t="shared" si="2"/>
        <v>7.41</v>
      </c>
      <c r="G22" s="486">
        <f t="shared" si="3"/>
        <v>14.600000000000001</v>
      </c>
      <c r="H22" s="478">
        <f t="shared" si="5"/>
        <v>217</v>
      </c>
      <c r="I22" s="479">
        <f t="shared" si="6"/>
        <v>7.3900000000000006</v>
      </c>
    </row>
    <row r="23" spans="2:10" s="106" customFormat="1" ht="26.1" customHeight="1" thickBot="1">
      <c r="B23" s="471">
        <f t="shared" si="4"/>
        <v>43588.375</v>
      </c>
      <c r="C23" s="483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486">
        <f t="shared" si="3"/>
        <v>14.5</v>
      </c>
      <c r="H23" s="478">
        <f t="shared" si="5"/>
        <v>217</v>
      </c>
      <c r="I23" s="473">
        <f t="shared" si="6"/>
        <v>7.3900000000000006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216</v>
      </c>
      <c r="F24" s="475">
        <f t="shared" si="7"/>
        <v>7.45</v>
      </c>
      <c r="G24" s="345">
        <f>MAX(G14:G23)</f>
        <v>14.700000000000001</v>
      </c>
      <c r="H24" s="474">
        <f t="shared" ref="H24:I24" si="8">MAX(H14:H23)</f>
        <v>220</v>
      </c>
      <c r="I24" s="475">
        <f t="shared" si="8"/>
        <v>7.41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213</v>
      </c>
      <c r="F25" s="485">
        <f t="shared" si="9"/>
        <v>7.3999999999999995</v>
      </c>
      <c r="G25" s="335">
        <f>MIN(G14:G23)</f>
        <v>14.200000000000001</v>
      </c>
      <c r="H25" s="464">
        <f t="shared" ref="H25:I25" si="10">MIN(H14:H23)</f>
        <v>217</v>
      </c>
      <c r="I25" s="465">
        <f t="shared" si="10"/>
        <v>7.38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0.12</v>
      </c>
    </row>
    <row r="33" spans="4:10" s="106" customFormat="1" ht="18" customHeight="1">
      <c r="D33" s="490">
        <v>0.8</v>
      </c>
      <c r="E33" s="464">
        <v>2</v>
      </c>
      <c r="F33" s="485">
        <v>0.13</v>
      </c>
      <c r="H33" s="490">
        <v>0.9</v>
      </c>
      <c r="I33" s="464">
        <v>3</v>
      </c>
      <c r="J33" s="485">
        <v>0.13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0.12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0.89232848895925154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43591.378472222219</v>
      </c>
      <c r="C14" s="482">
        <v>5</v>
      </c>
      <c r="D14" s="484">
        <f t="shared" ref="D14:D23" si="0">baseTemp+D31</f>
        <v>15.3</v>
      </c>
      <c r="E14" s="478">
        <f t="shared" ref="E14:E23" si="1">$C$8+E31</f>
        <v>238</v>
      </c>
      <c r="F14" s="479">
        <f t="shared" ref="F14:F23" si="2">$C$9+F31</f>
        <v>6.63</v>
      </c>
      <c r="G14" s="486">
        <f t="shared" ref="G14:G23" si="3">baseTemp+H31-0.2</f>
        <v>15.100000000000001</v>
      </c>
      <c r="H14" s="478">
        <f>$C$8+I31+3</f>
        <v>242</v>
      </c>
      <c r="I14" s="479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465">
        <v>30</v>
      </c>
      <c r="D15" s="335">
        <f t="shared" si="0"/>
        <v>15.1</v>
      </c>
      <c r="E15" s="467">
        <f t="shared" si="1"/>
        <v>236</v>
      </c>
      <c r="F15" s="468">
        <f t="shared" si="2"/>
        <v>6.61</v>
      </c>
      <c r="G15" s="486">
        <f t="shared" si="3"/>
        <v>14.600000000000001</v>
      </c>
      <c r="H15" s="478">
        <f t="shared" ref="H15:H23" si="6">$C$8+I32+3</f>
        <v>240</v>
      </c>
      <c r="I15" s="479">
        <f t="shared" si="4"/>
        <v>7.91</v>
      </c>
    </row>
    <row r="16" spans="2:9" s="12" customFormat="1" ht="26.1" customHeight="1">
      <c r="B16" s="466">
        <f t="shared" si="5"/>
        <v>43591.416666666664</v>
      </c>
      <c r="C16" s="465">
        <v>60</v>
      </c>
      <c r="D16" s="335">
        <f t="shared" si="0"/>
        <v>15.200000000000001</v>
      </c>
      <c r="E16" s="467">
        <f t="shared" si="1"/>
        <v>237</v>
      </c>
      <c r="F16" s="468">
        <f t="shared" si="2"/>
        <v>6.6</v>
      </c>
      <c r="G16" s="486">
        <f t="shared" si="3"/>
        <v>15.100000000000001</v>
      </c>
      <c r="H16" s="478">
        <f t="shared" si="6"/>
        <v>241</v>
      </c>
      <c r="I16" s="479">
        <f t="shared" si="4"/>
        <v>7.88</v>
      </c>
    </row>
    <row r="17" spans="2:10" s="12" customFormat="1" ht="26.1" customHeight="1">
      <c r="B17" s="466">
        <f t="shared" si="5"/>
        <v>43591.458333333336</v>
      </c>
      <c r="C17" s="465">
        <v>120</v>
      </c>
      <c r="D17" s="335">
        <f t="shared" si="0"/>
        <v>15.200000000000001</v>
      </c>
      <c r="E17" s="467">
        <f t="shared" si="1"/>
        <v>236</v>
      </c>
      <c r="F17" s="468">
        <f t="shared" si="2"/>
        <v>6.65</v>
      </c>
      <c r="G17" s="486">
        <f t="shared" si="3"/>
        <v>15.000000000000002</v>
      </c>
      <c r="H17" s="478">
        <f t="shared" si="6"/>
        <v>241</v>
      </c>
      <c r="I17" s="479">
        <f t="shared" si="4"/>
        <v>7.91</v>
      </c>
    </row>
    <row r="18" spans="2:10" s="12" customFormat="1" ht="26.1" customHeight="1">
      <c r="B18" s="466">
        <f t="shared" si="5"/>
        <v>43591.541666666664</v>
      </c>
      <c r="C18" s="465">
        <v>240</v>
      </c>
      <c r="D18" s="335">
        <f t="shared" si="0"/>
        <v>15.1</v>
      </c>
      <c r="E18" s="467">
        <f t="shared" si="1"/>
        <v>238</v>
      </c>
      <c r="F18" s="468">
        <f t="shared" si="2"/>
        <v>6.63</v>
      </c>
      <c r="G18" s="486">
        <f t="shared" si="3"/>
        <v>14.9</v>
      </c>
      <c r="H18" s="478">
        <f t="shared" si="6"/>
        <v>242</v>
      </c>
      <c r="I18" s="479">
        <f t="shared" si="4"/>
        <v>7.91</v>
      </c>
    </row>
    <row r="19" spans="2:10" s="12" customFormat="1" ht="26.1" customHeight="1">
      <c r="B19" s="466">
        <f t="shared" si="5"/>
        <v>43591.708333333336</v>
      </c>
      <c r="C19" s="465">
        <v>480</v>
      </c>
      <c r="D19" s="335">
        <f t="shared" si="0"/>
        <v>15.200000000000001</v>
      </c>
      <c r="E19" s="467">
        <f t="shared" si="1"/>
        <v>235</v>
      </c>
      <c r="F19" s="468">
        <f t="shared" si="2"/>
        <v>6.6</v>
      </c>
      <c r="G19" s="486">
        <f t="shared" si="3"/>
        <v>15.000000000000002</v>
      </c>
      <c r="H19" s="478">
        <f t="shared" si="6"/>
        <v>240</v>
      </c>
      <c r="I19" s="479">
        <f t="shared" si="4"/>
        <v>7.9</v>
      </c>
    </row>
    <row r="20" spans="2:10" s="106" customFormat="1" ht="26.1" customHeight="1">
      <c r="B20" s="466">
        <f t="shared" si="5"/>
        <v>43592.375</v>
      </c>
      <c r="C20" s="465">
        <v>1440</v>
      </c>
      <c r="D20" s="335">
        <f t="shared" si="0"/>
        <v>15</v>
      </c>
      <c r="E20" s="467">
        <f t="shared" si="1"/>
        <v>236</v>
      </c>
      <c r="F20" s="468">
        <f t="shared" si="2"/>
        <v>6.61</v>
      </c>
      <c r="G20" s="486">
        <f t="shared" si="3"/>
        <v>14.8</v>
      </c>
      <c r="H20" s="478">
        <f t="shared" si="6"/>
        <v>239</v>
      </c>
      <c r="I20" s="479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465">
        <v>1680</v>
      </c>
      <c r="D21" s="335">
        <f t="shared" si="0"/>
        <v>15.1</v>
      </c>
      <c r="E21" s="467">
        <f t="shared" si="1"/>
        <v>235</v>
      </c>
      <c r="F21" s="468">
        <f t="shared" si="2"/>
        <v>6.61</v>
      </c>
      <c r="G21" s="486">
        <f t="shared" si="3"/>
        <v>14.9</v>
      </c>
      <c r="H21" s="478">
        <f t="shared" si="6"/>
        <v>239</v>
      </c>
      <c r="I21" s="479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465">
        <v>1920</v>
      </c>
      <c r="D22" s="335">
        <f t="shared" si="0"/>
        <v>15.200000000000001</v>
      </c>
      <c r="E22" s="467">
        <f t="shared" si="1"/>
        <v>237</v>
      </c>
      <c r="F22" s="468">
        <f t="shared" si="2"/>
        <v>6.61</v>
      </c>
      <c r="G22" s="486">
        <f t="shared" si="3"/>
        <v>15.000000000000002</v>
      </c>
      <c r="H22" s="478">
        <f t="shared" si="6"/>
        <v>239</v>
      </c>
      <c r="I22" s="479">
        <f t="shared" si="4"/>
        <v>7.8900000000000006</v>
      </c>
    </row>
    <row r="23" spans="2:10" s="106" customFormat="1" ht="26.1" customHeight="1" thickBot="1">
      <c r="B23" s="471">
        <f t="shared" si="5"/>
        <v>43593.375</v>
      </c>
      <c r="C23" s="483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486">
        <f t="shared" si="3"/>
        <v>14.9</v>
      </c>
      <c r="H23" s="478">
        <f t="shared" si="6"/>
        <v>239</v>
      </c>
      <c r="I23" s="473">
        <f t="shared" si="4"/>
        <v>7.8900000000000006</v>
      </c>
    </row>
    <row r="24" spans="2:10" s="106" customFormat="1" ht="26.1" customHeight="1">
      <c r="B24" s="548" t="s">
        <v>48</v>
      </c>
      <c r="C24" s="549"/>
      <c r="D24" s="345">
        <f>MAX(D14:D23)</f>
        <v>15.3</v>
      </c>
      <c r="E24" s="474">
        <f t="shared" ref="E24:F24" si="7">MAX(E14:E23)</f>
        <v>238</v>
      </c>
      <c r="F24" s="475">
        <f t="shared" si="7"/>
        <v>6.65</v>
      </c>
      <c r="G24" s="345">
        <f>MAX(G14:G23)</f>
        <v>15.100000000000001</v>
      </c>
      <c r="H24" s="474">
        <f t="shared" ref="H24:I24" si="8">MAX(H14:H23)</f>
        <v>242</v>
      </c>
      <c r="I24" s="475">
        <f t="shared" si="8"/>
        <v>7.91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15</v>
      </c>
      <c r="E25" s="464">
        <f t="shared" ref="E25:F25" si="9">MIN(E14:E23)</f>
        <v>235</v>
      </c>
      <c r="F25" s="485">
        <f t="shared" si="9"/>
        <v>6.6</v>
      </c>
      <c r="G25" s="335">
        <f>MIN(G14:G23)</f>
        <v>14.600000000000001</v>
      </c>
      <c r="H25" s="464">
        <f t="shared" ref="H25:I25" si="10">MIN(H14:H23)</f>
        <v>239</v>
      </c>
      <c r="I25" s="465">
        <f t="shared" si="10"/>
        <v>7.88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5.0000000000000711E-2</v>
      </c>
      <c r="G26" s="352">
        <f>G24-G25</f>
        <v>0.5</v>
      </c>
      <c r="H26" s="469">
        <f t="shared" ref="H26:I26" si="12">H24-H25</f>
        <v>3</v>
      </c>
      <c r="I26" s="470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0.11</v>
      </c>
      <c r="H32" s="490">
        <v>0.4</v>
      </c>
      <c r="I32" s="464">
        <v>2</v>
      </c>
      <c r="J32" s="485">
        <v>0.13</v>
      </c>
    </row>
    <row r="33" spans="4:10" s="106" customFormat="1" ht="18" customHeight="1">
      <c r="D33" s="490">
        <v>0.8</v>
      </c>
      <c r="E33" s="464">
        <v>2</v>
      </c>
      <c r="F33" s="485">
        <v>0.1</v>
      </c>
      <c r="H33" s="490">
        <v>0.9</v>
      </c>
      <c r="I33" s="464">
        <v>3</v>
      </c>
      <c r="J33" s="485">
        <v>0.1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0.12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0.79479284174937648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0" t="s">
        <v>103</v>
      </c>
      <c r="C12" s="542"/>
      <c r="D12" s="540" t="s">
        <v>104</v>
      </c>
      <c r="E12" s="541"/>
      <c r="F12" s="542"/>
      <c r="G12" s="540" t="s">
        <v>192</v>
      </c>
      <c r="H12" s="541"/>
      <c r="I12" s="542"/>
    </row>
    <row r="13" spans="2:9" s="12" customFormat="1" ht="26.1" customHeight="1" thickBot="1">
      <c r="B13" s="487" t="s">
        <v>99</v>
      </c>
      <c r="C13" s="488" t="s">
        <v>105</v>
      </c>
      <c r="D13" s="487" t="s">
        <v>106</v>
      </c>
      <c r="E13" s="489" t="s">
        <v>107</v>
      </c>
      <c r="F13" s="488" t="s">
        <v>108</v>
      </c>
      <c r="G13" s="487" t="s">
        <v>106</v>
      </c>
      <c r="H13" s="489" t="s">
        <v>107</v>
      </c>
      <c r="I13" s="488" t="s">
        <v>108</v>
      </c>
    </row>
    <row r="14" spans="2:9" s="12" customFormat="1" ht="26.1" customHeight="1">
      <c r="B14" s="476">
        <f>$C$6+C14/1440</f>
        <v>43594.378472222219</v>
      </c>
      <c r="C14" s="482">
        <v>5</v>
      </c>
      <c r="D14" s="484">
        <f t="shared" ref="D14:D23" si="0">baseTemp+D31</f>
        <v>14.9</v>
      </c>
      <c r="E14" s="478">
        <f t="shared" ref="E14:E23" si="1">$C$8+E31</f>
        <v>234</v>
      </c>
      <c r="F14" s="479">
        <f t="shared" ref="F14:F23" si="2">$C$9+F31</f>
        <v>6.7299999999999995</v>
      </c>
      <c r="G14" s="486">
        <f t="shared" ref="G14:G23" si="3">baseTemp+H31-0.2</f>
        <v>14.700000000000001</v>
      </c>
      <c r="H14" s="478">
        <f t="shared" ref="H14:H23" si="4">$D$8+I31+3</f>
        <v>232</v>
      </c>
      <c r="I14" s="479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465">
        <v>30</v>
      </c>
      <c r="D15" s="335">
        <f t="shared" si="0"/>
        <v>14.7</v>
      </c>
      <c r="E15" s="467">
        <f t="shared" si="1"/>
        <v>232</v>
      </c>
      <c r="F15" s="468">
        <f t="shared" si="2"/>
        <v>6.9099999999999993</v>
      </c>
      <c r="G15" s="486">
        <f t="shared" si="3"/>
        <v>14.200000000000001</v>
      </c>
      <c r="H15" s="478">
        <f t="shared" si="4"/>
        <v>230</v>
      </c>
      <c r="I15" s="479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465">
        <v>60</v>
      </c>
      <c r="D16" s="335">
        <f t="shared" si="0"/>
        <v>14.8</v>
      </c>
      <c r="E16" s="467">
        <f t="shared" si="1"/>
        <v>233</v>
      </c>
      <c r="F16" s="468">
        <f t="shared" si="2"/>
        <v>6.83</v>
      </c>
      <c r="G16" s="486">
        <f t="shared" si="3"/>
        <v>14.700000000000001</v>
      </c>
      <c r="H16" s="478">
        <f t="shared" si="4"/>
        <v>231</v>
      </c>
      <c r="I16" s="479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465">
        <v>120</v>
      </c>
      <c r="D17" s="335">
        <f t="shared" si="0"/>
        <v>14.8</v>
      </c>
      <c r="E17" s="467">
        <f t="shared" si="1"/>
        <v>232</v>
      </c>
      <c r="F17" s="468">
        <f t="shared" si="2"/>
        <v>6.75</v>
      </c>
      <c r="G17" s="486">
        <f t="shared" si="3"/>
        <v>14.600000000000001</v>
      </c>
      <c r="H17" s="478">
        <f t="shared" si="4"/>
        <v>231</v>
      </c>
      <c r="I17" s="479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465">
        <v>240</v>
      </c>
      <c r="D18" s="335">
        <f t="shared" si="0"/>
        <v>14.7</v>
      </c>
      <c r="E18" s="467">
        <f t="shared" si="1"/>
        <v>234</v>
      </c>
      <c r="F18" s="468">
        <f t="shared" si="2"/>
        <v>6.7299999999999995</v>
      </c>
      <c r="G18" s="486">
        <f t="shared" si="3"/>
        <v>14.5</v>
      </c>
      <c r="H18" s="478">
        <f t="shared" si="4"/>
        <v>232</v>
      </c>
      <c r="I18" s="479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465">
        <v>480</v>
      </c>
      <c r="D19" s="335">
        <f t="shared" si="0"/>
        <v>14.8</v>
      </c>
      <c r="E19" s="467">
        <f t="shared" si="1"/>
        <v>231</v>
      </c>
      <c r="F19" s="468">
        <f t="shared" si="2"/>
        <v>6.6999999999999993</v>
      </c>
      <c r="G19" s="486">
        <f t="shared" si="3"/>
        <v>14.600000000000001</v>
      </c>
      <c r="H19" s="478">
        <f t="shared" si="4"/>
        <v>230</v>
      </c>
      <c r="I19" s="479">
        <f t="shared" si="5"/>
        <v>7.28</v>
      </c>
    </row>
    <row r="20" spans="2:10" s="106" customFormat="1" ht="26.1" customHeight="1">
      <c r="B20" s="466">
        <f t="shared" si="6"/>
        <v>43595.375</v>
      </c>
      <c r="C20" s="465">
        <v>1440</v>
      </c>
      <c r="D20" s="335">
        <f t="shared" si="0"/>
        <v>14.6</v>
      </c>
      <c r="E20" s="467">
        <f t="shared" si="1"/>
        <v>232</v>
      </c>
      <c r="F20" s="468">
        <f t="shared" si="2"/>
        <v>6.71</v>
      </c>
      <c r="G20" s="486">
        <f t="shared" si="3"/>
        <v>14.4</v>
      </c>
      <c r="H20" s="478">
        <f t="shared" si="4"/>
        <v>229</v>
      </c>
      <c r="I20" s="479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465">
        <v>1680</v>
      </c>
      <c r="D21" s="335">
        <f t="shared" si="0"/>
        <v>14.7</v>
      </c>
      <c r="E21" s="467">
        <f t="shared" si="1"/>
        <v>231</v>
      </c>
      <c r="F21" s="468">
        <f t="shared" si="2"/>
        <v>6.71</v>
      </c>
      <c r="G21" s="486">
        <f t="shared" si="3"/>
        <v>14.5</v>
      </c>
      <c r="H21" s="478">
        <f t="shared" si="4"/>
        <v>229</v>
      </c>
      <c r="I21" s="479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465">
        <v>1920</v>
      </c>
      <c r="D22" s="335">
        <f t="shared" si="0"/>
        <v>14.8</v>
      </c>
      <c r="E22" s="467">
        <f t="shared" si="1"/>
        <v>233</v>
      </c>
      <c r="F22" s="468">
        <f t="shared" si="2"/>
        <v>6.71</v>
      </c>
      <c r="G22" s="486">
        <f t="shared" si="3"/>
        <v>14.600000000000001</v>
      </c>
      <c r="H22" s="478">
        <f t="shared" si="4"/>
        <v>229</v>
      </c>
      <c r="I22" s="479">
        <f t="shared" si="5"/>
        <v>7.2900000000000009</v>
      </c>
    </row>
    <row r="23" spans="2:10" s="106" customFormat="1" ht="26.1" customHeight="1" thickBot="1">
      <c r="B23" s="471">
        <f t="shared" si="6"/>
        <v>43596.375</v>
      </c>
      <c r="C23" s="483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486">
        <f t="shared" si="3"/>
        <v>14.5</v>
      </c>
      <c r="H23" s="478">
        <f t="shared" si="4"/>
        <v>229</v>
      </c>
      <c r="I23" s="473">
        <f t="shared" si="5"/>
        <v>7.2900000000000009</v>
      </c>
    </row>
    <row r="24" spans="2:10" s="106" customFormat="1" ht="26.1" customHeight="1">
      <c r="B24" s="548" t="s">
        <v>48</v>
      </c>
      <c r="C24" s="549"/>
      <c r="D24" s="345">
        <f>MAX(D14:D23)</f>
        <v>14.9</v>
      </c>
      <c r="E24" s="474">
        <f t="shared" ref="E24:F24" si="7">MAX(E14:E23)</f>
        <v>234</v>
      </c>
      <c r="F24" s="475">
        <f t="shared" si="7"/>
        <v>6.9099999999999993</v>
      </c>
      <c r="G24" s="345">
        <f>MAX(G14:G23)</f>
        <v>14.700000000000001</v>
      </c>
      <c r="H24" s="474">
        <f t="shared" ref="H24:I24" si="8">MAX(H14:H23)</f>
        <v>232</v>
      </c>
      <c r="I24" s="475">
        <f t="shared" si="8"/>
        <v>7.5000000000000009</v>
      </c>
      <c r="J24" s="245"/>
    </row>
    <row r="25" spans="2:10" s="106" customFormat="1" ht="26.1" customHeight="1">
      <c r="B25" s="550" t="s">
        <v>49</v>
      </c>
      <c r="C25" s="551"/>
      <c r="D25" s="335">
        <f>MIN(D14:D23)</f>
        <v>14.6</v>
      </c>
      <c r="E25" s="464">
        <f t="shared" ref="E25:F25" si="9">MIN(E14:E23)</f>
        <v>231</v>
      </c>
      <c r="F25" s="485">
        <f t="shared" si="9"/>
        <v>6.6999999999999993</v>
      </c>
      <c r="G25" s="335">
        <f>MIN(G14:G23)</f>
        <v>14.200000000000001</v>
      </c>
      <c r="H25" s="464">
        <f t="shared" ref="H25:I25" si="10">MIN(H14:H23)</f>
        <v>229</v>
      </c>
      <c r="I25" s="465">
        <f t="shared" si="10"/>
        <v>7.28</v>
      </c>
      <c r="J25" s="245"/>
    </row>
    <row r="26" spans="2:10" s="106" customFormat="1" ht="26.1" customHeight="1" thickBot="1">
      <c r="B26" s="552" t="s">
        <v>109</v>
      </c>
      <c r="C26" s="553"/>
      <c r="D26" s="352">
        <f>D24-D25</f>
        <v>0.30000000000000071</v>
      </c>
      <c r="E26" s="469">
        <f t="shared" ref="E26:F26" si="11">E24-E25</f>
        <v>3</v>
      </c>
      <c r="F26" s="470">
        <f t="shared" si="11"/>
        <v>0.20999999999999996</v>
      </c>
      <c r="G26" s="352">
        <f>G24-G25</f>
        <v>0.5</v>
      </c>
      <c r="H26" s="469">
        <f t="shared" ref="H26:I26" si="12">H24-H25</f>
        <v>3</v>
      </c>
      <c r="I26" s="470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0" t="s">
        <v>104</v>
      </c>
      <c r="E29" s="541"/>
      <c r="F29" s="542"/>
      <c r="H29" s="540" t="s">
        <v>192</v>
      </c>
      <c r="I29" s="541"/>
      <c r="J29" s="542"/>
    </row>
    <row r="30" spans="2:10" s="106" customFormat="1" ht="18" customHeight="1">
      <c r="D30" s="493" t="s">
        <v>106</v>
      </c>
      <c r="E30" s="494" t="s">
        <v>107</v>
      </c>
      <c r="F30" s="495" t="s">
        <v>108</v>
      </c>
      <c r="H30" s="493" t="s">
        <v>106</v>
      </c>
      <c r="I30" s="494" t="s">
        <v>107</v>
      </c>
      <c r="J30" s="495" t="s">
        <v>108</v>
      </c>
    </row>
    <row r="31" spans="2:10" s="106" customFormat="1" ht="18" customHeight="1">
      <c r="D31" s="490">
        <v>0.9</v>
      </c>
      <c r="E31" s="464">
        <v>3</v>
      </c>
      <c r="F31" s="485">
        <v>0.13</v>
      </c>
      <c r="H31" s="490">
        <v>0.9</v>
      </c>
      <c r="I31" s="464">
        <v>4</v>
      </c>
      <c r="J31" s="485">
        <v>0.12</v>
      </c>
    </row>
    <row r="32" spans="2:10" s="106" customFormat="1" ht="18" customHeight="1">
      <c r="D32" s="490">
        <v>0.7</v>
      </c>
      <c r="E32" s="464">
        <v>1</v>
      </c>
      <c r="F32" s="485">
        <v>0.31</v>
      </c>
      <c r="H32" s="490">
        <v>0.4</v>
      </c>
      <c r="I32" s="464">
        <v>2</v>
      </c>
      <c r="J32" s="485">
        <v>0.32</v>
      </c>
    </row>
    <row r="33" spans="4:10" s="106" customFormat="1" ht="18" customHeight="1">
      <c r="D33" s="490">
        <v>0.8</v>
      </c>
      <c r="E33" s="464">
        <v>2</v>
      </c>
      <c r="F33" s="485">
        <v>0.23</v>
      </c>
      <c r="H33" s="490">
        <v>0.9</v>
      </c>
      <c r="I33" s="464">
        <v>3</v>
      </c>
      <c r="J33" s="485">
        <v>0.21</v>
      </c>
    </row>
    <row r="34" spans="4:10" s="106" customFormat="1" ht="18" customHeight="1">
      <c r="D34" s="490">
        <v>0.8</v>
      </c>
      <c r="E34" s="464">
        <v>1</v>
      </c>
      <c r="F34" s="485">
        <v>0.15</v>
      </c>
      <c r="H34" s="490">
        <v>0.8</v>
      </c>
      <c r="I34" s="464">
        <v>3</v>
      </c>
      <c r="J34" s="485">
        <v>0.13</v>
      </c>
    </row>
    <row r="35" spans="4:10" s="106" customFormat="1" ht="18" customHeight="1">
      <c r="D35" s="490">
        <v>0.7</v>
      </c>
      <c r="E35" s="464">
        <v>3</v>
      </c>
      <c r="F35" s="485">
        <v>0.13</v>
      </c>
      <c r="H35" s="490">
        <v>0.7</v>
      </c>
      <c r="I35" s="464">
        <v>4</v>
      </c>
      <c r="J35" s="485">
        <v>0.13</v>
      </c>
    </row>
    <row r="36" spans="4:10" s="106" customFormat="1" ht="18" customHeight="1">
      <c r="D36" s="490">
        <v>0.8</v>
      </c>
      <c r="E36" s="464">
        <v>0</v>
      </c>
      <c r="F36" s="485">
        <v>0.1</v>
      </c>
      <c r="H36" s="490">
        <v>0.8</v>
      </c>
      <c r="I36" s="464">
        <v>2</v>
      </c>
      <c r="J36" s="485">
        <v>0.1</v>
      </c>
    </row>
    <row r="37" spans="4:10" s="106" customFormat="1" ht="18" customHeight="1">
      <c r="D37" s="490">
        <v>0.6</v>
      </c>
      <c r="E37" s="464">
        <v>1</v>
      </c>
      <c r="F37" s="485">
        <v>0.11</v>
      </c>
      <c r="H37" s="490">
        <v>0.6</v>
      </c>
      <c r="I37" s="464">
        <v>1</v>
      </c>
      <c r="J37" s="485">
        <v>0.11</v>
      </c>
    </row>
    <row r="38" spans="4:10" ht="18" customHeight="1">
      <c r="D38" s="490">
        <v>0.7</v>
      </c>
      <c r="E38" s="464">
        <v>0</v>
      </c>
      <c r="F38" s="485">
        <v>0.11</v>
      </c>
      <c r="H38" s="490">
        <v>0.7</v>
      </c>
      <c r="I38" s="464">
        <v>1</v>
      </c>
      <c r="J38" s="485">
        <v>0.11</v>
      </c>
    </row>
    <row r="39" spans="4:10" ht="18" customHeight="1">
      <c r="D39" s="490">
        <v>0.8</v>
      </c>
      <c r="E39" s="464">
        <v>2</v>
      </c>
      <c r="F39" s="485">
        <v>0.11</v>
      </c>
      <c r="H39" s="490">
        <v>0.8</v>
      </c>
      <c r="I39" s="464">
        <v>1</v>
      </c>
      <c r="J39" s="485">
        <v>0.11</v>
      </c>
    </row>
    <row r="40" spans="4:10" ht="18" customHeight="1" thickBot="1">
      <c r="D40" s="491">
        <v>0.7</v>
      </c>
      <c r="E40" s="469">
        <v>1</v>
      </c>
      <c r="F40" s="492">
        <v>0.11</v>
      </c>
      <c r="H40" s="491">
        <v>0.7</v>
      </c>
      <c r="I40" s="469">
        <v>1</v>
      </c>
      <c r="J40" s="492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43598.378472222219</v>
      </c>
      <c r="C14" s="482">
        <v>5</v>
      </c>
      <c r="D14" s="480">
        <f t="shared" ref="D14:D23" si="0">baseTemp+H14</f>
        <v>15</v>
      </c>
      <c r="E14" s="504">
        <f>$C$8+I14</f>
        <v>260</v>
      </c>
      <c r="F14" s="479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9">
        <f t="shared" ref="B15:B23" si="1">$C$6+C15/1440</f>
        <v>43598.395833333336</v>
      </c>
      <c r="C15" s="465">
        <v>30</v>
      </c>
      <c r="D15" s="481">
        <f t="shared" si="0"/>
        <v>15.2</v>
      </c>
      <c r="E15" s="500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43598.416666666664</v>
      </c>
      <c r="C16" s="465">
        <v>60</v>
      </c>
      <c r="D16" s="481">
        <f t="shared" si="0"/>
        <v>14.9</v>
      </c>
      <c r="E16" s="500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9">
        <f t="shared" si="1"/>
        <v>43598.458333333336</v>
      </c>
      <c r="C17" s="465">
        <v>120</v>
      </c>
      <c r="D17" s="481">
        <f t="shared" si="0"/>
        <v>14.8</v>
      </c>
      <c r="E17" s="500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43598.541666666664</v>
      </c>
      <c r="C18" s="465">
        <v>240</v>
      </c>
      <c r="D18" s="481">
        <f t="shared" si="0"/>
        <v>15.2</v>
      </c>
      <c r="E18" s="500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43598.708333333336</v>
      </c>
      <c r="C19" s="465">
        <v>480</v>
      </c>
      <c r="D19" s="502">
        <f t="shared" si="0"/>
        <v>15</v>
      </c>
      <c r="E19" s="500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43599.375</v>
      </c>
      <c r="C20" s="465">
        <v>1440</v>
      </c>
      <c r="D20" s="481">
        <f t="shared" si="0"/>
        <v>15.1</v>
      </c>
      <c r="E20" s="500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43599.541666666664</v>
      </c>
      <c r="C21" s="465">
        <v>1680</v>
      </c>
      <c r="D21" s="481">
        <f t="shared" si="0"/>
        <v>14.9</v>
      </c>
      <c r="E21" s="500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9">
        <f t="shared" si="1"/>
        <v>43599.708333333336</v>
      </c>
      <c r="C22" s="465">
        <v>1920</v>
      </c>
      <c r="D22" s="481">
        <f t="shared" si="0"/>
        <v>15</v>
      </c>
      <c r="E22" s="500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43600.375</v>
      </c>
      <c r="C23" s="465">
        <v>2880</v>
      </c>
      <c r="D23" s="481">
        <f t="shared" si="0"/>
        <v>14.7</v>
      </c>
      <c r="E23" s="500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260</v>
      </c>
      <c r="F24" s="495">
        <f t="shared" si="4"/>
        <v>7.4399999999999995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</v>
      </c>
      <c r="E25" s="494">
        <f t="shared" ref="E25:F25" si="5">MIN(E14:E23)</f>
        <v>256</v>
      </c>
      <c r="F25" s="495">
        <f t="shared" si="5"/>
        <v>7.31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0.5</v>
      </c>
      <c r="E26" s="489">
        <f t="shared" ref="E26:F26" si="6">E24-E25</f>
        <v>4</v>
      </c>
      <c r="F26" s="488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0" t="s">
        <v>103</v>
      </c>
      <c r="C12" s="542"/>
      <c r="D12" s="547" t="s">
        <v>104</v>
      </c>
      <c r="E12" s="541"/>
      <c r="F12" s="542"/>
      <c r="H12" s="540" t="s">
        <v>104</v>
      </c>
      <c r="I12" s="541"/>
      <c r="J12" s="542"/>
    </row>
    <row r="13" spans="2:10" s="12" customFormat="1" ht="26.1" customHeight="1">
      <c r="B13" s="493" t="s">
        <v>99</v>
      </c>
      <c r="C13" s="495" t="s">
        <v>105</v>
      </c>
      <c r="D13" s="501" t="s">
        <v>106</v>
      </c>
      <c r="E13" s="494" t="s">
        <v>107</v>
      </c>
      <c r="F13" s="495" t="s">
        <v>108</v>
      </c>
      <c r="H13" s="493" t="s">
        <v>106</v>
      </c>
      <c r="I13" s="494" t="s">
        <v>107</v>
      </c>
      <c r="J13" s="495" t="s">
        <v>108</v>
      </c>
    </row>
    <row r="14" spans="2:10" s="12" customFormat="1" ht="26.1" customHeight="1">
      <c r="B14" s="503">
        <f>$C$6+C14/1440</f>
        <v>43601.378472222219</v>
      </c>
      <c r="C14" s="482">
        <v>5</v>
      </c>
      <c r="D14" s="480">
        <f t="shared" ref="D14:D23" si="0">baseTemp+H14</f>
        <v>15.1</v>
      </c>
      <c r="E14" s="504">
        <f>$C$8+I14</f>
        <v>325</v>
      </c>
      <c r="F14" s="479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9">
        <f t="shared" ref="B15:B23" si="1">$C$6+C15/1440</f>
        <v>43601.395833333336</v>
      </c>
      <c r="C15" s="465">
        <v>30</v>
      </c>
      <c r="D15" s="481">
        <f t="shared" si="0"/>
        <v>15.2</v>
      </c>
      <c r="E15" s="500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9">
        <f t="shared" si="1"/>
        <v>43601.416666666664</v>
      </c>
      <c r="C16" s="465">
        <v>60</v>
      </c>
      <c r="D16" s="481">
        <f t="shared" si="0"/>
        <v>15.1</v>
      </c>
      <c r="E16" s="500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9">
        <f t="shared" si="1"/>
        <v>43601.458333333336</v>
      </c>
      <c r="C17" s="465">
        <v>120</v>
      </c>
      <c r="D17" s="481">
        <f t="shared" si="0"/>
        <v>14.9</v>
      </c>
      <c r="E17" s="500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9">
        <f t="shared" si="1"/>
        <v>43601.541666666664</v>
      </c>
      <c r="C18" s="465">
        <v>240</v>
      </c>
      <c r="D18" s="481">
        <f t="shared" si="0"/>
        <v>15.2</v>
      </c>
      <c r="E18" s="500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9">
        <f t="shared" si="1"/>
        <v>43601.708333333336</v>
      </c>
      <c r="C19" s="465">
        <v>480</v>
      </c>
      <c r="D19" s="502">
        <f t="shared" si="0"/>
        <v>15.1</v>
      </c>
      <c r="E19" s="500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9">
        <f t="shared" si="1"/>
        <v>43602.375</v>
      </c>
      <c r="C20" s="465">
        <v>1440</v>
      </c>
      <c r="D20" s="481">
        <f t="shared" si="0"/>
        <v>15.2</v>
      </c>
      <c r="E20" s="500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9">
        <f t="shared" si="1"/>
        <v>43602.541666666664</v>
      </c>
      <c r="C21" s="465">
        <v>1680</v>
      </c>
      <c r="D21" s="481">
        <f t="shared" si="0"/>
        <v>15</v>
      </c>
      <c r="E21" s="500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9">
        <f t="shared" si="1"/>
        <v>43602.708333333336</v>
      </c>
      <c r="C22" s="465">
        <v>1920</v>
      </c>
      <c r="D22" s="481">
        <f t="shared" si="0"/>
        <v>15.1</v>
      </c>
      <c r="E22" s="500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9">
        <f t="shared" si="1"/>
        <v>43603.375</v>
      </c>
      <c r="C23" s="465">
        <v>2880</v>
      </c>
      <c r="D23" s="481">
        <f t="shared" si="0"/>
        <v>14.799999999999999</v>
      </c>
      <c r="E23" s="500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3" t="s">
        <v>48</v>
      </c>
      <c r="C24" s="544"/>
      <c r="D24" s="501">
        <f>MAX(D14:D23)</f>
        <v>15.2</v>
      </c>
      <c r="E24" s="494">
        <f t="shared" ref="E24:F24" si="4">MAX(E14:E23)</f>
        <v>326</v>
      </c>
      <c r="F24" s="495">
        <f t="shared" si="4"/>
        <v>7.14</v>
      </c>
      <c r="H24" s="12"/>
      <c r="I24" s="12"/>
      <c r="J24" s="12"/>
    </row>
    <row r="25" spans="2:10" s="106" customFormat="1" ht="26.1" customHeight="1">
      <c r="B25" s="543" t="s">
        <v>49</v>
      </c>
      <c r="C25" s="544"/>
      <c r="D25" s="501">
        <f>MIN(D14:D23)</f>
        <v>14.799999999999999</v>
      </c>
      <c r="E25" s="494">
        <f t="shared" ref="E25:F25" si="5">MIN(E14:E23)</f>
        <v>324</v>
      </c>
      <c r="F25" s="495">
        <f t="shared" si="5"/>
        <v>7</v>
      </c>
      <c r="H25" s="12"/>
      <c r="I25" s="12"/>
      <c r="J25" s="12"/>
    </row>
    <row r="26" spans="2:10" s="106" customFormat="1" ht="26.1" customHeight="1" thickBot="1">
      <c r="B26" s="545" t="s">
        <v>109</v>
      </c>
      <c r="C26" s="546"/>
      <c r="D26" s="498">
        <f>D24-D25</f>
        <v>0.40000000000000036</v>
      </c>
      <c r="E26" s="489">
        <f t="shared" ref="E26:F26" si="6">E24-E25</f>
        <v>2</v>
      </c>
      <c r="F26" s="488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2019-11-17T07:41:06Z</dcterms:modified>
</cp:coreProperties>
</file>